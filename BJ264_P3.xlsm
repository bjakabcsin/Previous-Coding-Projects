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emf" ContentType="image/x-emf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vbaProject.bin" ContentType="application/vnd.ms-office.vbaProject"/>
  <Override PartName="/xl/styles.xml" ContentType="application/vnd.openxmlformats-officedocument.spreadsheetml.styles+xml"/>
  <Override PartName="/xl/activeX/activeX1.xml" ContentType="application/vnd.ms-office.activeX+xml"/>
  <Default Extension="bin" ContentType="application/vnd.ms-office.activeX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drawings/drawing1.xml" ContentType="application/vnd.openxmlformats-officedocument.drawing+xml"/>
  <Default Extension="vml" ContentType="application/vnd.openxmlformats-officedocument.vmlDrawing"/>
  <Override PartName="/xl/worksheets/sheet1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worksheets/sheet2.xml" ContentType="application/vnd.openxmlformats-officedocument.spreadsheetml.worksheet+xml"/>
  <Override PartName="/xl/activeX/activeX8.xml" ContentType="application/vnd.ms-office.activeX+xml"/>
  <Override PartName="/xl/activeX/activeX9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orgetown1-my.sharepoint.com/personal/bj264_georgetown_edu/Documents/"/>
    </mc:Choice>
  </mc:AlternateContent>
  <bookViews>
    <workbookView xWindow="1920" yWindow="936" windowWidth="18936" windowHeight="11184" activeTab="0"/>
  </bookViews>
  <sheets>
    <sheet name="Interface" sheetId="1" r:id="rId6"/>
    <sheet name="Budget Analysis" sheetId="5" r:id="rId7"/>
    <sheet name="Sensitivity Analysis" sheetId="4" r:id="rId8"/>
    <sheet name="Commercial Data" sheetId="2" r:id="rId9"/>
    <sheet name="Residential Data" sheetId="3" r:id="rId10"/>
  </sheets>
  <definedNames/>
  <calcPr calcId="191029"/>
  <pivotCaches>
    <pivotCache cacheId="89" r:id="rId2"/>
    <pivotCache cacheId="9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<sst xmlns="http://schemas.openxmlformats.org/spreadsheetml/2006/main" count="16496" uniqueCount="2006">
  <si>
    <t>SBA Disaster Loan Data</t>
  </si>
  <si>
    <t xml:space="preserve">Report Run Date:  1/7/2015 </t>
  </si>
  <si>
    <t>Report Run Time:  12:25:44PM</t>
  </si>
  <si>
    <t>Reporting Period:  10/01/2012 - 09/30/2013</t>
  </si>
  <si>
    <t>SBA Physical Declaration Number</t>
  </si>
  <si>
    <t>SBA EIDL Declaration Number</t>
  </si>
  <si>
    <t>FEMA Disaster Number</t>
  </si>
  <si>
    <t>SBA Disaster Number</t>
  </si>
  <si>
    <t>Damaged Property City Name</t>
  </si>
  <si>
    <t>Damaged Property Zip Code</t>
  </si>
  <si>
    <t>Damaged Property County/Parish Name</t>
  </si>
  <si>
    <t>Damaged Property State Code</t>
  </si>
  <si>
    <t>Total Verified Loss</t>
  </si>
  <si>
    <t>Verified Loss Real Estate</t>
  </si>
  <si>
    <t>Verified Loss Content</t>
  </si>
  <si>
    <t>Total Approved Loan Amount</t>
  </si>
  <si>
    <t>Approved Amount Real Estate</t>
  </si>
  <si>
    <t>Approved Amount Content</t>
  </si>
  <si>
    <t>NY-00130</t>
  </si>
  <si>
    <t>ALBERTSON</t>
  </si>
  <si>
    <t>NASSAU</t>
  </si>
  <si>
    <t>NY</t>
  </si>
  <si>
    <t>AMITY HARBOR</t>
  </si>
  <si>
    <t>SUFFOLK</t>
  </si>
  <si>
    <t>AMITYV ILLE</t>
  </si>
  <si>
    <t>AMITYVILLE</t>
  </si>
  <si>
    <t>AQUEBOGUE</t>
  </si>
  <si>
    <t>ARVERNA</t>
  </si>
  <si>
    <t>QUEENS</t>
  </si>
  <si>
    <t>ARVERNE</t>
  </si>
  <si>
    <t>ASTORIA</t>
  </si>
  <si>
    <t>ATLANTIC BEACH</t>
  </si>
  <si>
    <t>NEW YORK</t>
  </si>
  <si>
    <t>BABYLON</t>
  </si>
  <si>
    <t>BALDWIN</t>
  </si>
  <si>
    <t>BAY SHORE</t>
  </si>
  <si>
    <t>BAYONNE</t>
  </si>
  <si>
    <t>HUDSON</t>
  </si>
  <si>
    <t>NJ</t>
  </si>
  <si>
    <t>BAYSHORE</t>
  </si>
  <si>
    <t>BAYSIDE</t>
  </si>
  <si>
    <t>BAYVILLE</t>
  </si>
  <si>
    <t>BELLE HARBOR</t>
  </si>
  <si>
    <t>KINGS</t>
  </si>
  <si>
    <t>BELLEHARBOR</t>
  </si>
  <si>
    <t>BELLEROSE</t>
  </si>
  <si>
    <t>BELLMORE</t>
  </si>
  <si>
    <t>BELLPORT</t>
  </si>
  <si>
    <t>BETHPAGE</t>
  </si>
  <si>
    <t>BKLYN</t>
  </si>
  <si>
    <t>BLOOMING GROVE</t>
  </si>
  <si>
    <t>ORANGE</t>
  </si>
  <si>
    <t>BLUE POINT</t>
  </si>
  <si>
    <t>BOHEMIA</t>
  </si>
  <si>
    <t>BOOKLYN</t>
  </si>
  <si>
    <t>BREEZY POINT</t>
  </si>
  <si>
    <t>BRENTWOOD</t>
  </si>
  <si>
    <t>BREWSTER</t>
  </si>
  <si>
    <t>PUTNAM</t>
  </si>
  <si>
    <t>BRIGHTWATERS</t>
  </si>
  <si>
    <t>BROAD CHANNEL</t>
  </si>
  <si>
    <t>BRONX</t>
  </si>
  <si>
    <t>COLUMBIA</t>
  </si>
  <si>
    <t>BRONXVILLE</t>
  </si>
  <si>
    <t>WESTCHESTER</t>
  </si>
  <si>
    <t>BROOKHAVEN</t>
  </si>
  <si>
    <t>BROOKLN</t>
  </si>
  <si>
    <t>BROOKLY</t>
  </si>
  <si>
    <t>BROOKLYM</t>
  </si>
  <si>
    <t>BROOKLYN</t>
  </si>
  <si>
    <t>GREENE</t>
  </si>
  <si>
    <t>RICHMOND</t>
  </si>
  <si>
    <t>BROOKYLN</t>
  </si>
  <si>
    <t>CAMBRIA HEIGHTS</t>
  </si>
  <si>
    <t>CARLE PLACE</t>
  </si>
  <si>
    <t>CARLSTADT</t>
  </si>
  <si>
    <t>BERGEN</t>
  </si>
  <si>
    <t>CEDARHURST</t>
  </si>
  <si>
    <t>CENTER MORICHES</t>
  </si>
  <si>
    <t>CENTEREACH</t>
  </si>
  <si>
    <t>CENTERPORT</t>
  </si>
  <si>
    <t>CENTRAL ISLIP</t>
  </si>
  <si>
    <t>CHAPPAQUA</t>
  </si>
  <si>
    <t>CHERRY GROVE</t>
  </si>
  <si>
    <t>CHESTNUT RIDGE</t>
  </si>
  <si>
    <t>ROCKLAND</t>
  </si>
  <si>
    <t>COLD SPRING</t>
  </si>
  <si>
    <t>COLD SPRING HARBOR</t>
  </si>
  <si>
    <t>COLLEGE POINT</t>
  </si>
  <si>
    <t>COMMACK</t>
  </si>
  <si>
    <t>CONGERS</t>
  </si>
  <si>
    <t>COPIAGUE</t>
  </si>
  <si>
    <t>CORAM</t>
  </si>
  <si>
    <t>CORNEILLE ESTATES</t>
  </si>
  <si>
    <t>CORONA</t>
  </si>
  <si>
    <t>CUTCHOGUE</t>
  </si>
  <si>
    <t>DAVIS PARK</t>
  </si>
  <si>
    <t>DEER PARK</t>
  </si>
  <si>
    <t>DIX HILLS</t>
  </si>
  <si>
    <t>E SETAUKET</t>
  </si>
  <si>
    <t>E. ATLANTIC BEACH</t>
  </si>
  <si>
    <t>EAST ATLANTIC BEACH</t>
  </si>
  <si>
    <t>EAST ELMHURST</t>
  </si>
  <si>
    <t>EAST HAMPTON</t>
  </si>
  <si>
    <t>EAST ISLIP</t>
  </si>
  <si>
    <t>EAST MARION</t>
  </si>
  <si>
    <t>EAST MEADOW</t>
  </si>
  <si>
    <t>EAST MORICHES</t>
  </si>
  <si>
    <t>EAST NORTHPORT</t>
  </si>
  <si>
    <t>EAST PATCHOGUE</t>
  </si>
  <si>
    <t>EAST QUOGUE</t>
  </si>
  <si>
    <t>EAST QUOUGE</t>
  </si>
  <si>
    <t>EAST ROCKAWAY</t>
  </si>
  <si>
    <t>EASTPORT</t>
  </si>
  <si>
    <t>EDGEMERE</t>
  </si>
  <si>
    <t>ELMHURST</t>
  </si>
  <si>
    <t>ELMONT</t>
  </si>
  <si>
    <t>ELMSFORD</t>
  </si>
  <si>
    <t>ENGLEWOOD</t>
  </si>
  <si>
    <t>FAR AROCKAWAY</t>
  </si>
  <si>
    <t>FAR ROCAKWAY</t>
  </si>
  <si>
    <t>FAR ROCKAWAY</t>
  </si>
  <si>
    <t>FAR ROCKCAWAY</t>
  </si>
  <si>
    <t>FAR ROCKWAY</t>
  </si>
  <si>
    <t>FARMINGDALE</t>
  </si>
  <si>
    <t>FARMINGVILLE</t>
  </si>
  <si>
    <t>FIRE ISLAND PINES</t>
  </si>
  <si>
    <t>FISHERS ISLAND</t>
  </si>
  <si>
    <t>FLANDERS</t>
  </si>
  <si>
    <t>FLORAL PARK</t>
  </si>
  <si>
    <t>FLUSHING</t>
  </si>
  <si>
    <t>FOREST HILLS</t>
  </si>
  <si>
    <t>FORT LEE</t>
  </si>
  <si>
    <t>FORT SALONGA</t>
  </si>
  <si>
    <t>FORT TILDEN</t>
  </si>
  <si>
    <t>FORT TOTTEN</t>
  </si>
  <si>
    <t>FRANKLIN SQ</t>
  </si>
  <si>
    <t>FRANKLIN SQUARE</t>
  </si>
  <si>
    <t>FREEPORT</t>
  </si>
  <si>
    <t>FRESH MEADOWS</t>
  </si>
  <si>
    <t>GARDEN CITY</t>
  </si>
  <si>
    <t>GARDEN CITY SOUTH</t>
  </si>
  <si>
    <t>GEORGETOWN</t>
  </si>
  <si>
    <t>FAIRFIELD</t>
  </si>
  <si>
    <t>CT</t>
  </si>
  <si>
    <t>GLAN COVE</t>
  </si>
  <si>
    <t>GLEN COVE</t>
  </si>
  <si>
    <t>GLEN HEAD</t>
  </si>
  <si>
    <t>GRAND VIEW-ON-HUDSON</t>
  </si>
  <si>
    <t>GRANDVIEW</t>
  </si>
  <si>
    <t>GREAT NECK</t>
  </si>
  <si>
    <t>GREENPORT</t>
  </si>
  <si>
    <t>GREENVALE</t>
  </si>
  <si>
    <t>HACKENSACK</t>
  </si>
  <si>
    <t>HAMPTON BAYS</t>
  </si>
  <si>
    <t>HARRISON</t>
  </si>
  <si>
    <t>HASTINGS ON HUDSON</t>
  </si>
  <si>
    <t>HAUPPAUGE</t>
  </si>
  <si>
    <t>HAVERSTRAW</t>
  </si>
  <si>
    <t>HEMPSTEAD</t>
  </si>
  <si>
    <t>HEWLETT</t>
  </si>
  <si>
    <t>HICKSVILLE</t>
  </si>
  <si>
    <t>HOBOKEN</t>
  </si>
  <si>
    <t>HOLBROOK</t>
  </si>
  <si>
    <t>HOLLIS</t>
  </si>
  <si>
    <t>HOLTSVILLE</t>
  </si>
  <si>
    <t>HOWARD BEACH</t>
  </si>
  <si>
    <t>HUNTINGTN STA</t>
  </si>
  <si>
    <t>HUNTINGTON</t>
  </si>
  <si>
    <t>HUNTINGTON STATION</t>
  </si>
  <si>
    <t>INWOOD</t>
  </si>
  <si>
    <t>IRVINGTON</t>
  </si>
  <si>
    <t>ISLAND  PARK</t>
  </si>
  <si>
    <t>ISLAND PARK</t>
  </si>
  <si>
    <t>ISLANDIA</t>
  </si>
  <si>
    <t>ISLIP</t>
  </si>
  <si>
    <t>JACKSON HEIGHT</t>
  </si>
  <si>
    <t>JACKSON HTS</t>
  </si>
  <si>
    <t>JAMACIA</t>
  </si>
  <si>
    <t>JAMACIA ESTATES</t>
  </si>
  <si>
    <t>JAMAICA</t>
  </si>
  <si>
    <t>JAMESPORT</t>
  </si>
  <si>
    <t>JERICHO</t>
  </si>
  <si>
    <t>KEARNY</t>
  </si>
  <si>
    <t>KINGS PARK</t>
  </si>
  <si>
    <t>KINGSTON</t>
  </si>
  <si>
    <t>ULSTER</t>
  </si>
  <si>
    <t>LAKE GROVE</t>
  </si>
  <si>
    <t>LAKE HUNTINGTON</t>
  </si>
  <si>
    <t>SULLIVAN</t>
  </si>
  <si>
    <t>LAKE RONKONKOMA</t>
  </si>
  <si>
    <t>LARCHMONT</t>
  </si>
  <si>
    <t>LAURAL</t>
  </si>
  <si>
    <t>LAURELTON</t>
  </si>
  <si>
    <t>LAWRENCE</t>
  </si>
  <si>
    <t>LEVITTOWN</t>
  </si>
  <si>
    <t>LI CITY</t>
  </si>
  <si>
    <t>LIBERTY</t>
  </si>
  <si>
    <t>LIC</t>
  </si>
  <si>
    <t>LIDO BEACH</t>
  </si>
  <si>
    <t>LINDENHURST</t>
  </si>
  <si>
    <t>LINDENHURST NY</t>
  </si>
  <si>
    <t>LITTLE FERRY</t>
  </si>
  <si>
    <t>LITTLE NECK</t>
  </si>
  <si>
    <t>LLOYD HARBOR</t>
  </si>
  <si>
    <t>LOCUST VALLEY</t>
  </si>
  <si>
    <t>LONG  BEACH</t>
  </si>
  <si>
    <t>LONG BEACG</t>
  </si>
  <si>
    <t>LONG BEACH</t>
  </si>
  <si>
    <t>LONG ISLAND CITY</t>
  </si>
  <si>
    <t>LONGBEACH</t>
  </si>
  <si>
    <t>LYNBROOK</t>
  </si>
  <si>
    <t>MAHOPAC</t>
  </si>
  <si>
    <t>MAMARONECK</t>
  </si>
  <si>
    <t>MANHASSET</t>
  </si>
  <si>
    <t>MANHATTAN</t>
  </si>
  <si>
    <t>MASPETH</t>
  </si>
  <si>
    <t>MASSAPEQUA</t>
  </si>
  <si>
    <t>MASSAPEQUA PARK</t>
  </si>
  <si>
    <t>MASTIC</t>
  </si>
  <si>
    <t>MASTIC BEACH</t>
  </si>
  <si>
    <t>MATTITUCK</t>
  </si>
  <si>
    <t>MEDFORD</t>
  </si>
  <si>
    <t>MELVILLE</t>
  </si>
  <si>
    <t>MERRICK</t>
  </si>
  <si>
    <t>MIDDLE ISLAND</t>
  </si>
  <si>
    <t>MIDDLETOWN</t>
  </si>
  <si>
    <t>MILLER PLACE</t>
  </si>
  <si>
    <t>MINEOLA</t>
  </si>
  <si>
    <t>MONROE</t>
  </si>
  <si>
    <t>MONSEY</t>
  </si>
  <si>
    <t>MONTAUK</t>
  </si>
  <si>
    <t>MONTGOMERY</t>
  </si>
  <si>
    <t>MORICHES</t>
  </si>
  <si>
    <t>MOUNT KISCO</t>
  </si>
  <si>
    <t>MOUNT VERNON</t>
  </si>
  <si>
    <t>NANUET</t>
  </si>
  <si>
    <t>NE W YORK</t>
  </si>
  <si>
    <t>NE WYORK</t>
  </si>
  <si>
    <t>NEPONSIT</t>
  </si>
  <si>
    <t>NEW  YORK</t>
  </si>
  <si>
    <t>NEW CITY</t>
  </si>
  <si>
    <t>NEW HYDE PARK</t>
  </si>
  <si>
    <t>NEW ORK</t>
  </si>
  <si>
    <t>NEW ROCHELLE</t>
  </si>
  <si>
    <t>NEW SUFFOLK</t>
  </si>
  <si>
    <t>NEW Y0RK</t>
  </si>
  <si>
    <t>NEW YORK CITY</t>
  </si>
  <si>
    <t>NEWBURGH</t>
  </si>
  <si>
    <t>NEWYORK</t>
  </si>
  <si>
    <t>NORTH BABYLON</t>
  </si>
  <si>
    <t>NORTH BALDWIN</t>
  </si>
  <si>
    <t>NORTH BELLMORE</t>
  </si>
  <si>
    <t>NORTH MERRICK</t>
  </si>
  <si>
    <t>NORTH SALEM</t>
  </si>
  <si>
    <t>NORTH WOODMERE</t>
  </si>
  <si>
    <t>NORTHPORT</t>
  </si>
  <si>
    <t>NYACK</t>
  </si>
  <si>
    <t>NYC</t>
  </si>
  <si>
    <t>OAK BEACH</t>
  </si>
  <si>
    <t>OAKDALE</t>
  </si>
  <si>
    <t>OAKLAND GARDENS</t>
  </si>
  <si>
    <t>OCEAN BAY PARK</t>
  </si>
  <si>
    <t>OCEAN BAY PARK, FIRE ISLAND</t>
  </si>
  <si>
    <t>OCEAN BEACH</t>
  </si>
  <si>
    <t>OCEAN SIDE</t>
  </si>
  <si>
    <t>OCEANSDE</t>
  </si>
  <si>
    <t>OCEANSIDE</t>
  </si>
  <si>
    <t>OCEANSIDE NEW YORK</t>
  </si>
  <si>
    <t>OLD BETHPAGE</t>
  </si>
  <si>
    <t>ORIENT</t>
  </si>
  <si>
    <t>OSSINING</t>
  </si>
  <si>
    <t>OYSTER BAY</t>
  </si>
  <si>
    <t>OYSTER BAY COVE</t>
  </si>
  <si>
    <t>OZONE PARK</t>
  </si>
  <si>
    <t>PATCHOGUE</t>
  </si>
  <si>
    <t>PATTERSON</t>
  </si>
  <si>
    <t>PEARL RIVER</t>
  </si>
  <si>
    <t>PEEKSKILL</t>
  </si>
  <si>
    <t>PIERMONT</t>
  </si>
  <si>
    <t>PINE BUSH</t>
  </si>
  <si>
    <t>PLAINVIEW</t>
  </si>
  <si>
    <t>PLEASANTVILLE</t>
  </si>
  <si>
    <t>POINT LOOKOUT</t>
  </si>
  <si>
    <t>POINT O WOODS</t>
  </si>
  <si>
    <t>POINTLOOK OUT</t>
  </si>
  <si>
    <t>POMONA</t>
  </si>
  <si>
    <t>PORT CHESTER</t>
  </si>
  <si>
    <t>PORT JEFFERSON</t>
  </si>
  <si>
    <t>PORT JEFFERSON STATION</t>
  </si>
  <si>
    <t>PORT WASHINGTON</t>
  </si>
  <si>
    <t>POUND RIDGE</t>
  </si>
  <si>
    <t>QNS NY</t>
  </si>
  <si>
    <t>QUEENS VILLAGE</t>
  </si>
  <si>
    <t>QUOGUE</t>
  </si>
  <si>
    <t>REGO PARK</t>
  </si>
  <si>
    <t>REMSENBURG</t>
  </si>
  <si>
    <t>RICHMOND HILL</t>
  </si>
  <si>
    <t>RIDGE</t>
  </si>
  <si>
    <t>RIDGEWOOD</t>
  </si>
  <si>
    <t>RIVERHEAD</t>
  </si>
  <si>
    <t>ROBBINS REST</t>
  </si>
  <si>
    <t>ROBBINS REST, FIRE ISLAND</t>
  </si>
  <si>
    <t>ROCKAWAY</t>
  </si>
  <si>
    <t>ROCKAWAY BEAC</t>
  </si>
  <si>
    <t>ROCKAWAY BEACH</t>
  </si>
  <si>
    <t>ROCKAWAY PARK</t>
  </si>
  <si>
    <t>ROCKAWAY PARKWAY</t>
  </si>
  <si>
    <t>ROCKAWAY POINT</t>
  </si>
  <si>
    <t>ROCKVILLE CENTRE</t>
  </si>
  <si>
    <t>ROCKWAY BEACH</t>
  </si>
  <si>
    <t>ROCKY POINT</t>
  </si>
  <si>
    <t>RONKONKOMA</t>
  </si>
  <si>
    <t>ROOSEVELT</t>
  </si>
  <si>
    <t>ROOSEVELT ISLAND</t>
  </si>
  <si>
    <t>ROSEDALE</t>
  </si>
  <si>
    <t>ROSLYN</t>
  </si>
  <si>
    <t>ROSLYN HEIGHTS</t>
  </si>
  <si>
    <t>RYE</t>
  </si>
  <si>
    <t>S.I.</t>
  </si>
  <si>
    <t>SAG HARBOR</t>
  </si>
  <si>
    <t>SAGAPONACK</t>
  </si>
  <si>
    <t>SAINT ALBANS</t>
  </si>
  <si>
    <t>SAINT JAMES</t>
  </si>
  <si>
    <t>SALTAIRE</t>
  </si>
  <si>
    <t>SAME</t>
  </si>
  <si>
    <t>SAYVILLE</t>
  </si>
  <si>
    <t>SEAFORD</t>
  </si>
  <si>
    <t>SEAVIEW</t>
  </si>
  <si>
    <t>SEAVIEW, FIRE ISLAND</t>
  </si>
  <si>
    <t>SELDEN</t>
  </si>
  <si>
    <t>SHELTER ISLAND</t>
  </si>
  <si>
    <t>SHELTER ISLAND HEIGHTS</t>
  </si>
  <si>
    <t>SHELTER ISLAND HGTS</t>
  </si>
  <si>
    <t>SHIRELY</t>
  </si>
  <si>
    <t>SHIRLEY</t>
  </si>
  <si>
    <t>SHOKAN</t>
  </si>
  <si>
    <t>SOUND BEACH</t>
  </si>
  <si>
    <t>SOUTH BROOKLYN</t>
  </si>
  <si>
    <t>SOUTH OYSTER BAY</t>
  </si>
  <si>
    <t>SOUTH OZONE PARK</t>
  </si>
  <si>
    <t>SOUTH SALEM</t>
  </si>
  <si>
    <t>SOUTHAMPTON</t>
  </si>
  <si>
    <t>SOUTHOLD</t>
  </si>
  <si>
    <t>SPRING FIELD</t>
  </si>
  <si>
    <t>SPRING VALLEY</t>
  </si>
  <si>
    <t>SPRINGFIELD GARDENS</t>
  </si>
  <si>
    <t>SPRINGFIELD-GARDENS</t>
  </si>
  <si>
    <t>STAEN ISLAND</t>
  </si>
  <si>
    <t>STATE ISLAND</t>
  </si>
  <si>
    <t>STATEN ISALND</t>
  </si>
  <si>
    <t>STATEN ISLAND</t>
  </si>
  <si>
    <t>STEWART MANOR</t>
  </si>
  <si>
    <t>STONY BROOK</t>
  </si>
  <si>
    <t>STONY POINT</t>
  </si>
  <si>
    <t>SUFFERN</t>
  </si>
  <si>
    <t>SYOSSET</t>
  </si>
  <si>
    <t>TANNERSVILLE</t>
  </si>
  <si>
    <t>TARRYTOWN</t>
  </si>
  <si>
    <t>UNIONDALE</t>
  </si>
  <si>
    <t>VALLEY COTTAGE</t>
  </si>
  <si>
    <t>VALLEY STREAM</t>
  </si>
  <si>
    <t>VALLEY STREAM,</t>
  </si>
  <si>
    <t>VERPLANCK</t>
  </si>
  <si>
    <t>W. NYACK</t>
  </si>
  <si>
    <t>WADING RIVER</t>
  </si>
  <si>
    <t>WAINSCOTT</t>
  </si>
  <si>
    <t>WANTAGH</t>
  </si>
  <si>
    <t>WATER MILL</t>
  </si>
  <si>
    <t>WEST BABYLON</t>
  </si>
  <si>
    <t>WEST HAVERSTRAW</t>
  </si>
  <si>
    <t>WEST HEMPSTEAD</t>
  </si>
  <si>
    <t>WEST ISLIP</t>
  </si>
  <si>
    <t>WEST NYACK</t>
  </si>
  <si>
    <t>WEST SAYVILLE</t>
  </si>
  <si>
    <t>WESTBURY</t>
  </si>
  <si>
    <t>WESTHAMPTON</t>
  </si>
  <si>
    <t>WESTHAMPTON BEACH</t>
  </si>
  <si>
    <t>WHEATLEY HEIGHTS</t>
  </si>
  <si>
    <t>WHITE PLAINS</t>
  </si>
  <si>
    <t>WHITESTONE</t>
  </si>
  <si>
    <t>WOODBOURNE</t>
  </si>
  <si>
    <t>WOODBURY</t>
  </si>
  <si>
    <t>WOODHAVEN</t>
  </si>
  <si>
    <t>WOODMERE</t>
  </si>
  <si>
    <t>WOODSIDE</t>
  </si>
  <si>
    <t>WOODSTOCK</t>
  </si>
  <si>
    <t>WYANDANCH</t>
  </si>
  <si>
    <t>YAPHANK</t>
  </si>
  <si>
    <t>YONKERS</t>
  </si>
  <si>
    <t>NJ-00033</t>
  </si>
  <si>
    <t>ABERDEEN</t>
  </si>
  <si>
    <t>MONMOUTH</t>
  </si>
  <si>
    <t>ABSECON</t>
  </si>
  <si>
    <t>ATLANTIC</t>
  </si>
  <si>
    <t>AC</t>
  </si>
  <si>
    <t>ALLENTOWN</t>
  </si>
  <si>
    <t>ALPHA</t>
  </si>
  <si>
    <t>WARREN</t>
  </si>
  <si>
    <t>ASBURY PARK</t>
  </si>
  <si>
    <t>ATLANTIC CITY</t>
  </si>
  <si>
    <t>ATLANTIC HIGHLANDS</t>
  </si>
  <si>
    <t>OCEAN</t>
  </si>
  <si>
    <t>AVALON</t>
  </si>
  <si>
    <t>CAPE MAY</t>
  </si>
  <si>
    <t>AVENEL</t>
  </si>
  <si>
    <t>MIDDLESEX</t>
  </si>
  <si>
    <t>AVON</t>
  </si>
  <si>
    <t>AVON BY SEA</t>
  </si>
  <si>
    <t>AVON BY THE SEA</t>
  </si>
  <si>
    <t>BARNEGAT</t>
  </si>
  <si>
    <t>BARNEGAT LIGHT</t>
  </si>
  <si>
    <t>BASKING RIDGE</t>
  </si>
  <si>
    <t>SOMERSET</t>
  </si>
  <si>
    <t>BAY HEAD</t>
  </si>
  <si>
    <t>BAYVIILE</t>
  </si>
  <si>
    <t>BEAC HAVEN GARDENS</t>
  </si>
  <si>
    <t>BEACH HAVEN</t>
  </si>
  <si>
    <t>BEACH HAVEN CREST</t>
  </si>
  <si>
    <t>BEACH HAVEN GARDEN</t>
  </si>
  <si>
    <t>BEACH HAVEN GARDENS</t>
  </si>
  <si>
    <t>BEACH HAVEN PARK</t>
  </si>
  <si>
    <t>BEACH HAVEN TERRACE</t>
  </si>
  <si>
    <t>BEACH HAVEN WEST</t>
  </si>
  <si>
    <t>BEACHWOOD</t>
  </si>
  <si>
    <t>BEACHWOOD AVE</t>
  </si>
  <si>
    <t>BELFORD</t>
  </si>
  <si>
    <t>BELLEVILLE</t>
  </si>
  <si>
    <t>ESSEX</t>
  </si>
  <si>
    <t>PASSAIC</t>
  </si>
  <si>
    <t>BELMAR</t>
  </si>
  <si>
    <t>BELMAR BORO</t>
  </si>
  <si>
    <t>BELVIDERE</t>
  </si>
  <si>
    <t>BERGENFIELD</t>
  </si>
  <si>
    <t>BERKELEY HEIGHTS</t>
  </si>
  <si>
    <t>UNION</t>
  </si>
  <si>
    <t>BERKELEY MEADOWS</t>
  </si>
  <si>
    <t>BERNARDSVILLE</t>
  </si>
  <si>
    <t>BIRGATINE</t>
  </si>
  <si>
    <t>BLOOMFIELD</t>
  </si>
  <si>
    <t>BOONTON</t>
  </si>
  <si>
    <t>MORRIS</t>
  </si>
  <si>
    <t>BORDENTOWN</t>
  </si>
  <si>
    <t>BURLINGTON</t>
  </si>
  <si>
    <t>BOUND BROOK</t>
  </si>
  <si>
    <t>BRADLEY BEACH</t>
  </si>
  <si>
    <t>BRANCHBURG</t>
  </si>
  <si>
    <t>BRANT BEACH</t>
  </si>
  <si>
    <t>BRICK</t>
  </si>
  <si>
    <t>BRICK TOWN</t>
  </si>
  <si>
    <t>BRICK TOWNSHIP</t>
  </si>
  <si>
    <t>BRIDGETON</t>
  </si>
  <si>
    <t>CUMBERLAND</t>
  </si>
  <si>
    <t>BRIDGEWATER</t>
  </si>
  <si>
    <t>BRIELLE</t>
  </si>
  <si>
    <t>BRIGANINE</t>
  </si>
  <si>
    <t>BRIGANTINE</t>
  </si>
  <si>
    <t>BRIGHTON</t>
  </si>
  <si>
    <t>BRIGHTON BEACH</t>
  </si>
  <si>
    <t>BRINGANTINE</t>
  </si>
  <si>
    <t>BUDD LAKE</t>
  </si>
  <si>
    <t>BYRAM TOWNSHIP</t>
  </si>
  <si>
    <t>SUSSEX</t>
  </si>
  <si>
    <t>CALIFON</t>
  </si>
  <si>
    <t>HUNTERDON</t>
  </si>
  <si>
    <t>CAMDEN</t>
  </si>
  <si>
    <t>CAPE MAY COURT HOUSE</t>
  </si>
  <si>
    <t>CAPE MAY POINT</t>
  </si>
  <si>
    <t>CARTERET</t>
  </si>
  <si>
    <t>CEDAR RUN</t>
  </si>
  <si>
    <t>CEDARVILLE</t>
  </si>
  <si>
    <t>CHADWICK BEACH</t>
  </si>
  <si>
    <t>CHATHAM</t>
  </si>
  <si>
    <t>CHESTER</t>
  </si>
  <si>
    <t>CLIFFSIDE PARK</t>
  </si>
  <si>
    <t>CLIFFWOOD</t>
  </si>
  <si>
    <t>CLIFFWOOD BEACH</t>
  </si>
  <si>
    <t>CLIFTON</t>
  </si>
  <si>
    <t>CLINTON</t>
  </si>
  <si>
    <t>CLOSTER</t>
  </si>
  <si>
    <t>COLONIA</t>
  </si>
  <si>
    <t>COLTS NECK</t>
  </si>
  <si>
    <t>CRANFORD</t>
  </si>
  <si>
    <t>DEAL</t>
  </si>
  <si>
    <t>DEL HAVEN</t>
  </si>
  <si>
    <t>DELANCO</t>
  </si>
  <si>
    <t>DELAWARE</t>
  </si>
  <si>
    <t>DOVER TOWNSHIP</t>
  </si>
  <si>
    <t>DUMONT</t>
  </si>
  <si>
    <t>DUNELLEN</t>
  </si>
  <si>
    <t>EAST BRUNSWICK</t>
  </si>
  <si>
    <t>EAST HANOVER</t>
  </si>
  <si>
    <t>EAST NEWARK</t>
  </si>
  <si>
    <t>EAST ORANGE</t>
  </si>
  <si>
    <t>EAST RUTHERFORD</t>
  </si>
  <si>
    <t>EAST WINDSOR</t>
  </si>
  <si>
    <t>MERCER</t>
  </si>
  <si>
    <t>EATONTOWN</t>
  </si>
  <si>
    <t>EDGEWATER</t>
  </si>
  <si>
    <t>EDISON</t>
  </si>
  <si>
    <t>EGG HARBOR CITY</t>
  </si>
  <si>
    <t>EGG HARBOR TOWNSHIP</t>
  </si>
  <si>
    <t>EGG HARBOR TWN</t>
  </si>
  <si>
    <t>EGG HARBOR TWP</t>
  </si>
  <si>
    <t>ELIZABETH</t>
  </si>
  <si>
    <t>ELMWOOD PARK</t>
  </si>
  <si>
    <t>ENGLEWOOD CLIFFS</t>
  </si>
  <si>
    <t>ENGLISHTOWN</t>
  </si>
  <si>
    <t>EWING</t>
  </si>
  <si>
    <t>FAIR HAVEN</t>
  </si>
  <si>
    <t>FAIR LAWN</t>
  </si>
  <si>
    <t>FAIRVIEW</t>
  </si>
  <si>
    <t>FANWOOD</t>
  </si>
  <si>
    <t>FLEMINGTON</t>
  </si>
  <si>
    <t>FORDS</t>
  </si>
  <si>
    <t>FORKED RIVER</t>
  </si>
  <si>
    <t>FORTESCUE</t>
  </si>
  <si>
    <t>FREEHOLD</t>
  </si>
  <si>
    <t>GALLOWAY</t>
  </si>
  <si>
    <t>GALLOWAY TOWNSHIP</t>
  </si>
  <si>
    <t>GARFIELD</t>
  </si>
  <si>
    <t>GLEN RIDGE</t>
  </si>
  <si>
    <t>GLEN ROCK</t>
  </si>
  <si>
    <t>GREEEN BROOK</t>
  </si>
  <si>
    <t>GREEN BANK</t>
  </si>
  <si>
    <t>GREENBROOK</t>
  </si>
  <si>
    <t>GREENWICH</t>
  </si>
  <si>
    <t>HACKETTSTOWN</t>
  </si>
  <si>
    <t>HAMBURG</t>
  </si>
  <si>
    <t>HAMILTON</t>
  </si>
  <si>
    <t>HAMILTON SQUARE</t>
  </si>
  <si>
    <t>HAMMONTON</t>
  </si>
  <si>
    <t>HARRINGTON PARK</t>
  </si>
  <si>
    <t>HARVEY CEDARS</t>
  </si>
  <si>
    <t>HASBROUCK HEIGHTS</t>
  </si>
  <si>
    <t>HAVEN BEACH</t>
  </si>
  <si>
    <t>HAWTHORNE</t>
  </si>
  <si>
    <t>HAZLET</t>
  </si>
  <si>
    <t>HEISLERVILLE</t>
  </si>
  <si>
    <t>HEWITT</t>
  </si>
  <si>
    <t>HIGHLAND</t>
  </si>
  <si>
    <t>HIGHLAND PARK</t>
  </si>
  <si>
    <t>HIGHLANDS</t>
  </si>
  <si>
    <t>HIGHS BEACH</t>
  </si>
  <si>
    <t>HIGHTSTOWN</t>
  </si>
  <si>
    <t>HILLSIDE</t>
  </si>
  <si>
    <t>HOLGATE</t>
  </si>
  <si>
    <t>HOLMDEL</t>
  </si>
  <si>
    <t>HOPATCONG</t>
  </si>
  <si>
    <t>HOWELL</t>
  </si>
  <si>
    <t>INTERLAKEN</t>
  </si>
  <si>
    <t>ISELIN</t>
  </si>
  <si>
    <t>ISLAND HEIGHTS</t>
  </si>
  <si>
    <t>ISLAND HEIGHTS,</t>
  </si>
  <si>
    <t>ISLANDS</t>
  </si>
  <si>
    <t>JACKSON</t>
  </si>
  <si>
    <t>JAMESBURG</t>
  </si>
  <si>
    <t>JERSEY</t>
  </si>
  <si>
    <t>JERSEY CITY</t>
  </si>
  <si>
    <t>KEANRY</t>
  </si>
  <si>
    <t>KEANSBURG</t>
  </si>
  <si>
    <t>KEARNEY</t>
  </si>
  <si>
    <t>KEARY</t>
  </si>
  <si>
    <t>KENDALL PARK</t>
  </si>
  <si>
    <t>KENILWORTH</t>
  </si>
  <si>
    <t>KERNY</t>
  </si>
  <si>
    <t>KEYPORT</t>
  </si>
  <si>
    <t>LAKE COMO</t>
  </si>
  <si>
    <t>LAKEWOOD</t>
  </si>
  <si>
    <t>LAMBERTVILLE</t>
  </si>
  <si>
    <t>LANDING</t>
  </si>
  <si>
    <t>LANOKA HARBOR</t>
  </si>
  <si>
    <t>LAURENCE HARBOR</t>
  </si>
  <si>
    <t>LAVALETTE</t>
  </si>
  <si>
    <t>LAVALETTEE</t>
  </si>
  <si>
    <t>LAVALLETTE</t>
  </si>
  <si>
    <t>LAVALLETTTE</t>
  </si>
  <si>
    <t>LAWNSIDE</t>
  </si>
  <si>
    <t>LAWRENCEVILLE</t>
  </si>
  <si>
    <t>LEH</t>
  </si>
  <si>
    <t>LEHT</t>
  </si>
  <si>
    <t>LEONARDO</t>
  </si>
  <si>
    <t>LINCOLN PARK</t>
  </si>
  <si>
    <t>LINCROFT</t>
  </si>
  <si>
    <t>LINDEN</t>
  </si>
  <si>
    <t>LINWOOD</t>
  </si>
  <si>
    <t>LITTLE EGG HABOUR</t>
  </si>
  <si>
    <t>LITTLE EGG HARBOR</t>
  </si>
  <si>
    <t>LITTLE EGG HARBOR TOWNSHIP</t>
  </si>
  <si>
    <t>LITTLE EGG HARBOR TWP</t>
  </si>
  <si>
    <t>LITTLE FALLS</t>
  </si>
  <si>
    <t>LITTLE SILVER</t>
  </si>
  <si>
    <t>LIVINGSTON</t>
  </si>
  <si>
    <t>LODI</t>
  </si>
  <si>
    <t>LONG BCH TWP</t>
  </si>
  <si>
    <t>LONG BEACH TOWNSHIP</t>
  </si>
  <si>
    <t>LONG BEACH TOWNSHIP HOLGATE</t>
  </si>
  <si>
    <t>LONG BEACH TWP</t>
  </si>
  <si>
    <t>LONG BEACH TWP.</t>
  </si>
  <si>
    <t>LONG BRANCH</t>
  </si>
  <si>
    <t>LONGPORT</t>
  </si>
  <si>
    <t>LYNDHURST</t>
  </si>
  <si>
    <t>MAAHAWKIN</t>
  </si>
  <si>
    <t>MANAHAKIN</t>
  </si>
  <si>
    <t>MANAHAWKIN</t>
  </si>
  <si>
    <t>MANALAPAN</t>
  </si>
  <si>
    <t>MANASQUAN</t>
  </si>
  <si>
    <t>MANASQUAN,</t>
  </si>
  <si>
    <t>MANTOLOKING</t>
  </si>
  <si>
    <t>MAPLE SHADE</t>
  </si>
  <si>
    <t>MAPLEWOOD</t>
  </si>
  <si>
    <t>MARGATE</t>
  </si>
  <si>
    <t>MARGATE CITY</t>
  </si>
  <si>
    <t>MARMORA</t>
  </si>
  <si>
    <t>MARTINSVILLE</t>
  </si>
  <si>
    <t>MATAWAN</t>
  </si>
  <si>
    <t>MAYS LANDING</t>
  </si>
  <si>
    <t>MAYWOOD</t>
  </si>
  <si>
    <t>MCKEE CITY</t>
  </si>
  <si>
    <t>MENDHAM</t>
  </si>
  <si>
    <t>METUCHEN</t>
  </si>
  <si>
    <t>MIDDLE TOWNSHIP</t>
  </si>
  <si>
    <t>MIDLAND PARK</t>
  </si>
  <si>
    <t>MIDLDLETOWN</t>
  </si>
  <si>
    <t>MILLBURN</t>
  </si>
  <si>
    <t>MILLINGTON</t>
  </si>
  <si>
    <t>MONEY ISLAND</t>
  </si>
  <si>
    <t>MONMOUTH BEACH</t>
  </si>
  <si>
    <t>MONMUTH BEACH</t>
  </si>
  <si>
    <t>MONROE TOWNSHIP</t>
  </si>
  <si>
    <t>MONTCLAIR</t>
  </si>
  <si>
    <t>MONTEREY BEACH</t>
  </si>
  <si>
    <t>MOONACHIE</t>
  </si>
  <si>
    <t>MORGANVILLE</t>
  </si>
  <si>
    <t>MORRISTOWN</t>
  </si>
  <si>
    <t>MOUNTAIN LAKES</t>
  </si>
  <si>
    <t>MOUNTAINSIDE</t>
  </si>
  <si>
    <t>MT. LAUREL</t>
  </si>
  <si>
    <t>MYSTIC ISLAND</t>
  </si>
  <si>
    <t>N BEACH HAVEN</t>
  </si>
  <si>
    <t>N BERGEN</t>
  </si>
  <si>
    <t>N PLAINFIELD</t>
  </si>
  <si>
    <t>N WILDWOOD</t>
  </si>
  <si>
    <t>N. BEACH HAVEN</t>
  </si>
  <si>
    <t>N. MIDDLETOWN</t>
  </si>
  <si>
    <t>N. WILDWOOD</t>
  </si>
  <si>
    <t>NEPTUNE</t>
  </si>
  <si>
    <t>NEPTUNE CITY</t>
  </si>
  <si>
    <t>NEW BRITAIN</t>
  </si>
  <si>
    <t>BUCKS</t>
  </si>
  <si>
    <t>PA</t>
  </si>
  <si>
    <t>NEW BRUNSWICK</t>
  </si>
  <si>
    <t>NEW GRETNA</t>
  </si>
  <si>
    <t>NEW JERSEY</t>
  </si>
  <si>
    <t>NEWARK</t>
  </si>
  <si>
    <t>NEWPORT</t>
  </si>
  <si>
    <t>NEWTON</t>
  </si>
  <si>
    <t>NORMANDY BCH</t>
  </si>
  <si>
    <t>NORMANDY BEACH</t>
  </si>
  <si>
    <t>NORTH ARLINGTON</t>
  </si>
  <si>
    <t>NORTH BEACH</t>
  </si>
  <si>
    <t>NORTH BEACH HAVEN</t>
  </si>
  <si>
    <t>NORTH BERGEN</t>
  </si>
  <si>
    <t>NORTH BRUNSWICK</t>
  </si>
  <si>
    <t>NORTH CAPE MAY</t>
  </si>
  <si>
    <t>NORTH MIDDLETOWN</t>
  </si>
  <si>
    <t>NORTH PLAINFIELD</t>
  </si>
  <si>
    <t>NORTH WILDWOOD</t>
  </si>
  <si>
    <t>NORTHFIELD</t>
  </si>
  <si>
    <t>NORWOOD</t>
  </si>
  <si>
    <t>NUTLEY</t>
  </si>
  <si>
    <t>OAK RIDGE</t>
  </si>
  <si>
    <t>OAKHURST</t>
  </si>
  <si>
    <t>OCEAN CITY</t>
  </si>
  <si>
    <t>OCEAN GATE</t>
  </si>
  <si>
    <t>OCEAN GROVE</t>
  </si>
  <si>
    <t>OCEAN VIEW</t>
  </si>
  <si>
    <t>OCEANPORT</t>
  </si>
  <si>
    <t>OLD BRIDGE</t>
  </si>
  <si>
    <t>ORTLEY</t>
  </si>
  <si>
    <t>ORTLEY BEACH</t>
  </si>
  <si>
    <t>PALMYRA</t>
  </si>
  <si>
    <t>PARAMUS</t>
  </si>
  <si>
    <t>PARLIN</t>
  </si>
  <si>
    <t>PARSIPPANY</t>
  </si>
  <si>
    <t>PATERSON</t>
  </si>
  <si>
    <t>PEAHALA PARK</t>
  </si>
  <si>
    <t>PEHALA PARK</t>
  </si>
  <si>
    <t>PELICAN ISLAND</t>
  </si>
  <si>
    <t>PENNINGTON</t>
  </si>
  <si>
    <t>PENNS GROVE</t>
  </si>
  <si>
    <t>SALEM</t>
  </si>
  <si>
    <t>PENNSVILLE</t>
  </si>
  <si>
    <t>PERTH AMBOY</t>
  </si>
  <si>
    <t>PHILLIPSBURG</t>
  </si>
  <si>
    <t>PINE BEACH</t>
  </si>
  <si>
    <t>PISCATAWAY</t>
  </si>
  <si>
    <t>PITTSTOWN</t>
  </si>
  <si>
    <t>PLAINFIELD</t>
  </si>
  <si>
    <t>PLEASANTVILLLE</t>
  </si>
  <si>
    <t>POINT LEASANT BEACH</t>
  </si>
  <si>
    <t>POINT PLEASANT</t>
  </si>
  <si>
    <t>POINT PLEASANT BEACH</t>
  </si>
  <si>
    <t>POINT PLEASANT BORO</t>
  </si>
  <si>
    <t>PORT MONMOUTH</t>
  </si>
  <si>
    <t>PORT NEWARK</t>
  </si>
  <si>
    <t>PORT NORRIS</t>
  </si>
  <si>
    <t>PORT READING</t>
  </si>
  <si>
    <t>PORT REPUBLIC</t>
  </si>
  <si>
    <t>PRINCETON</t>
  </si>
  <si>
    <t>PT PLEAS BCH</t>
  </si>
  <si>
    <t>PT PLEASANT</t>
  </si>
  <si>
    <t>PT PLEASANT BEACH</t>
  </si>
  <si>
    <t>PT.  PLEASANT BEACH</t>
  </si>
  <si>
    <t>PT. PLEASANT</t>
  </si>
  <si>
    <t>PT. PLEASANT BEACH</t>
  </si>
  <si>
    <t>RAHWAY</t>
  </si>
  <si>
    <t>RANDOLPH</t>
  </si>
  <si>
    <t>RARITAN</t>
  </si>
  <si>
    <t>RED BANK</t>
  </si>
  <si>
    <t>RIDGEFIELD PARK</t>
  </si>
  <si>
    <t>RINGWOOD</t>
  </si>
  <si>
    <t>RIO GRANDE</t>
  </si>
  <si>
    <t>ROBBINSVILLE</t>
  </si>
  <si>
    <t>ROCHELLE PARK</t>
  </si>
  <si>
    <t>ROSELAND</t>
  </si>
  <si>
    <t>ROSELLE</t>
  </si>
  <si>
    <t>ROSELLE PARK</t>
  </si>
  <si>
    <t>RUMSON</t>
  </si>
  <si>
    <t>RUTHERFORD</t>
  </si>
  <si>
    <t>S KEARNY</t>
  </si>
  <si>
    <t>S SEASIDE PARK</t>
  </si>
  <si>
    <t>S. KEARNEY</t>
  </si>
  <si>
    <t>S. KEARNY</t>
  </si>
  <si>
    <t>S. SEASIDE PARK</t>
  </si>
  <si>
    <t>SADDLE BROOK</t>
  </si>
  <si>
    <t>SANDY HOOK</t>
  </si>
  <si>
    <t>SAREVILLE</t>
  </si>
  <si>
    <t>SAYREVILLE</t>
  </si>
  <si>
    <t>SCOTCH PLAINS</t>
  </si>
  <si>
    <t>SEA BRIGHT</t>
  </si>
  <si>
    <t>SEA GIRT</t>
  </si>
  <si>
    <t>SEA ISLE</t>
  </si>
  <si>
    <t>SEA ISLE CITY</t>
  </si>
  <si>
    <t>SEA SIDE PARK</t>
  </si>
  <si>
    <t>SEABRIGHT</t>
  </si>
  <si>
    <t>SEASIDE</t>
  </si>
  <si>
    <t>SEASIDE HEIGHTS</t>
  </si>
  <si>
    <t>SEASIDE HTS</t>
  </si>
  <si>
    <t>SEASIDE PARK</t>
  </si>
  <si>
    <t>SEASIIDE HEIGHTS</t>
  </si>
  <si>
    <t>SEASISE HEIGHTS</t>
  </si>
  <si>
    <t>SEAVILLE</t>
  </si>
  <si>
    <t>SECAUCUS</t>
  </si>
  <si>
    <t>SEWAREN</t>
  </si>
  <si>
    <t>SEWARREN</t>
  </si>
  <si>
    <t>SHIP BOTTOM</t>
  </si>
  <si>
    <t>SHIPBOTTOM</t>
  </si>
  <si>
    <t>SHORT HILLS</t>
  </si>
  <si>
    <t>SHREWSBURY</t>
  </si>
  <si>
    <t>SICKLERVILLE</t>
  </si>
  <si>
    <t>SO MANTOLOKING</t>
  </si>
  <si>
    <t>SO. AMBOY</t>
  </si>
  <si>
    <t>SOMERS POINT</t>
  </si>
  <si>
    <t>SOMERVILLE</t>
  </si>
  <si>
    <t>SOURTH KEARNY</t>
  </si>
  <si>
    <t>SOUTH  KEARNY</t>
  </si>
  <si>
    <t>SOUTH  TOMS RIVER</t>
  </si>
  <si>
    <t>SOUTH AMBOY</t>
  </si>
  <si>
    <t>SOUTH CARNEY</t>
  </si>
  <si>
    <t>SOUTH HACKENSACK</t>
  </si>
  <si>
    <t>SOUTH KEARNEY</t>
  </si>
  <si>
    <t>SOUTH KEARNY</t>
  </si>
  <si>
    <t>SOUTH MANTOLOKING</t>
  </si>
  <si>
    <t>SOUTH MANTOLOKING (BRICK)</t>
  </si>
  <si>
    <t>SOUTH PLAINFIELD</t>
  </si>
  <si>
    <t>SOUTH RIVER</t>
  </si>
  <si>
    <t>SOUTH SEASIDE PARK</t>
  </si>
  <si>
    <t>SOUTH TOMS RIVER</t>
  </si>
  <si>
    <t>SPARTA</t>
  </si>
  <si>
    <t>SPOTSWOOD</t>
  </si>
  <si>
    <t>SPRAY BEACH</t>
  </si>
  <si>
    <t>SPRING LAKE</t>
  </si>
  <si>
    <t>SPRING LAKE HEIGHTS</t>
  </si>
  <si>
    <t>SPRINGFIELD</t>
  </si>
  <si>
    <t>STAFFORD</t>
  </si>
  <si>
    <t>STAFFORD TOWNSHIP</t>
  </si>
  <si>
    <t>STANHOPE</t>
  </si>
  <si>
    <t>STIRLING</t>
  </si>
  <si>
    <t>STONE HARBOR</t>
  </si>
  <si>
    <t>STRATHMERE</t>
  </si>
  <si>
    <t>SUCCASUNNA</t>
  </si>
  <si>
    <t>SUMMIT</t>
  </si>
  <si>
    <t>SURF CITY</t>
  </si>
  <si>
    <t>TEANECK</t>
  </si>
  <si>
    <t>TETERBORO</t>
  </si>
  <si>
    <t>TINTON FALLS</t>
  </si>
  <si>
    <t>TITUSVILLE</t>
  </si>
  <si>
    <t>TOMS RIVER</t>
  </si>
  <si>
    <t>TOMSRIVER</t>
  </si>
  <si>
    <t>TOWNSHIP OF LONG BEACH</t>
  </si>
  <si>
    <t>TRENTON</t>
  </si>
  <si>
    <t>TUCKERTON</t>
  </si>
  <si>
    <t>UNION BEACH</t>
  </si>
  <si>
    <t>UNION CITY</t>
  </si>
  <si>
    <t>VENTNOR</t>
  </si>
  <si>
    <t>VENTNOR CITY</t>
  </si>
  <si>
    <t>VERONA</t>
  </si>
  <si>
    <t>VILLAS</t>
  </si>
  <si>
    <t>VINELAND</t>
  </si>
  <si>
    <t>W. KEANSBURG</t>
  </si>
  <si>
    <t>WALL</t>
  </si>
  <si>
    <t>WALL TOWNSHIP</t>
  </si>
  <si>
    <t>WALLINGTON</t>
  </si>
  <si>
    <t>WANAQUE</t>
  </si>
  <si>
    <t>WARETOWN</t>
  </si>
  <si>
    <t>WARETWON</t>
  </si>
  <si>
    <t>WASHINGTON</t>
  </si>
  <si>
    <t>WATCHUNG</t>
  </si>
  <si>
    <t>WAYNE</t>
  </si>
  <si>
    <t>WEEHAWKEN</t>
  </si>
  <si>
    <t>WEST ATLANTIC CITY</t>
  </si>
  <si>
    <t>WEST CREEK</t>
  </si>
  <si>
    <t>WEST LONG BRANCH</t>
  </si>
  <si>
    <t>WEST NEW YORK</t>
  </si>
  <si>
    <t>WEST ORANGE</t>
  </si>
  <si>
    <t>WEST WILDWOOD</t>
  </si>
  <si>
    <t>WESTFIELD</t>
  </si>
  <si>
    <t>WHITING</t>
  </si>
  <si>
    <t>WILDWOOD</t>
  </si>
  <si>
    <t>WILDWOOD CREST</t>
  </si>
  <si>
    <t>WILLINGBORO</t>
  </si>
  <si>
    <t>WOOD RIDGE</t>
  </si>
  <si>
    <t>WOODBRIDGE</t>
  </si>
  <si>
    <t>WOODLAND PARK</t>
  </si>
  <si>
    <t>WYCKOFF</t>
  </si>
  <si>
    <t>CT-00028</t>
  </si>
  <si>
    <t>BRANFORD</t>
  </si>
  <si>
    <t>NEW HAVEN</t>
  </si>
  <si>
    <t>BRIDGEPORT</t>
  </si>
  <si>
    <t>COS COB</t>
  </si>
  <si>
    <t>CROSS RIVER</t>
  </si>
  <si>
    <t>DANBURY</t>
  </si>
  <si>
    <t>DARIEN</t>
  </si>
  <si>
    <t>DERBY</t>
  </si>
  <si>
    <t>EAST HAVEN</t>
  </si>
  <si>
    <t>GROTON</t>
  </si>
  <si>
    <t>NEW LONDON</t>
  </si>
  <si>
    <t>MADISON</t>
  </si>
  <si>
    <t>MILFORD</t>
  </si>
  <si>
    <t>MYSTIC</t>
  </si>
  <si>
    <t>NEW CANAAN</t>
  </si>
  <si>
    <t>NIANTIC</t>
  </si>
  <si>
    <t>NORWALK</t>
  </si>
  <si>
    <t>NORWICH</t>
  </si>
  <si>
    <t>OLD GREENWICH</t>
  </si>
  <si>
    <t>OLD LYME</t>
  </si>
  <si>
    <t>OLD SAYBROOK</t>
  </si>
  <si>
    <t>QUAKER HILL</t>
  </si>
  <si>
    <t>ROWAYTON</t>
  </si>
  <si>
    <t>SHELTON</t>
  </si>
  <si>
    <t>SOUTH NORWALK</t>
  </si>
  <si>
    <t>SOUTHPORT</t>
  </si>
  <si>
    <t>STAMFORD</t>
  </si>
  <si>
    <t>STRATFORD</t>
  </si>
  <si>
    <t>WATERBURY</t>
  </si>
  <si>
    <t>WEST HAVEN</t>
  </si>
  <si>
    <t>WEST MYSTIC</t>
  </si>
  <si>
    <t>WESTBROOK</t>
  </si>
  <si>
    <t>WESTPORT</t>
  </si>
  <si>
    <t>WILTON</t>
  </si>
  <si>
    <t>RI-00010</t>
  </si>
  <si>
    <t>CHARLESTOWN</t>
  </si>
  <si>
    <t>RI</t>
  </si>
  <si>
    <t>NARRAGANSETT</t>
  </si>
  <si>
    <t>SOUTH KINGSTOWN</t>
  </si>
  <si>
    <t>WAKEFIELD</t>
  </si>
  <si>
    <t>WESTERLY</t>
  </si>
  <si>
    <t>MD-00024</t>
  </si>
  <si>
    <t>CRISFIELD</t>
  </si>
  <si>
    <t>MD</t>
  </si>
  <si>
    <t>DEAL ISLAND</t>
  </si>
  <si>
    <t>EWELL</t>
  </si>
  <si>
    <t>MARION STATION</t>
  </si>
  <si>
    <t>POCOMOKE CITY</t>
  </si>
  <si>
    <t>TYLERTON</t>
  </si>
  <si>
    <t>WESTOER</t>
  </si>
  <si>
    <t>WESTOVER</t>
  </si>
  <si>
    <t>MS-00064</t>
  </si>
  <si>
    <t>HATTIESBURG</t>
  </si>
  <si>
    <t>FORREST</t>
  </si>
  <si>
    <t>MS</t>
  </si>
  <si>
    <t>LAMAR</t>
  </si>
  <si>
    <t>PETAL</t>
  </si>
  <si>
    <t>PRENTISS</t>
  </si>
  <si>
    <t>JEFFERSON DAVIS</t>
  </si>
  <si>
    <t>WAYNESBORO</t>
  </si>
  <si>
    <t>IL-00041</t>
  </si>
  <si>
    <t>ADDISON</t>
  </si>
  <si>
    <t>DUPAGE</t>
  </si>
  <si>
    <t>IL</t>
  </si>
  <si>
    <t>ANTIOCH</t>
  </si>
  <si>
    <t>LAKE</t>
  </si>
  <si>
    <t>ATKINSON</t>
  </si>
  <si>
    <t>HENRY</t>
  </si>
  <si>
    <t>AURORA</t>
  </si>
  <si>
    <t>KANE</t>
  </si>
  <si>
    <t>BARTONVILLE</t>
  </si>
  <si>
    <t>PEORIA</t>
  </si>
  <si>
    <t>BATAVIA</t>
  </si>
  <si>
    <t>BATCHTOWN</t>
  </si>
  <si>
    <t>CALHOUN</t>
  </si>
  <si>
    <t>BEACH PARK</t>
  </si>
  <si>
    <t>BELLWOOD</t>
  </si>
  <si>
    <t>COOK</t>
  </si>
  <si>
    <t>BERKELEY</t>
  </si>
  <si>
    <t>BOLINGBROOK</t>
  </si>
  <si>
    <t>WILL</t>
  </si>
  <si>
    <t>BROADVIEW</t>
  </si>
  <si>
    <t>BROOKFIELD</t>
  </si>
  <si>
    <t>CALUMET CITY</t>
  </si>
  <si>
    <t>CALUMET PARK</t>
  </si>
  <si>
    <t>CEDAR POINT</t>
  </si>
  <si>
    <t>LA SALLE</t>
  </si>
  <si>
    <t>CHICAGO</t>
  </si>
  <si>
    <t>CHICAGO HEIGHTS</t>
  </si>
  <si>
    <t>CHICAGO HTS</t>
  </si>
  <si>
    <t>CHILLICOTHE</t>
  </si>
  <si>
    <t>COUNTRY CLUB HILLS</t>
  </si>
  <si>
    <t>CUBA</t>
  </si>
  <si>
    <t>FULTON</t>
  </si>
  <si>
    <t>DEERFIELD</t>
  </si>
  <si>
    <t>DES PLAINES</t>
  </si>
  <si>
    <t>DOLTON</t>
  </si>
  <si>
    <t>DOWNERS GROVE</t>
  </si>
  <si>
    <t>EAST HAZEL CREST</t>
  </si>
  <si>
    <t>EAST MOLINE</t>
  </si>
  <si>
    <t>ROCK ISLAND</t>
  </si>
  <si>
    <t>ELGIN</t>
  </si>
  <si>
    <t>EVANSTON</t>
  </si>
  <si>
    <t>EVERGREEN PARK</t>
  </si>
  <si>
    <t>FORD HEIGHTS</t>
  </si>
  <si>
    <t>FOREST VIEW</t>
  </si>
  <si>
    <t>FOX LAKE</t>
  </si>
  <si>
    <t>FRANKFORT</t>
  </si>
  <si>
    <t>GALESBURG</t>
  </si>
  <si>
    <t>KNOX</t>
  </si>
  <si>
    <t>GLEN ELLYN</t>
  </si>
  <si>
    <t>GLENVIEW</t>
  </si>
  <si>
    <t>GLENWOOD</t>
  </si>
  <si>
    <t>HARVEY</t>
  </si>
  <si>
    <t>HAZEL CREST</t>
  </si>
  <si>
    <t>HINSDALE</t>
  </si>
  <si>
    <t>HOMEWOOD</t>
  </si>
  <si>
    <t>INGLESIDE</t>
  </si>
  <si>
    <t>JOLIET</t>
  </si>
  <si>
    <t>LEWISTOWN</t>
  </si>
  <si>
    <t>LINCOLNWOOD</t>
  </si>
  <si>
    <t>LISLE</t>
  </si>
  <si>
    <t>LOMBARD</t>
  </si>
  <si>
    <t>LYONS</t>
  </si>
  <si>
    <t>MACOMB</t>
  </si>
  <si>
    <t>MCDONOUGH</t>
  </si>
  <si>
    <t>MANVILLE</t>
  </si>
  <si>
    <t>MARKHAM</t>
  </si>
  <si>
    <t>MARSEILLES</t>
  </si>
  <si>
    <t>MATTESON</t>
  </si>
  <si>
    <t>MELROSE PARK</t>
  </si>
  <si>
    <t>MILAN</t>
  </si>
  <si>
    <t>MINOOKA</t>
  </si>
  <si>
    <t>GRUNDY</t>
  </si>
  <si>
    <t>MUNDELEIN</t>
  </si>
  <si>
    <t>NAPERVILLE</t>
  </si>
  <si>
    <t>KENDALL</t>
  </si>
  <si>
    <t>NORTH CHICAGO</t>
  </si>
  <si>
    <t>OAK FOREST</t>
  </si>
  <si>
    <t>OSWEGO</t>
  </si>
  <si>
    <t>OTTAWA</t>
  </si>
  <si>
    <t>PARK RIDGE</t>
  </si>
  <si>
    <t>PHOENIX</t>
  </si>
  <si>
    <t>PLANO</t>
  </si>
  <si>
    <t>BUREAU</t>
  </si>
  <si>
    <t>RICHTON PARK</t>
  </si>
  <si>
    <t>RIVER FOREST</t>
  </si>
  <si>
    <t>RIVER GROVE</t>
  </si>
  <si>
    <t>RIVERDALE</t>
  </si>
  <si>
    <t>RIVERSIDE</t>
  </si>
  <si>
    <t>ROANOKE</t>
  </si>
  <si>
    <t>WOODFORD</t>
  </si>
  <si>
    <t>ROBBINS</t>
  </si>
  <si>
    <t>ROCKFORD</t>
  </si>
  <si>
    <t>WINNEBAGO</t>
  </si>
  <si>
    <t>SKOKIE</t>
  </si>
  <si>
    <t>SOUTH ELGIN</t>
  </si>
  <si>
    <t>SOUTH HOLLAND</t>
  </si>
  <si>
    <t>STEGER</t>
  </si>
  <si>
    <t>STONE PARK</t>
  </si>
  <si>
    <t>TINLEY PARK</t>
  </si>
  <si>
    <t>UNIVERSITY PARK</t>
  </si>
  <si>
    <t>VILLA PARK</t>
  </si>
  <si>
    <t>WAUKEGAN</t>
  </si>
  <si>
    <t>WESTMONT</t>
  </si>
  <si>
    <t>WHEATON</t>
  </si>
  <si>
    <t>ZION</t>
  </si>
  <si>
    <t>OK-00071</t>
  </si>
  <si>
    <t>CARNEY</t>
  </si>
  <si>
    <t>LINCOLN</t>
  </si>
  <si>
    <t>OK</t>
  </si>
  <si>
    <t>CHOCTAW</t>
  </si>
  <si>
    <t>OKLAHOMA</t>
  </si>
  <si>
    <t>DEL CITY</t>
  </si>
  <si>
    <t>EL RENO</t>
  </si>
  <si>
    <t>CANADIAN</t>
  </si>
  <si>
    <t>HINTON</t>
  </si>
  <si>
    <t>MCLOUD</t>
  </si>
  <si>
    <t>POTTAWATOMIE</t>
  </si>
  <si>
    <t>MEEKER</t>
  </si>
  <si>
    <t>MOORE</t>
  </si>
  <si>
    <t>CLEVELAND</t>
  </si>
  <si>
    <t>NEWALLA</t>
  </si>
  <si>
    <t>NORMAN</t>
  </si>
  <si>
    <t>OKLAHOMA CITY</t>
  </si>
  <si>
    <t>SHAWNEE</t>
  </si>
  <si>
    <t>TRYON</t>
  </si>
  <si>
    <t>TULSA</t>
  </si>
  <si>
    <t>YUKON</t>
  </si>
  <si>
    <t>AK-00028</t>
  </si>
  <si>
    <t>GALENA</t>
  </si>
  <si>
    <t>YUKON FLATS REAA (51)</t>
  </si>
  <si>
    <t>AK</t>
  </si>
  <si>
    <t>YUKON-KOYUKUK REAA (52)</t>
  </si>
  <si>
    <t>HUGHES</t>
  </si>
  <si>
    <t>TOK</t>
  </si>
  <si>
    <t>ALASKA GATEWAY REAA (03)</t>
  </si>
  <si>
    <t>CO-00065</t>
  </si>
  <si>
    <t>ALLENSPARK</t>
  </si>
  <si>
    <t>BOULDER</t>
  </si>
  <si>
    <t>CO</t>
  </si>
  <si>
    <t>ARVADA</t>
  </si>
  <si>
    <t>JEFFERSON</t>
  </si>
  <si>
    <t>ATWOOD</t>
  </si>
  <si>
    <t>LOGAN</t>
  </si>
  <si>
    <t>ADAMS</t>
  </si>
  <si>
    <t>ARAPAHOE</t>
  </si>
  <si>
    <t>BELLVUE</t>
  </si>
  <si>
    <t>LARIMER</t>
  </si>
  <si>
    <t>BERTHOUD</t>
  </si>
  <si>
    <t>CANON CITY</t>
  </si>
  <si>
    <t>FREMONT</t>
  </si>
  <si>
    <t>COLORADO SPRINGS</t>
  </si>
  <si>
    <t>EL PASO</t>
  </si>
  <si>
    <t>COMMERCE CITY</t>
  </si>
  <si>
    <t>DACONO</t>
  </si>
  <si>
    <t>WELD</t>
  </si>
  <si>
    <t>DENVER</t>
  </si>
  <si>
    <t>DRAKE</t>
  </si>
  <si>
    <t>ELDORADO SPRINGS</t>
  </si>
  <si>
    <t>ERIE</t>
  </si>
  <si>
    <t>ESTES PARK</t>
  </si>
  <si>
    <t>EVANS</t>
  </si>
  <si>
    <t>EVERGREEN</t>
  </si>
  <si>
    <t>FORT COLLINS</t>
  </si>
  <si>
    <t>FORT LUPTON</t>
  </si>
  <si>
    <t>FREDERICK</t>
  </si>
  <si>
    <t>GLEN HAVEN</t>
  </si>
  <si>
    <t>GOLDEN</t>
  </si>
  <si>
    <t>GRANBY</t>
  </si>
  <si>
    <t>GRAND</t>
  </si>
  <si>
    <t>GREELEY</t>
  </si>
  <si>
    <t>IDAHO SPRINGS</t>
  </si>
  <si>
    <t>CLEAR CREEK</t>
  </si>
  <si>
    <t>JAMESTOWN</t>
  </si>
  <si>
    <t>JOHNSTOWN</t>
  </si>
  <si>
    <t>KERSEY</t>
  </si>
  <si>
    <t>KITTREDGE</t>
  </si>
  <si>
    <t>LAFAYETTE</t>
  </si>
  <si>
    <t>LAPORTE</t>
  </si>
  <si>
    <t>LONGMONT</t>
  </si>
  <si>
    <t>LOUISVILLE</t>
  </si>
  <si>
    <t>LOVELAND</t>
  </si>
  <si>
    <t>MANITOU SPRINGS</t>
  </si>
  <si>
    <t>MERINO</t>
  </si>
  <si>
    <t>MILLIKEN</t>
  </si>
  <si>
    <t>NEDERLAND</t>
  </si>
  <si>
    <t>NIWOT</t>
  </si>
  <si>
    <t>PEYTON</t>
  </si>
  <si>
    <t>PLATTEVILLE</t>
  </si>
  <si>
    <t>STERLING</t>
  </si>
  <si>
    <t>SUPERIOR</t>
  </si>
  <si>
    <t>THORNTON</t>
  </si>
  <si>
    <t>WARD</t>
  </si>
  <si>
    <t>WELDONA</t>
  </si>
  <si>
    <t>MORGAN</t>
  </si>
  <si>
    <t>WINDSOR</t>
  </si>
  <si>
    <t>Business Data Only</t>
  </si>
  <si>
    <t>United States Small Business Administration (SBA)         RPT-13304      Last modified: 10/20/2014</t>
  </si>
  <si>
    <t>For this system, use the buttons below to select the goal percentage of Total Verified Loses</t>
  </si>
  <si>
    <t>to cover with loans, as well as a "fudge factor" to account for accounting for expected year</t>
  </si>
  <si>
    <t>This system is designed to help make budget decisions for the SBA's disaster relief loans.</t>
  </si>
  <si>
    <t>to year change in expected loses.</t>
  </si>
  <si>
    <t>Loss Coverage</t>
  </si>
  <si>
    <t>Fudge Factor</t>
  </si>
  <si>
    <t>Row Labels</t>
  </si>
  <si>
    <t>Grand Total</t>
  </si>
  <si>
    <t>Commercial Data</t>
  </si>
  <si>
    <t>Sum of Coverage</t>
  </si>
  <si>
    <t>Data Analysis</t>
  </si>
  <si>
    <t>Coverage Goal</t>
  </si>
  <si>
    <t>Total Loss</t>
  </si>
  <si>
    <t>Recommended Budget</t>
  </si>
  <si>
    <t>Residential Data</t>
  </si>
  <si>
    <t>Total Loans</t>
  </si>
  <si>
    <t>Total Losses</t>
  </si>
  <si>
    <t xml:space="preserve">Report Run Date:  10/20/2014 </t>
  </si>
  <si>
    <t>Report Run Time:  10:55:58AM</t>
  </si>
  <si>
    <t>ADDISLEIGH PARK</t>
  </si>
  <si>
    <t>AIRMONT</t>
  </si>
  <si>
    <t>AMAGANSETT</t>
  </si>
  <si>
    <t>AMITY HARBOUR</t>
  </si>
  <si>
    <t>AMITYVYLLE</t>
  </si>
  <si>
    <t>ARDSLEY</t>
  </si>
  <si>
    <t>AREVRNE</t>
  </si>
  <si>
    <t>ARMONK</t>
  </si>
  <si>
    <t>ARVERNE QUEENS</t>
  </si>
  <si>
    <t>ASHAROKEN</t>
  </si>
  <si>
    <t>AVERENE</t>
  </si>
  <si>
    <t>AVERNE</t>
  </si>
  <si>
    <t>BABLYLON</t>
  </si>
  <si>
    <t>BABYLON VILLAGE</t>
  </si>
  <si>
    <t>BALDWIN HARBOR</t>
  </si>
  <si>
    <t>BALDWIN HARBOUR</t>
  </si>
  <si>
    <t>BALDWIN PLACE</t>
  </si>
  <si>
    <t>BAYPORT</t>
  </si>
  <si>
    <t>BAYSIDE HILLS</t>
  </si>
  <si>
    <t>BAYSWATER</t>
  </si>
  <si>
    <t>BE;;E HARBOR</t>
  </si>
  <si>
    <t>BEDFORD</t>
  </si>
  <si>
    <t>BEDFORD HILLS</t>
  </si>
  <si>
    <t>BELL HARBOR</t>
  </si>
  <si>
    <t>BELLE  HARBOR</t>
  </si>
  <si>
    <t>BELLE HARBROR</t>
  </si>
  <si>
    <t>BELLO HARBOR</t>
  </si>
  <si>
    <t>BELLROSE</t>
  </si>
  <si>
    <t>BELMMORE</t>
  </si>
  <si>
    <t>BEOOKLYN</t>
  </si>
  <si>
    <t>BKYLN</t>
  </si>
  <si>
    <t>BLAUVELT</t>
  </si>
  <si>
    <t>BLOOMINGBURG</t>
  </si>
  <si>
    <t>BRAOD CHANNEL</t>
  </si>
  <si>
    <t>BREEZE</t>
  </si>
  <si>
    <t>BREEZY  POINT</t>
  </si>
  <si>
    <t>BREEZY PT</t>
  </si>
  <si>
    <t>BRIARCLIFF MANOR</t>
  </si>
  <si>
    <t>BRIARWOOD</t>
  </si>
  <si>
    <t>BRIDGEHAMPTON</t>
  </si>
  <si>
    <t>BRKLYN</t>
  </si>
  <si>
    <t>BROAD  CHANNEL</t>
  </si>
  <si>
    <t>BROKLYN</t>
  </si>
  <si>
    <t>BROOJKLYN</t>
  </si>
  <si>
    <t>BROOKLIN</t>
  </si>
  <si>
    <t>BROOKLNY</t>
  </si>
  <si>
    <t>BROOKLYLN</t>
  </si>
  <si>
    <t>BROOKLYN, NY</t>
  </si>
  <si>
    <t>BROOKLYNN</t>
  </si>
  <si>
    <t>BROOKVILLE</t>
  </si>
  <si>
    <t>BROOKYN</t>
  </si>
  <si>
    <t>BROOLKYN</t>
  </si>
  <si>
    <t>BROOOKLYN</t>
  </si>
  <si>
    <t>BRROKLYN</t>
  </si>
  <si>
    <t>BUCHANAN</t>
  </si>
  <si>
    <t>CALVERTON</t>
  </si>
  <si>
    <t>CAMPBELL HALL</t>
  </si>
  <si>
    <t>CAPTREE ISLAND</t>
  </si>
  <si>
    <t>CARMEL</t>
  </si>
  <si>
    <t>CIPIAGUE</t>
  </si>
  <si>
    <t>COPAIGUE</t>
  </si>
  <si>
    <t>COPIGUE</t>
  </si>
  <si>
    <t>CORTLANDT MANOR</t>
  </si>
  <si>
    <t>CROMPOND</t>
  </si>
  <si>
    <t>CROTON ON HUDSON</t>
  </si>
  <si>
    <t>DOUGLASTON</t>
  </si>
  <si>
    <t>E  ATLANTIC BEACH</t>
  </si>
  <si>
    <t>E ATLANTC BCH</t>
  </si>
  <si>
    <t>E ATLANTIC BEACH</t>
  </si>
  <si>
    <t>E PATCHOGUE</t>
  </si>
  <si>
    <t>E ROCKAWAY</t>
  </si>
  <si>
    <t>E. ROCKAWAY</t>
  </si>
  <si>
    <t>E. YAPHANK</t>
  </si>
  <si>
    <t>EAST ELMHURST STREET</t>
  </si>
  <si>
    <t>EAST HILLS</t>
  </si>
  <si>
    <t>EAST MASSAPEQUA</t>
  </si>
  <si>
    <t>EAST NORWICH</t>
  </si>
  <si>
    <t>EAST QUOQUE</t>
  </si>
  <si>
    <t>EAST ROCAKWAY</t>
  </si>
  <si>
    <t>EAST ROCKWAY</t>
  </si>
  <si>
    <t>EAST ROCXKAWAY</t>
  </si>
  <si>
    <t>EAST SETAUKET</t>
  </si>
  <si>
    <t>EAST WILLISTON</t>
  </si>
  <si>
    <t>EASTPATCHOGUE</t>
  </si>
  <si>
    <t>EASTROCKAWAY</t>
  </si>
  <si>
    <t>ELMFORD</t>
  </si>
  <si>
    <t>FAIR HARBOR</t>
  </si>
  <si>
    <t>FAR  ROCKAWAY</t>
  </si>
  <si>
    <t>FAR FOCKAWAY</t>
  </si>
  <si>
    <t>FAR ROCAWAY</t>
  </si>
  <si>
    <t>FAR ROCKAW;AY</t>
  </si>
  <si>
    <t>FAR ROCKAWAY NY</t>
  </si>
  <si>
    <t>FAR ROCKAWWAY</t>
  </si>
  <si>
    <t>FAR ROCKAWY</t>
  </si>
  <si>
    <t>FARROCKAWAY</t>
  </si>
  <si>
    <t>FAT ROCKAWAY</t>
  </si>
  <si>
    <t>FLORIDA</t>
  </si>
  <si>
    <t>FREEPRT</t>
  </si>
  <si>
    <t>GARDINER</t>
  </si>
  <si>
    <t>GARNERVILLE</t>
  </si>
  <si>
    <t>GARRISON</t>
  </si>
  <si>
    <t>GILGO BEACH</t>
  </si>
  <si>
    <t>GLEN OAKS</t>
  </si>
  <si>
    <t>GLENWOOD LANDING</t>
  </si>
  <si>
    <t>GOLDENS BRIDGE</t>
  </si>
  <si>
    <t>GOSHEN</t>
  </si>
  <si>
    <t>GRAND VIEW</t>
  </si>
  <si>
    <t>GREAT RIVER</t>
  </si>
  <si>
    <t>GREENLAWN</t>
  </si>
  <si>
    <t>GREENWOOD LAKE</t>
  </si>
  <si>
    <t>HALESITE</t>
  </si>
  <si>
    <t>HAMILTON BEACH</t>
  </si>
  <si>
    <t>HAMPTON NBAYS</t>
  </si>
  <si>
    <t>HARRIMAN</t>
  </si>
  <si>
    <t>HARTSDALE</t>
  </si>
  <si>
    <t>HASTINGS-ON-HUDSON</t>
  </si>
  <si>
    <t>HEWLETT HARBOR</t>
  </si>
  <si>
    <t>HIGHLAND FALLS</t>
  </si>
  <si>
    <t>HIGHLAND MILLS</t>
  </si>
  <si>
    <t>HOLLIS HILLS</t>
  </si>
  <si>
    <t>HOWARD</t>
  </si>
  <si>
    <t>HOWARD BCH</t>
  </si>
  <si>
    <t>HOWARD EACH</t>
  </si>
  <si>
    <t>HOWARDBEACH</t>
  </si>
  <si>
    <t>HOWRAD BEACH</t>
  </si>
  <si>
    <t>HUNTINGTON BAY</t>
  </si>
  <si>
    <t>HUNTINGTON STATION NY 11746</t>
  </si>
  <si>
    <t>HURLEYVILLE</t>
  </si>
  <si>
    <t>ISLAN PARK</t>
  </si>
  <si>
    <t>ISLAND PARK,</t>
  </si>
  <si>
    <t>ISLAND PARKL</t>
  </si>
  <si>
    <t>ISLAND PART</t>
  </si>
  <si>
    <t>ISLANLD PARK</t>
  </si>
  <si>
    <t>ISLIP TERRACE</t>
  </si>
  <si>
    <t>JACKSON HEIGHTS</t>
  </si>
  <si>
    <t>JEFFERSONVILLE</t>
  </si>
  <si>
    <t>KEW GARDENS</t>
  </si>
  <si>
    <t>KISMET</t>
  </si>
  <si>
    <t>KISMET FIRE ISLAND</t>
  </si>
  <si>
    <t>LAKE PEEKSKILL</t>
  </si>
  <si>
    <t>LAURANCE</t>
  </si>
  <si>
    <t>LAUREL</t>
  </si>
  <si>
    <t>LAWRENC</t>
  </si>
  <si>
    <t>LIDENHURST</t>
  </si>
  <si>
    <t>LIDO  BEACH</t>
  </si>
  <si>
    <t>LIDOBEACH</t>
  </si>
  <si>
    <t>LILDO BEACH</t>
  </si>
  <si>
    <t>LINDEHURST</t>
  </si>
  <si>
    <t>LINDENHURAT</t>
  </si>
  <si>
    <t>LINDENHUST</t>
  </si>
  <si>
    <t>LINDHENHURST</t>
  </si>
  <si>
    <t>LINDNEHURST</t>
  </si>
  <si>
    <t>LINDUNHURST</t>
  </si>
  <si>
    <t>LINENHURST</t>
  </si>
  <si>
    <t>LIVINGSTON MANOR</t>
  </si>
  <si>
    <t>LOGNBEACH</t>
  </si>
  <si>
    <t>LONB BEACH</t>
  </si>
  <si>
    <t>LONELYVILLE FIRE ISLAND</t>
  </si>
  <si>
    <t>LONG BAECH</t>
  </si>
  <si>
    <t>LONG BEASCH</t>
  </si>
  <si>
    <t>LONG ISLAND</t>
  </si>
  <si>
    <t>MALVERNE</t>
  </si>
  <si>
    <t>MANORVILLE</t>
  </si>
  <si>
    <t>MASSAPEQA</t>
  </si>
  <si>
    <t>MASSAPEQUA PK</t>
  </si>
  <si>
    <t>MASSAPEQUQA</t>
  </si>
  <si>
    <t>MASSAPEQUUA</t>
  </si>
  <si>
    <t>MASSPEQUA</t>
  </si>
  <si>
    <t>MASTI C BEACH</t>
  </si>
  <si>
    <t>MIDDE ISLAND</t>
  </si>
  <si>
    <t>MIDDLE VILLAGE</t>
  </si>
  <si>
    <t>MLVERNE</t>
  </si>
  <si>
    <t>MOHEGAN LAKE</t>
  </si>
  <si>
    <t>MONTICELLO</t>
  </si>
  <si>
    <t>MOUNT SINAI</t>
  </si>
  <si>
    <t>MOUNTAIN DALE</t>
  </si>
  <si>
    <t>MUTTONTOWN</t>
  </si>
  <si>
    <t>N BELLMORE</t>
  </si>
  <si>
    <t>N WOODMERE</t>
  </si>
  <si>
    <t>N. BELLMORE</t>
  </si>
  <si>
    <t>NEPONIST</t>
  </si>
  <si>
    <t>NEPONSIT BEACH</t>
  </si>
  <si>
    <t>NESCONSET</t>
  </si>
  <si>
    <t>NEW</t>
  </si>
  <si>
    <t>NEW HEMPSTEAD</t>
  </si>
  <si>
    <t>NEW PALTZ</t>
  </si>
  <si>
    <t>NEW WINDSOR</t>
  </si>
  <si>
    <t>NORTH MASSAPEQUA</t>
  </si>
  <si>
    <t>OAK ISLAND</t>
  </si>
  <si>
    <t>OAKLAND GDNS</t>
  </si>
  <si>
    <t>OCEANBEACH</t>
  </si>
  <si>
    <t>OCEANIDE</t>
  </si>
  <si>
    <t>OCEANSDIE</t>
  </si>
  <si>
    <t>OCEANSIDE,</t>
  </si>
  <si>
    <t>OCEASNSIDE</t>
  </si>
  <si>
    <t>OCENSIDE</t>
  </si>
  <si>
    <t>OEANSIDE</t>
  </si>
  <si>
    <t>OLD WESTBURY</t>
  </si>
  <si>
    <t>ORANGEBURG</t>
  </si>
  <si>
    <t>PALISADES</t>
  </si>
  <si>
    <t>PECONIC</t>
  </si>
  <si>
    <t>PINE ISLAND</t>
  </si>
  <si>
    <t>POINT LOOK OUT</t>
  </si>
  <si>
    <t>PORT JERVIS</t>
  </si>
  <si>
    <t>PT LOOKOUT</t>
  </si>
  <si>
    <t>PURDYS</t>
  </si>
  <si>
    <t>QUEENSVILLAGE</t>
  </si>
  <si>
    <t>ROACKAWAY</t>
  </si>
  <si>
    <t>ROACKAWAY BEACH</t>
  </si>
  <si>
    <t>ROACKAWAY PARK</t>
  </si>
  <si>
    <t>ROCK HILL</t>
  </si>
  <si>
    <t>ROCKAWA PARK</t>
  </si>
  <si>
    <t>ROCKAWAAY PARK</t>
  </si>
  <si>
    <t>ROCKAWAY  BEACH</t>
  </si>
  <si>
    <t>ROCKAWAY BLVD</t>
  </si>
  <si>
    <t>ROCKAWAY PARK,NY</t>
  </si>
  <si>
    <t>ROCKAWAY PT</t>
  </si>
  <si>
    <t>ROCKAWAYBEACH</t>
  </si>
  <si>
    <t>ROCKAWAYS</t>
  </si>
  <si>
    <t>ROCKAWY BEACH</t>
  </si>
  <si>
    <t>ROCKAWY PARK</t>
  </si>
  <si>
    <t>ROCKVILLE CENTER</t>
  </si>
  <si>
    <t>ROCKVILLE CTR</t>
  </si>
  <si>
    <t>ROCKWAY</t>
  </si>
  <si>
    <t>ROCKWAY PARK</t>
  </si>
  <si>
    <t>ROCKWAY POINT</t>
  </si>
  <si>
    <t>RONX</t>
  </si>
  <si>
    <t>ROSDALE</t>
  </si>
  <si>
    <t>ROSLYN HTS</t>
  </si>
  <si>
    <t>ROXBURY</t>
  </si>
  <si>
    <t>RYE BROOK</t>
  </si>
  <si>
    <t>S I</t>
  </si>
  <si>
    <t>S JAMESPORT</t>
  </si>
  <si>
    <t>SANDS POINT</t>
  </si>
  <si>
    <t>SATEN ISLAND</t>
  </si>
  <si>
    <t>SAUGERTIES</t>
  </si>
  <si>
    <t>SCARSDALE</t>
  </si>
  <si>
    <t>SEAFORD HARBOR</t>
  </si>
  <si>
    <t>SEA-GATE</t>
  </si>
  <si>
    <t>SETAUKET</t>
  </si>
  <si>
    <t>SHADY</t>
  </si>
  <si>
    <t>SHELTER IS HT</t>
  </si>
  <si>
    <t>SHOREHAM</t>
  </si>
  <si>
    <t>SHRUB OAK</t>
  </si>
  <si>
    <t>SI</t>
  </si>
  <si>
    <t>SMALLWOOD</t>
  </si>
  <si>
    <t>SMITHTOWN</t>
  </si>
  <si>
    <t>SOMERS</t>
  </si>
  <si>
    <t>SOUTH HAMPTON</t>
  </si>
  <si>
    <t>SOUTH HEMPSTEAD</t>
  </si>
  <si>
    <t>SOUTH JAMESPORT</t>
  </si>
  <si>
    <t>SOUTH NYACK</t>
  </si>
  <si>
    <t>SOUTH RICHMOND HILL</t>
  </si>
  <si>
    <t>SOUTH SETAUKET</t>
  </si>
  <si>
    <t>SOUTH VALLEY STREAM</t>
  </si>
  <si>
    <t>SOUTHRICHMONDHILL</t>
  </si>
  <si>
    <t>SPRINGFEILD GARDENS</t>
  </si>
  <si>
    <t>SPRINGFIELD GARDEN</t>
  </si>
  <si>
    <t>ST ALBANS</t>
  </si>
  <si>
    <t>ST JAMES</t>
  </si>
  <si>
    <t>ST. ALBANS</t>
  </si>
  <si>
    <t>ST. JAMES</t>
  </si>
  <si>
    <t>STATEN</t>
  </si>
  <si>
    <t>STATEN  ISLAND</t>
  </si>
  <si>
    <t>STATEN ISAND</t>
  </si>
  <si>
    <t>STATEN ISL</t>
  </si>
  <si>
    <t>STATEN ISLAN</t>
  </si>
  <si>
    <t>STATEN ISLAND BY</t>
  </si>
  <si>
    <t>STATEN ISLAND,</t>
  </si>
  <si>
    <t>STATEN ISLAND, NY</t>
  </si>
  <si>
    <t>STATEN SIALND</t>
  </si>
  <si>
    <t>STATEN SIALSND</t>
  </si>
  <si>
    <t>STATEN SILAND</t>
  </si>
  <si>
    <t>STERLING FOREST</t>
  </si>
  <si>
    <t>STRATEN ISLAND</t>
  </si>
  <si>
    <t>STSTEN ISLAND</t>
  </si>
  <si>
    <t>SUNNYSIDE</t>
  </si>
  <si>
    <t>SWAN LAKE</t>
  </si>
  <si>
    <t>TOWN OF ISLIP</t>
  </si>
  <si>
    <t>UPPER NYACK</t>
  </si>
  <si>
    <t>VALEY STREAM</t>
  </si>
  <si>
    <t>VALHALLA</t>
  </si>
  <si>
    <t>W BABYLON</t>
  </si>
  <si>
    <t>W GILGO BEACH</t>
  </si>
  <si>
    <t>W HAMPTON BCH</t>
  </si>
  <si>
    <t>W. ISLIP</t>
  </si>
  <si>
    <t>WALDEN</t>
  </si>
  <si>
    <t>WANATGH</t>
  </si>
  <si>
    <t>WARWICK</t>
  </si>
  <si>
    <t>WASHINGTONVILLE</t>
  </si>
  <si>
    <t>WESLEY HILLS</t>
  </si>
  <si>
    <t>WEST</t>
  </si>
  <si>
    <t>WEST  BABYLON</t>
  </si>
  <si>
    <t>WEST GILGO BEACH</t>
  </si>
  <si>
    <t>WEST GIRGO BEACH</t>
  </si>
  <si>
    <t>WEST HAMPTON BEACH</t>
  </si>
  <si>
    <t>WEST HAMPTON DUNES</t>
  </si>
  <si>
    <t>WEST HARRISON</t>
  </si>
  <si>
    <t>WEST HURLEY</t>
  </si>
  <si>
    <t>WEST PARK</t>
  </si>
  <si>
    <t>WESTHAMPTON DUNES</t>
  </si>
  <si>
    <t>WESTTOWN</t>
  </si>
  <si>
    <t>WHEATLEY HTS</t>
  </si>
  <si>
    <t>WHITLEY HEIGHTS</t>
  </si>
  <si>
    <t>WILLISTON PARK</t>
  </si>
  <si>
    <t>WILLISTON PK</t>
  </si>
  <si>
    <t>WOODMER</t>
  </si>
  <si>
    <t>YORKTOWN HEIGHTS</t>
  </si>
  <si>
    <t>ALANTIC CITY</t>
  </si>
  <si>
    <t>ALLENDALE</t>
  </si>
  <si>
    <t>ALLENHURST</t>
  </si>
  <si>
    <t>ANDOVER</t>
  </si>
  <si>
    <t>ANNANDALE</t>
  </si>
  <si>
    <t>ASBURY</t>
  </si>
  <si>
    <t>ATLANTICCITY</t>
  </si>
  <si>
    <t>AVON-BY-THE-SEA</t>
  </si>
  <si>
    <t>BASS RIVER</t>
  </si>
  <si>
    <t>BASS RIVER TOWNSHIP</t>
  </si>
  <si>
    <t>BAYONN</t>
  </si>
  <si>
    <t>BAYSHORE AVE</t>
  </si>
  <si>
    <t>BAYVIEW</t>
  </si>
  <si>
    <t>BEACH AVE</t>
  </si>
  <si>
    <t>BEACH HAVEN PARK LBI</t>
  </si>
  <si>
    <t>BEACH HAVEN TERR</t>
  </si>
  <si>
    <t>BEACH HEAVEN</t>
  </si>
  <si>
    <t>BEACHHAVEN WEST</t>
  </si>
  <si>
    <t>BEESLEYS POINT</t>
  </si>
  <si>
    <t>BELLE MEAD</t>
  </si>
  <si>
    <t>BERKLY TOWNSHIP</t>
  </si>
  <si>
    <t>BERLIN</t>
  </si>
  <si>
    <t>BLACKWOOD</t>
  </si>
  <si>
    <t>BLAIRSTOWN</t>
  </si>
  <si>
    <t>BLOOMSBURY</t>
  </si>
  <si>
    <t>BOGOTA</t>
  </si>
  <si>
    <t>BRANCHVILLE</t>
  </si>
  <si>
    <t>BRICK TOWNSHIP, MANTOLOKING</t>
  </si>
  <si>
    <t>BRICKTOWN</t>
  </si>
  <si>
    <t>GLOUCESTER</t>
  </si>
  <si>
    <t>BRIELE</t>
  </si>
  <si>
    <t>BRIGANTIINE</t>
  </si>
  <si>
    <t>BRIGATINE</t>
  </si>
  <si>
    <t>BROWNS MILLS</t>
  </si>
  <si>
    <t>BROWNSMILLS</t>
  </si>
  <si>
    <t>BUENA</t>
  </si>
  <si>
    <t>BURLINGTON TWP</t>
  </si>
  <si>
    <t>CALDWELL</t>
  </si>
  <si>
    <t>CAPE MAY COUNTY</t>
  </si>
  <si>
    <t>CAPE MAY COURTHOURSE</t>
  </si>
  <si>
    <t>CAPE MAY COURTHOUSE</t>
  </si>
  <si>
    <t>CARNEYS POINT</t>
  </si>
  <si>
    <t>CEDAR BONNET ISLAND</t>
  </si>
  <si>
    <t>CEDAR GROVE</t>
  </si>
  <si>
    <t>CHADWICK</t>
  </si>
  <si>
    <t>CHADWICK BEACH ISLAND</t>
  </si>
  <si>
    <t>CHADWICK ISLAND</t>
  </si>
  <si>
    <t>CHADWICK ISLAND BEACH</t>
  </si>
  <si>
    <t>CHATHAM TOWNSHIP</t>
  </si>
  <si>
    <t>CHERRY HILL</t>
  </si>
  <si>
    <t>CLARK</t>
  </si>
  <si>
    <t>CLARKSBORO</t>
  </si>
  <si>
    <t>CLARKSBURG</t>
  </si>
  <si>
    <t>CLAYTON</t>
  </si>
  <si>
    <t>CLEMENTON</t>
  </si>
  <si>
    <t>COLUMBUS</t>
  </si>
  <si>
    <t>CORBIN CITY</t>
  </si>
  <si>
    <t>CRANBURY</t>
  </si>
  <si>
    <t>CREAM RIDGE</t>
  </si>
  <si>
    <t>DELMONT</t>
  </si>
  <si>
    <t>DELRAN</t>
  </si>
  <si>
    <t>DENNISVILLE</t>
  </si>
  <si>
    <t>DENVILLE</t>
  </si>
  <si>
    <t>DOVER</t>
  </si>
  <si>
    <t>EASTAMPTON</t>
  </si>
  <si>
    <t>EGG HABOR TOWNSHIP</t>
  </si>
  <si>
    <t>EGG HARBOR</t>
  </si>
  <si>
    <t>EGG HARBOR TWSP</t>
  </si>
  <si>
    <t>EGGHARBOR TOWNSHIP</t>
  </si>
  <si>
    <t>EHT</t>
  </si>
  <si>
    <t>ELDORA</t>
  </si>
  <si>
    <t>ELWOOD</t>
  </si>
  <si>
    <t>ERMA</t>
  </si>
  <si>
    <t>ESSEX FALLS</t>
  </si>
  <si>
    <t>FAR HILLS</t>
  </si>
  <si>
    <t>FLAGTOWN</t>
  </si>
  <si>
    <t>FLORHAM</t>
  </si>
  <si>
    <t>FLORHAM PARK</t>
  </si>
  <si>
    <t>FRANKLIN LLAKES</t>
  </si>
  <si>
    <t>FRANKLIN PARK</t>
  </si>
  <si>
    <t>FRENCHTOWN</t>
  </si>
  <si>
    <t>GARWOOD</t>
  </si>
  <si>
    <t>GILLETTE</t>
  </si>
  <si>
    <t>GLASSBORO</t>
  </si>
  <si>
    <t>GLEN GARDNER</t>
  </si>
  <si>
    <t>GLENDORA</t>
  </si>
  <si>
    <t>GLOUCESTER CITY</t>
  </si>
  <si>
    <t>GREAT MEADOWS</t>
  </si>
  <si>
    <t>GREEN BROOK</t>
  </si>
  <si>
    <t>GREEN VILLAGE</t>
  </si>
  <si>
    <t>GUTTENBERG</t>
  </si>
  <si>
    <t>HAINESPORT</t>
  </si>
  <si>
    <t>HALEDON</t>
  </si>
  <si>
    <t>HAMPTON</t>
  </si>
  <si>
    <t>HASKELL</t>
  </si>
  <si>
    <t>HAWORTH</t>
  </si>
  <si>
    <t>HELMETTA</t>
  </si>
  <si>
    <t>HIGH BRIDGE</t>
  </si>
  <si>
    <t>HIGHLAND LAKES</t>
  </si>
  <si>
    <t>HILLSBOROUGH</t>
  </si>
  <si>
    <t>HILLSDALE</t>
  </si>
  <si>
    <t>HOLGARE</t>
  </si>
  <si>
    <t>HOPE</t>
  </si>
  <si>
    <t>HOPEWELL</t>
  </si>
  <si>
    <t>ISLAND HTS</t>
  </si>
  <si>
    <t>JERSEY  CITY</t>
  </si>
  <si>
    <t>JOBSTOWN</t>
  </si>
  <si>
    <t>KEANSBERG</t>
  </si>
  <si>
    <t>KEASBEY</t>
  </si>
  <si>
    <t>KEASNBURG</t>
  </si>
  <si>
    <t>KEYPIORT</t>
  </si>
  <si>
    <t>KINNELON</t>
  </si>
  <si>
    <t>LAKE HIAWATHA</t>
  </si>
  <si>
    <t>LAKE HOPATCONG</t>
  </si>
  <si>
    <t>LAKEHURST</t>
  </si>
  <si>
    <t>LANOKA HARBOUR</t>
  </si>
  <si>
    <t>LAVALLETE</t>
  </si>
  <si>
    <t>LAVELLETTE</t>
  </si>
  <si>
    <t>LAWRENCE HARBOR</t>
  </si>
  <si>
    <t>LEBANON</t>
  </si>
  <si>
    <t>LEDGEWOOD</t>
  </si>
  <si>
    <t>LEH TWP</t>
  </si>
  <si>
    <t>LEONIA</t>
  </si>
  <si>
    <t>LIBERTY CORNER</t>
  </si>
  <si>
    <t>LINDEN CITY</t>
  </si>
  <si>
    <t>LITTLE  FERRY</t>
  </si>
  <si>
    <t>LITTLE EGG HARBOR TWP.</t>
  </si>
  <si>
    <t>LITTLE EGG HARBOR TWS</t>
  </si>
  <si>
    <t>LITTLE EGG HARBOR TWSHP</t>
  </si>
  <si>
    <t>LITTLE EGG HARBOR, TW</t>
  </si>
  <si>
    <t>LOCH ARBOUR</t>
  </si>
  <si>
    <t>LONG BEACH ISLAND TAP</t>
  </si>
  <si>
    <t>LONG BEACH TWNSHP.</t>
  </si>
  <si>
    <t>LONG BEACH TWSP</t>
  </si>
  <si>
    <t>LONG BEACH,TWP.</t>
  </si>
  <si>
    <t>LONG BRANCH,</t>
  </si>
  <si>
    <t>LONG BRANCJ</t>
  </si>
  <si>
    <t>LONG VALLEY</t>
  </si>
  <si>
    <t>LONGBRANCH</t>
  </si>
  <si>
    <t>LOVELADIES</t>
  </si>
  <si>
    <t>LTTLE EGG HARBOR</t>
  </si>
  <si>
    <t>MAGNOLIA</t>
  </si>
  <si>
    <t>MANAHAWAKIN</t>
  </si>
  <si>
    <t>MANAHAWKING</t>
  </si>
  <si>
    <t>MANAHWAKIN</t>
  </si>
  <si>
    <t>MANAHWKIN</t>
  </si>
  <si>
    <t>MANAQUAN</t>
  </si>
  <si>
    <t>MANASAQUAN</t>
  </si>
  <si>
    <t>MANCHESTER</t>
  </si>
  <si>
    <t>MANCHESTER TOWNSHIP</t>
  </si>
  <si>
    <t>MANHAWKIN</t>
  </si>
  <si>
    <t>MANSQUAN</t>
  </si>
  <si>
    <t>MANTALOKING</t>
  </si>
  <si>
    <t>MANTOLOKING SHORES</t>
  </si>
  <si>
    <t>MANTOLOKING/NORMANDY BCH</t>
  </si>
  <si>
    <t>MARAGTE</t>
  </si>
  <si>
    <t>MARLBORO</t>
  </si>
  <si>
    <t>MAS LANDING</t>
  </si>
  <si>
    <t>MAURICE RIVER</t>
  </si>
  <si>
    <t>MENDHAN</t>
  </si>
  <si>
    <t>MILLSTONE</t>
  </si>
  <si>
    <t>MILLSTONE TOWNSHIP</t>
  </si>
  <si>
    <t>MILLSTONE TWP</t>
  </si>
  <si>
    <t>MILLTOWN</t>
  </si>
  <si>
    <t>MILLVILLE</t>
  </si>
  <si>
    <t>MINE HILL</t>
  </si>
  <si>
    <t>MONM0UTH BEACH</t>
  </si>
  <si>
    <t>MONMOUT BEACH</t>
  </si>
  <si>
    <t>MONMOUTH  BEACH</t>
  </si>
  <si>
    <t>MONMOUTH JUNCTION</t>
  </si>
  <si>
    <t>MONROE TWP</t>
  </si>
  <si>
    <t>MONTEREY BEACH LAVALLETTE</t>
  </si>
  <si>
    <t>MOONACHE</t>
  </si>
  <si>
    <t>MOONICHIE</t>
  </si>
  <si>
    <t>MOORESTOWN</t>
  </si>
  <si>
    <t>MORMANDY BEACH</t>
  </si>
  <si>
    <t>MORRIS PLAINS</t>
  </si>
  <si>
    <t>MORRISPLAINS</t>
  </si>
  <si>
    <t>MOUNT HOLLY</t>
  </si>
  <si>
    <t>MOUNT LAUREL</t>
  </si>
  <si>
    <t>MOUNT TABOR</t>
  </si>
  <si>
    <t>MOUNTAIN SIDE</t>
  </si>
  <si>
    <t>MT LAUREL</t>
  </si>
  <si>
    <t>MT. LAKES</t>
  </si>
  <si>
    <t>MYSTIC ISLANDS</t>
  </si>
  <si>
    <t>N CAPE MAY</t>
  </si>
  <si>
    <t>N MIDDLETOWN</t>
  </si>
  <si>
    <t>NEPTUNE TOWNSHIP</t>
  </si>
  <si>
    <t>NESHANIC STATION</t>
  </si>
  <si>
    <t>NETCONG</t>
  </si>
  <si>
    <t>NEW EGYPT</t>
  </si>
  <si>
    <t>NEW MILFORD</t>
  </si>
  <si>
    <t>NEW PORT</t>
  </si>
  <si>
    <t>NEW PROVIDENCE</t>
  </si>
  <si>
    <t>NEW VERNON</t>
  </si>
  <si>
    <t>NEWFOUNDLAND</t>
  </si>
  <si>
    <t>NEWRK</t>
  </si>
  <si>
    <t>NORMANDY</t>
  </si>
  <si>
    <t>NORMANDY SHORES</t>
  </si>
  <si>
    <t>NORTH PLAINFNIELD</t>
  </si>
  <si>
    <t>OAKLAND</t>
  </si>
  <si>
    <t>OAKLYN</t>
  </si>
  <si>
    <t>OARTLEY BEACH</t>
  </si>
  <si>
    <t>OCEAN  CITY</t>
  </si>
  <si>
    <t>OCEAN PORT</t>
  </si>
  <si>
    <t>OCEAN TOWNSHIP</t>
  </si>
  <si>
    <t>OCEANGATE</t>
  </si>
  <si>
    <t>OLD TAPPAN</t>
  </si>
  <si>
    <t>ORADELL</t>
  </si>
  <si>
    <t>ORTELY BEACH</t>
  </si>
  <si>
    <t>ORTLEY BEACH TOMS RVR TWNSHP</t>
  </si>
  <si>
    <t>ORTLEY BECH</t>
  </si>
  <si>
    <t>ORTLY BEACH</t>
  </si>
  <si>
    <t>OXFORD</t>
  </si>
  <si>
    <t>PALISADES PARK</t>
  </si>
  <si>
    <t>PARSIPPANY-TROY HILLS</t>
  </si>
  <si>
    <t>PEAPACK</t>
  </si>
  <si>
    <t>PEMBERTON</t>
  </si>
  <si>
    <t>PENNSAUKEN</t>
  </si>
  <si>
    <t>PENNSGROVE</t>
  </si>
  <si>
    <t>PEQUANNOCK</t>
  </si>
  <si>
    <t>PERRINEVILLE</t>
  </si>
  <si>
    <t>PETERSBURG</t>
  </si>
  <si>
    <t>PINE BROOK</t>
  </si>
  <si>
    <t>PLAINSBORO</t>
  </si>
  <si>
    <t>POINT  PLEASANT</t>
  </si>
  <si>
    <t>POINT  PLEASANT BEACH</t>
  </si>
  <si>
    <t>POINT PLACE</t>
  </si>
  <si>
    <t>POINT PLEASANT  BEACH</t>
  </si>
  <si>
    <t>POINT PLEASANT BCH</t>
  </si>
  <si>
    <t>POINT PLEASANT BOROUGH</t>
  </si>
  <si>
    <t>POINT PLEASENT BEACH</t>
  </si>
  <si>
    <t>POINT PLESANT</t>
  </si>
  <si>
    <t>POMPTON LAKES</t>
  </si>
  <si>
    <t>POMPTON PLAINS</t>
  </si>
  <si>
    <t>PORTREADING</t>
  </si>
  <si>
    <t>PPB</t>
  </si>
  <si>
    <t>PRINCETON JUNCTION</t>
  </si>
  <si>
    <t>PROSPECT PARK</t>
  </si>
  <si>
    <t>PT PLEASANT BCH</t>
  </si>
  <si>
    <t>PT PLEASANT BORO</t>
  </si>
  <si>
    <t>PT. PLEASANT BCH</t>
  </si>
  <si>
    <t>PT. PLEASANT BCH.</t>
  </si>
  <si>
    <t>PT.PLEASANT BEACH</t>
  </si>
  <si>
    <t>RAMSEY</t>
  </si>
  <si>
    <t>REEDS BEACH</t>
  </si>
  <si>
    <t>RIDGEFIEJD PARK</t>
  </si>
  <si>
    <t>RIDGEFIELD</t>
  </si>
  <si>
    <t>RINGOES</t>
  </si>
  <si>
    <t>RIVER EDGE</t>
  </si>
  <si>
    <t>RIVER VALE</t>
  </si>
  <si>
    <t>ROCKY HILL</t>
  </si>
  <si>
    <t>ROSELL</t>
  </si>
  <si>
    <t>S. MANTOLOKING</t>
  </si>
  <si>
    <t>SADDLE RIVER</t>
  </si>
  <si>
    <t>SANDYSTON</t>
  </si>
  <si>
    <t>SAYERVILLE</t>
  </si>
  <si>
    <t>SEA  BRIGHT</t>
  </si>
  <si>
    <t>SEA SIDE HEIGHTS</t>
  </si>
  <si>
    <t>SEASIDE  HEIGHTS</t>
  </si>
  <si>
    <t>SEASIDE HEIGHT</t>
  </si>
  <si>
    <t>SEASIDE HEIGHTS (ORTLEY BEACH)</t>
  </si>
  <si>
    <t>SEASIDE HIGHTS</t>
  </si>
  <si>
    <t>SEASIDE HTS.</t>
  </si>
  <si>
    <t>SEASIDEHEIGHTS</t>
  </si>
  <si>
    <t>SECAUCUA</t>
  </si>
  <si>
    <t>SEWELL</t>
  </si>
  <si>
    <t>SHAMONG</t>
  </si>
  <si>
    <t>SHORTHILLS</t>
  </si>
  <si>
    <t>SILVER BEACH DOVER TOWNSHIP</t>
  </si>
  <si>
    <t>SO.PLAINFIELD</t>
  </si>
  <si>
    <t>SOMERDALE</t>
  </si>
  <si>
    <t>SOUTH  RIVER</t>
  </si>
  <si>
    <t>SOUTH BOUND BROOK</t>
  </si>
  <si>
    <t>SOUTH MANTOLOKINE</t>
  </si>
  <si>
    <t>SOUTH ORANGE</t>
  </si>
  <si>
    <t>SOUTHRIVER</t>
  </si>
  <si>
    <t>SPOTSWWOD</t>
  </si>
  <si>
    <t>SPRING LAKE HTS</t>
  </si>
  <si>
    <t>SPRINGLAKE</t>
  </si>
  <si>
    <t>STAFFORD TWP</t>
  </si>
  <si>
    <t>STANTON</t>
  </si>
  <si>
    <t>STOCKTON</t>
  </si>
  <si>
    <t>STRATHMORE</t>
  </si>
  <si>
    <t>SWEETWATER</t>
  </si>
  <si>
    <t>TENAFLY</t>
  </si>
  <si>
    <t>TOM RIVER</t>
  </si>
  <si>
    <t>TOM RIVERS</t>
  </si>
  <si>
    <t>TOMS RIEVRS</t>
  </si>
  <si>
    <t>TOM'S RIVER</t>
  </si>
  <si>
    <t>TOMS RIVER TOWNSHIP</t>
  </si>
  <si>
    <t>TOMS RIVER TWP</t>
  </si>
  <si>
    <t>TOMS RIVERS</t>
  </si>
  <si>
    <t>TOTOWA</t>
  </si>
  <si>
    <t>TOWACO</t>
  </si>
  <si>
    <t>TOWNSHIP OF BRICK</t>
  </si>
  <si>
    <t>TUCKAHOE</t>
  </si>
  <si>
    <t>TUCKERTON BEACH</t>
  </si>
  <si>
    <t>UNION BEACH, NJ</t>
  </si>
  <si>
    <t>UNION BRACH</t>
  </si>
  <si>
    <t>UPPER FREEHOLD</t>
  </si>
  <si>
    <t>UPPER MONTCLAIR</t>
  </si>
  <si>
    <t>UPPER SADDLE RIVER</t>
  </si>
  <si>
    <t>UPPERSADDLE RIVER</t>
  </si>
  <si>
    <t>VAUXHALL</t>
  </si>
  <si>
    <t>VENTNOR AVE</t>
  </si>
  <si>
    <t>VENTNOR HEIGHTS</t>
  </si>
  <si>
    <t>VENTOR</t>
  </si>
  <si>
    <t>VETNOR</t>
  </si>
  <si>
    <t>W ATLANTIC CITY</t>
  </si>
  <si>
    <t>W KEANSBURG</t>
  </si>
  <si>
    <t>W WILDWOOD</t>
  </si>
  <si>
    <t>W. WILDWOOD</t>
  </si>
  <si>
    <t>W.WILDWOOD</t>
  </si>
  <si>
    <t>WALDWICK</t>
  </si>
  <si>
    <t>WALL TWP</t>
  </si>
  <si>
    <t>WANTAGE</t>
  </si>
  <si>
    <t>WEST ATLANTIC</t>
  </si>
  <si>
    <t>WEST BELMAR</t>
  </si>
  <si>
    <t>WEST CALDWELL</t>
  </si>
  <si>
    <t>WEST CAPE MAY</t>
  </si>
  <si>
    <t>WEST LONGBRANCH</t>
  </si>
  <si>
    <t>WEST MILFORD</t>
  </si>
  <si>
    <t>WEST WINDSOR</t>
  </si>
  <si>
    <t>WESTCREEK</t>
  </si>
  <si>
    <t>WESTWOOD</t>
  </si>
  <si>
    <t>WHARTON</t>
  </si>
  <si>
    <t>WHITEHOUSE STATION</t>
  </si>
  <si>
    <t>WILLIAMSTOWN</t>
  </si>
  <si>
    <t>WILLLIAMSTOWN</t>
  </si>
  <si>
    <t>WINFIELD PARK</t>
  </si>
  <si>
    <t>WODBRIDGE</t>
  </si>
  <si>
    <t>WOODBINE</t>
  </si>
  <si>
    <t>WOODCLIFF LAKE</t>
  </si>
  <si>
    <t>WOODSTOWN</t>
  </si>
  <si>
    <t>WRIGHTSTOWN</t>
  </si>
  <si>
    <t>ANSONIA</t>
  </si>
  <si>
    <t>BETHANY</t>
  </si>
  <si>
    <t>EASTON</t>
  </si>
  <si>
    <t>FAIFIELD</t>
  </si>
  <si>
    <t>GRISWOLD</t>
  </si>
  <si>
    <t>GUILFORD</t>
  </si>
  <si>
    <t>HAMDEN</t>
  </si>
  <si>
    <t>LEDYARD</t>
  </si>
  <si>
    <t>MERIDEN</t>
  </si>
  <si>
    <t>MIFORD</t>
  </si>
  <si>
    <t>N. STONINGTON</t>
  </si>
  <si>
    <t>NEW FAIRFIELD</t>
  </si>
  <si>
    <t>NORTH STONINGTON</t>
  </si>
  <si>
    <t>NORTHFORD</t>
  </si>
  <si>
    <t>NORWAL</t>
  </si>
  <si>
    <t>NORWICH CT</t>
  </si>
  <si>
    <t>PAWCATUCK</t>
  </si>
  <si>
    <t>PRESTON</t>
  </si>
  <si>
    <t>REDDING</t>
  </si>
  <si>
    <t>SEYMOUR</t>
  </si>
  <si>
    <t>STONINGTON</t>
  </si>
  <si>
    <t>TRUMBULL</t>
  </si>
  <si>
    <t>UNCASVILLE</t>
  </si>
  <si>
    <t>WATERFORD</t>
  </si>
  <si>
    <t>WESTON</t>
  </si>
  <si>
    <t>BLOCK ISLAND</t>
  </si>
  <si>
    <t>CAROLINA</t>
  </si>
  <si>
    <t>HOPE VALLEY</t>
  </si>
  <si>
    <t>MATUNUCK</t>
  </si>
  <si>
    <t>NORTH KINGSTOWN</t>
  </si>
  <si>
    <t>PEACE DALE</t>
  </si>
  <si>
    <t>PORTSMOUTH</t>
  </si>
  <si>
    <t>TIVERTON</t>
  </si>
  <si>
    <t>CHANCE</t>
  </si>
  <si>
    <t>CHRISFIELD</t>
  </si>
  <si>
    <t>CRISFILELD</t>
  </si>
  <si>
    <t>MARION</t>
  </si>
  <si>
    <t>PRINCESS</t>
  </si>
  <si>
    <t>PRINCESS ANN</t>
  </si>
  <si>
    <t>PRINCESS ANNE</t>
  </si>
  <si>
    <t>UPPER FAIRMOUNT</t>
  </si>
  <si>
    <t>BUCKATUNNA</t>
  </si>
  <si>
    <t>MCLAIN</t>
  </si>
  <si>
    <t>OVETT</t>
  </si>
  <si>
    <t>PERRY</t>
  </si>
  <si>
    <t>TX-00401</t>
  </si>
  <si>
    <t>HILLSBORO</t>
  </si>
  <si>
    <t>HILL</t>
  </si>
  <si>
    <t>TX</t>
  </si>
  <si>
    <t>MCLENNAN</t>
  </si>
  <si>
    <t>ABINGDON</t>
  </si>
  <si>
    <t>ADAIR</t>
  </si>
  <si>
    <t>ALGONQUIN</t>
  </si>
  <si>
    <t>MCHENRY</t>
  </si>
  <si>
    <t>ALSIP</t>
  </si>
  <si>
    <t>ANCONA</t>
  </si>
  <si>
    <t>ARLINGTON HEIGHTS</t>
  </si>
  <si>
    <t>BANNER</t>
  </si>
  <si>
    <t>BARRINGTON</t>
  </si>
  <si>
    <t>BARSTOW</t>
  </si>
  <si>
    <t>BARTLETT</t>
  </si>
  <si>
    <t>BATH</t>
  </si>
  <si>
    <t>MASON</t>
  </si>
  <si>
    <t>BENSENVILLE</t>
  </si>
  <si>
    <t>BERWYN</t>
  </si>
  <si>
    <t>BLOOMINGDALE</t>
  </si>
  <si>
    <t>BLUE ISLAND</t>
  </si>
  <si>
    <t>BRADFORD</t>
  </si>
  <si>
    <t>STARK</t>
  </si>
  <si>
    <t>BRIMFIELD</t>
  </si>
  <si>
    <t>BRUSSELS</t>
  </si>
  <si>
    <t>BURBANK</t>
  </si>
  <si>
    <t>BURNHAM</t>
  </si>
  <si>
    <t>BURR RIDGE</t>
  </si>
  <si>
    <t>BUSHNELL</t>
  </si>
  <si>
    <t>CAMBRIDGE</t>
  </si>
  <si>
    <t>CAMPTON HILLS</t>
  </si>
  <si>
    <t>CANTON</t>
  </si>
  <si>
    <t>CARMAN</t>
  </si>
  <si>
    <t>HENDERSON</t>
  </si>
  <si>
    <t>CAROL STREAM</t>
  </si>
  <si>
    <t>CARPENTERSVILLE</t>
  </si>
  <si>
    <t>CARY</t>
  </si>
  <si>
    <t>CHANNAHON</t>
  </si>
  <si>
    <t>CHERRY</t>
  </si>
  <si>
    <t>CHICAGO RIDGE</t>
  </si>
  <si>
    <t>CICERO</t>
  </si>
  <si>
    <t>CLARENDON HILLS</t>
  </si>
  <si>
    <t>COAL CITY</t>
  </si>
  <si>
    <t>COLCHESTER</t>
  </si>
  <si>
    <t>COUNTRYSIDE</t>
  </si>
  <si>
    <t>CREST HILL</t>
  </si>
  <si>
    <t>CRETE</t>
  </si>
  <si>
    <t>CREVE COEUR</t>
  </si>
  <si>
    <t>TAZEWELL</t>
  </si>
  <si>
    <t>CRYSTAL LAKE</t>
  </si>
  <si>
    <t>CTRY CLB HLS</t>
  </si>
  <si>
    <t>DAHINDA</t>
  </si>
  <si>
    <t>DALZELL</t>
  </si>
  <si>
    <t>DAVIS</t>
  </si>
  <si>
    <t>DEKALB</t>
  </si>
  <si>
    <t>DIXMOOR</t>
  </si>
  <si>
    <t>DUNLAP</t>
  </si>
  <si>
    <t>EARLVILLE</t>
  </si>
  <si>
    <t>EAST GALESBURG</t>
  </si>
  <si>
    <t>EAST PEORIA</t>
  </si>
  <si>
    <t>EDWARDS</t>
  </si>
  <si>
    <t>ELMWOOD</t>
  </si>
  <si>
    <t>FARMINGTON</t>
  </si>
  <si>
    <t>FLOSSMOOR</t>
  </si>
  <si>
    <t>FOREST PARK</t>
  </si>
  <si>
    <t>FORESTVIEW</t>
  </si>
  <si>
    <t>FOX RIVER GROVE</t>
  </si>
  <si>
    <t>GALVA</t>
  </si>
  <si>
    <t>GENESEO</t>
  </si>
  <si>
    <t>GENEVA</t>
  </si>
  <si>
    <t>GENOA</t>
  </si>
  <si>
    <t>GERLAW</t>
  </si>
  <si>
    <t>GILSON</t>
  </si>
  <si>
    <t>GLADSTONE</t>
  </si>
  <si>
    <t>GLASFORD</t>
  </si>
  <si>
    <t>GLENCOE</t>
  </si>
  <si>
    <t>GLENDALE HEIGHTS</t>
  </si>
  <si>
    <t>GOOD HOPE</t>
  </si>
  <si>
    <t>GRANVILLE</t>
  </si>
  <si>
    <t>HANOVER PARK</t>
  </si>
  <si>
    <t>HARDIN</t>
  </si>
  <si>
    <t>HARWOOD HEIGHTS</t>
  </si>
  <si>
    <t>HAVANA</t>
  </si>
  <si>
    <t>HICKORY HILLS</t>
  </si>
  <si>
    <t>HODGKINS</t>
  </si>
  <si>
    <t>HOLIDAY HILLS</t>
  </si>
  <si>
    <t>HUNTLEY</t>
  </si>
  <si>
    <t>ILLINOIS CITY</t>
  </si>
  <si>
    <t>ITASCA</t>
  </si>
  <si>
    <t>JEFFERSON PARK</t>
  </si>
  <si>
    <t>JOHNSBURG</t>
  </si>
  <si>
    <t>JUSTICE</t>
  </si>
  <si>
    <t>KILDEER</t>
  </si>
  <si>
    <t>KNOXVILLE</t>
  </si>
  <si>
    <t>LA GRANGE</t>
  </si>
  <si>
    <t>LA GRANGE PARK</t>
  </si>
  <si>
    <t>LA MOILLE</t>
  </si>
  <si>
    <t>LA ROSE</t>
  </si>
  <si>
    <t>MARSHALL</t>
  </si>
  <si>
    <t>LACON</t>
  </si>
  <si>
    <t>LADD</t>
  </si>
  <si>
    <t>LAKE VILLA</t>
  </si>
  <si>
    <t>LAKE ZURICH</t>
  </si>
  <si>
    <t>LANSING</t>
  </si>
  <si>
    <t>LELAND</t>
  </si>
  <si>
    <t>LEMONT</t>
  </si>
  <si>
    <t>LIBERTYVILLE</t>
  </si>
  <si>
    <t>LINCOLNSHIRE</t>
  </si>
  <si>
    <t>LIVERPOOL</t>
  </si>
  <si>
    <t>LONDON MILLS</t>
  </si>
  <si>
    <t>LONG GROVE</t>
  </si>
  <si>
    <t>LONG POINT</t>
  </si>
  <si>
    <t>LOSTANT</t>
  </si>
  <si>
    <t>LOVES PARK</t>
  </si>
  <si>
    <t>LOWPOINT</t>
  </si>
  <si>
    <t>LYNWOOD</t>
  </si>
  <si>
    <t>MACHESNEY PARK</t>
  </si>
  <si>
    <t>MACKINAW</t>
  </si>
  <si>
    <t>MC COOK</t>
  </si>
  <si>
    <t>MENDOTA</t>
  </si>
  <si>
    <t>METAMORA</t>
  </si>
  <si>
    <t>MIDLOTHIAN</t>
  </si>
  <si>
    <t>MINIER</t>
  </si>
  <si>
    <t>MINONK</t>
  </si>
  <si>
    <t>MOLINE</t>
  </si>
  <si>
    <t>MONEE</t>
  </si>
  <si>
    <t>MORRISON</t>
  </si>
  <si>
    <t>WHITESIDE</t>
  </si>
  <si>
    <t>MORTON</t>
  </si>
  <si>
    <t>MORTON GROVE</t>
  </si>
  <si>
    <t>MOSSVILLE</t>
  </si>
  <si>
    <t>MOUNT PROSPECT</t>
  </si>
  <si>
    <t>N RIVERSIDE</t>
  </si>
  <si>
    <t>NEPONSET</t>
  </si>
  <si>
    <t>NEW LENOX</t>
  </si>
  <si>
    <t>NILES</t>
  </si>
  <si>
    <t>NORRIDGE</t>
  </si>
  <si>
    <t>NORTH AURORA</t>
  </si>
  <si>
    <t>NORTH PEKIN</t>
  </si>
  <si>
    <t>NORTH RIVERSIDE</t>
  </si>
  <si>
    <t>NORTHBROOK</t>
  </si>
  <si>
    <t>NORTHLAKE</t>
  </si>
  <si>
    <t>OAK BROOK</t>
  </si>
  <si>
    <t>OAK BROOK TERRACE</t>
  </si>
  <si>
    <t>OAK LAWN</t>
  </si>
  <si>
    <t>OAK PARK</t>
  </si>
  <si>
    <t>OAKBROOK TERRACE</t>
  </si>
  <si>
    <t>OGLESBY</t>
  </si>
  <si>
    <t>OLYMPIA FIELDS</t>
  </si>
  <si>
    <t>ORLAND HILLS</t>
  </si>
  <si>
    <t>ORLAND PARK</t>
  </si>
  <si>
    <t>PALATINE</t>
  </si>
  <si>
    <t>PALESTINE</t>
  </si>
  <si>
    <t>CRAWFORD</t>
  </si>
  <si>
    <t>PALOS HEIGHTS</t>
  </si>
  <si>
    <t>PALOS HILLS</t>
  </si>
  <si>
    <t>PARK FOREST</t>
  </si>
  <si>
    <t>PEKIN</t>
  </si>
  <si>
    <t>PEORIA HEIGHTS</t>
  </si>
  <si>
    <t>PERU</t>
  </si>
  <si>
    <t>PLYMOUTH</t>
  </si>
  <si>
    <t>SCHUYLER</t>
  </si>
  <si>
    <t>PORT BARRINGTON</t>
  </si>
  <si>
    <t>PORT BYRON</t>
  </si>
  <si>
    <t>POSEN</t>
  </si>
  <si>
    <t>PRAIRIE CITY</t>
  </si>
  <si>
    <t>PRAIRIE VIEW</t>
  </si>
  <si>
    <t>PRINCEVILLE</t>
  </si>
  <si>
    <t>PROSPECT HTS</t>
  </si>
  <si>
    <t>ROBINSON</t>
  </si>
  <si>
    <t>ROME</t>
  </si>
  <si>
    <t>ROMEOVILLE</t>
  </si>
  <si>
    <t>ROUND LAKE</t>
  </si>
  <si>
    <t>ROUND LAKE BEACH</t>
  </si>
  <si>
    <t>RUSHVILLE</t>
  </si>
  <si>
    <t>SAINT CHARLES</t>
  </si>
  <si>
    <t>SANDWICH</t>
  </si>
  <si>
    <t>SAUK VILLAGE</t>
  </si>
  <si>
    <t>SCHAUMBURG</t>
  </si>
  <si>
    <t>SCHILLER PARK</t>
  </si>
  <si>
    <t>SEATONVILLE</t>
  </si>
  <si>
    <t>SENECA</t>
  </si>
  <si>
    <t>SERENA</t>
  </si>
  <si>
    <t>SHERIDAN</t>
  </si>
  <si>
    <t>SILVIS</t>
  </si>
  <si>
    <t>SLEEPY HOLLOW</t>
  </si>
  <si>
    <t>SOMONAUK</t>
  </si>
  <si>
    <t>SOUTH BELOIT</t>
  </si>
  <si>
    <t>SPARLAND</t>
  </si>
  <si>
    <t>SPOKIE</t>
  </si>
  <si>
    <t>SPRING BAY</t>
  </si>
  <si>
    <t>SPRING GROVE</t>
  </si>
  <si>
    <t>ST CHARLES</t>
  </si>
  <si>
    <t>Goal Coverage</t>
  </si>
  <si>
    <t>Total Budget</t>
  </si>
  <si>
    <t>Commercial Budget</t>
  </si>
  <si>
    <t>Residnetial Budget</t>
  </si>
  <si>
    <t>Fudge Percentage</t>
  </si>
  <si>
    <t>Residential Budget</t>
  </si>
  <si>
    <t>Commecial Budget</t>
  </si>
  <si>
    <t>(blank)</t>
  </si>
</sst>
</file>

<file path=xl/styles.xml><?xml version="1.0" encoding="utf-8"?>
<styleSheet xmlns="http://schemas.openxmlformats.org/spreadsheetml/2006/main">
  <numFmts count="3">
    <numFmt numFmtId="7" formatCode="&quot;$&quot;#,##0.00_);\(&quot;$&quot;#,##0.00\)"/>
    <numFmt numFmtId="164" formatCode="0.0%"/>
    <numFmt numFmtId="165" formatCode="&quot;$&quot;#,##0.00"/>
  </numFmts>
  <fonts count="9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8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9" tint="0.5999900102615356"/>
      <name val="Calibri"/>
      <family val="2"/>
      <scheme val="minor"/>
    </font>
    <font>
      <sz val="14"/>
      <color theme="1" tint="0.35"/>
      <name val="Calibri"/>
      <family val="2"/>
      <scheme val="minor"/>
    </font>
    <font>
      <sz val="9"/>
      <color theme="1" tint="0.3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00102615356"/>
        <bgColor indexed="64"/>
      </patternFill>
    </fill>
    <fill>
      <patternFill patternType="solid">
        <fgColor theme="4" tint="0.7999799847602844"/>
        <bgColor indexed="64"/>
      </patternFill>
    </fill>
    <fill>
      <patternFill patternType="solid">
        <fgColor theme="9" tint="0.7999799847602844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4" tint="0.39998000860214233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5" fillId="2" borderId="0" xfId="0" applyFont="1" applyFill="1"/>
    <xf numFmtId="0" fontId="0" fillId="0" borderId="0" xfId="0"/>
    <xf numFmtId="0" fontId="0" fillId="0" borderId="0" xfId="0" applyAlignment="1">
      <alignment horizontal="left"/>
    </xf>
    <xf numFmtId="0" fontId="5" fillId="3" borderId="1" xfId="0" applyFont="1" applyFill="1" applyBorder="1"/>
    <xf numFmtId="165" fontId="0" fillId="0" borderId="0" xfId="0" applyNumberFormat="1"/>
    <xf numFmtId="10" fontId="0" fillId="0" borderId="0" xfId="0" applyNumberFormat="1"/>
    <xf numFmtId="0" fontId="5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0" fillId="4" borderId="6" xfId="0" applyFill="1" applyBorder="1"/>
    <xf numFmtId="9" fontId="0" fillId="4" borderId="5" xfId="0" applyNumberFormat="1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164" fontId="0" fillId="4" borderId="5" xfId="0" applyNumberFormat="1" applyFill="1" applyBorder="1"/>
    <xf numFmtId="2" fontId="6" fillId="2" borderId="0" xfId="0" applyNumberFormat="1" applyFont="1" applyFill="1"/>
    <xf numFmtId="0" fontId="5" fillId="4" borderId="10" xfId="0" applyFont="1" applyFill="1" applyBorder="1"/>
    <xf numFmtId="9" fontId="5" fillId="4" borderId="4" xfId="0" applyNumberFormat="1" applyFont="1" applyFill="1" applyBorder="1"/>
    <xf numFmtId="0" fontId="5" fillId="4" borderId="5" xfId="0" applyFont="1" applyFill="1" applyBorder="1"/>
    <xf numFmtId="9" fontId="5" fillId="4" borderId="6" xfId="0" applyNumberFormat="1" applyFont="1" applyFill="1" applyBorder="1"/>
    <xf numFmtId="0" fontId="5" fillId="4" borderId="6" xfId="0" applyFont="1" applyFill="1" applyBorder="1"/>
    <xf numFmtId="165" fontId="5" fillId="4" borderId="6" xfId="0" applyNumberFormat="1" applyFont="1" applyFill="1" applyBorder="1"/>
    <xf numFmtId="0" fontId="5" fillId="4" borderId="7" xfId="0" applyFont="1" applyFill="1" applyBorder="1"/>
    <xf numFmtId="165" fontId="5" fillId="4" borderId="9" xfId="0" applyNumberFormat="1" applyFont="1" applyFill="1" applyBorder="1"/>
    <xf numFmtId="9" fontId="0" fillId="0" borderId="0" xfId="0" applyNumberFormat="1"/>
    <xf numFmtId="7" fontId="0" fillId="0" borderId="0" xfId="0" applyNumberFormat="1"/>
    <xf numFmtId="0" fontId="5" fillId="4" borderId="4" xfId="0" applyFont="1" applyFill="1" applyBorder="1"/>
    <xf numFmtId="0" fontId="5" fillId="4" borderId="3" xfId="0" applyFont="1" applyFill="1" applyBorder="1"/>
    <xf numFmtId="0" fontId="5" fillId="4" borderId="0" xfId="0" applyFont="1" applyFill="1"/>
    <xf numFmtId="165" fontId="5" fillId="4" borderId="5" xfId="0" applyNumberFormat="1" applyFont="1" applyFill="1" applyBorder="1"/>
    <xf numFmtId="165" fontId="5" fillId="4" borderId="0" xfId="0" applyNumberFormat="1" applyFont="1" applyFill="1"/>
    <xf numFmtId="0" fontId="5" fillId="4" borderId="8" xfId="0" applyFont="1" applyFill="1" applyBorder="1"/>
  </cellXfs>
  <cellStyles count="6">
    <cellStyle name="Normal" xf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6" Type="http://schemas.openxmlformats.org/officeDocument/2006/relationships/worksheet" Target="worksheets/sheet1.xml" /><Relationship Id="rId11" Type="http://schemas.openxmlformats.org/officeDocument/2006/relationships/sharedStrings" Target="sharedStrings.xml" /><Relationship Id="rId1" Type="http://schemas.openxmlformats.org/officeDocument/2006/relationships/theme" Target="theme/theme1.xml" /><Relationship Id="rId5" Type="http://schemas.openxmlformats.org/officeDocument/2006/relationships/styles" Target="styles.xml" /><Relationship Id="rId3" Type="http://schemas.openxmlformats.org/officeDocument/2006/relationships/pivotCacheDefinition" Target="pivotCache/pivotCacheDefinition2.xml" /><Relationship Id="rId2" Type="http://schemas.openxmlformats.org/officeDocument/2006/relationships/pivotCacheDefinition" Target="pivotCache/pivotCacheDefinition1.xml" /><Relationship Id="rId12" Type="http://schemas.openxmlformats.org/officeDocument/2006/relationships/calcChain" Target="calcChain.xml" /><Relationship Id="rId10" Type="http://schemas.openxmlformats.org/officeDocument/2006/relationships/worksheet" Target="worksheets/sheet5.xml" /><Relationship Id="rId8" Type="http://schemas.openxmlformats.org/officeDocument/2006/relationships/worksheet" Target="worksheets/sheet3.xml" /><Relationship Id="rId4" Type="http://schemas.microsoft.com/office/2006/relationships/vbaProject" Target="vbaProject.bin" /><Relationship Id="rId9" Type="http://schemas.openxmlformats.org/officeDocument/2006/relationships/worksheet" Target="worksheets/sheet4.xml" /><Relationship Id="rId7" Type="http://schemas.openxmlformats.org/officeDocument/2006/relationships/worksheet" Target="worksheets/sheet2.xml" /></Relationships>
</file>

<file path=xl/activeX/_rels/activeX1.xml.rels><?xml version="1.0" encoding="UTF-8" standalone="yes"?><Relationships xmlns="http://schemas.openxmlformats.org/package/2006/relationships"><Relationship Id="rId1" Type="http://schemas.microsoft.com/office/2006/relationships/activeXControlBinary" Target="activeX1.bin" /></Relationships>
</file>

<file path=xl/activeX/_rels/activeX2.xml.rels><?xml version="1.0" encoding="UTF-8" standalone="yes"?><Relationships xmlns="http://schemas.openxmlformats.org/package/2006/relationships"><Relationship Id="rId1" Type="http://schemas.microsoft.com/office/2006/relationships/activeXControlBinary" Target="activeX2.bin" /></Relationships>
</file>

<file path=xl/activeX/_rels/activeX3.xml.rels><?xml version="1.0" encoding="UTF-8" standalone="yes"?><Relationships xmlns="http://schemas.openxmlformats.org/package/2006/relationships"><Relationship Id="rId1" Type="http://schemas.microsoft.com/office/2006/relationships/activeXControlBinary" Target="activeX3.bin" /></Relationships>
</file>

<file path=xl/activeX/_rels/activeX4.xml.rels><?xml version="1.0" encoding="UTF-8" standalone="yes"?><Relationships xmlns="http://schemas.openxmlformats.org/package/2006/relationships"><Relationship Id="rId1" Type="http://schemas.microsoft.com/office/2006/relationships/activeXControlBinary" Target="activeX4.bin" /></Relationships>
</file>

<file path=xl/activeX/_rels/activeX5.xml.rels><?xml version="1.0" encoding="UTF-8" standalone="yes"?><Relationships xmlns="http://schemas.openxmlformats.org/package/2006/relationships"><Relationship Id="rId1" Type="http://schemas.microsoft.com/office/2006/relationships/activeXControlBinary" Target="activeX5.bin" /></Relationships>
</file>

<file path=xl/activeX/_rels/activeX6.xml.rels><?xml version="1.0" encoding="UTF-8" standalone="yes"?><Relationships xmlns="http://schemas.openxmlformats.org/package/2006/relationships"><Relationship Id="rId1" Type="http://schemas.microsoft.com/office/2006/relationships/activeXControlBinary" Target="activeX6.bin" /></Relationships>
</file>

<file path=xl/activeX/_rels/activeX7.xml.rels><?xml version="1.0" encoding="UTF-8" standalone="yes"?><Relationships xmlns="http://schemas.openxmlformats.org/package/2006/relationships"><Relationship Id="rId1" Type="http://schemas.microsoft.com/office/2006/relationships/activeXControlBinary" Target="activeX7.bin" /></Relationships>
</file>

<file path=xl/activeX/_rels/activeX8.xml.rels><?xml version="1.0" encoding="UTF-8" standalone="yes"?><Relationships xmlns="http://schemas.openxmlformats.org/package/2006/relationships"><Relationship Id="rId1" Type="http://schemas.microsoft.com/office/2006/relationships/activeXControlBinary" Target="activeX8.bin" /></Relationships>
</file>

<file path=xl/activeX/_rels/activeX9.xml.rels><?xml version="1.0" encoding="UTF-8" standalone="yes"?><Relationships xmlns="http://schemas.openxmlformats.org/package/2006/relationships"><Relationship Id="rId1" Type="http://schemas.microsoft.com/office/2006/relationships/activeXControlBinary" Target="activeX9.bin" 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<Relationships xmlns="http://schemas.openxmlformats.org/package/2006/relationships"><Relationship Id="rId1" Type="http://schemas.microsoft.com/office/2011/relationships/chartStyle" Target="style1.xml" /><Relationship Id="rId2" Type="http://schemas.microsoft.com/office/2011/relationships/chartColorStyle" Target="colors1.xml" /></Relationships>
</file>

<file path=xl/charts/_rels/chart2.xml.rels><?xml version="1.0" encoding="UTF-8" standalone="yes"?><Relationships xmlns="http://schemas.openxmlformats.org/package/2006/relationships"><Relationship Id="rId1" Type="http://schemas.microsoft.com/office/2011/relationships/chartStyle" Target="style2.xml" /><Relationship Id="rId2" Type="http://schemas.microsoft.com/office/2011/relationships/chartColorStyle" Target="colors2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vert="horz" rot="0" spcFirstLastPara="1" vertOverflow="ellipsis" anchor="ctr" anchorCtr="1" wrap="square"/>
          <a:lstStyle/>
          <a:p>
            <a:pPr>
              <a:defRPr lang="en-US" sz="1400" b="0" i="0" u="none" baseline="0" kern="1200" spc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Coverage Sensitvity</a:t>
            </a:r>
          </a:p>
        </c:rich>
      </c:tx>
      <c:layout/>
      <c:overlay val="0"/>
      <c:spPr>
        <a:noFill/>
        <a:ln w="6350"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'Sensitivity Analysis'!$B$7</c:f>
              <c:strCache>
                <c:ptCount val="1"/>
                <c:pt idx="0">
                  <c:v>Total Budget</c:v>
                </c:pt>
              </c:strCache>
            </c:strRef>
          </c:tx>
          <c:spPr>
            <a:ln w="28575" cap="rnd" cmpd="sng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'Sensitivity Analysis'!$A$8:$A$18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'Sensitivity Analysis'!$B$8:$B$18</c:f>
              <c:numCache>
                <c:formatCode>"$"#,##0.00_);\("$"#,##0.00\)</c:formatCode>
                <c:ptCount val="11"/>
                <c:pt idx="0">
                  <c:v>0</c:v>
                </c:pt>
                <c:pt idx="1">
                  <c:v>795302305.08</c:v>
                </c:pt>
                <c:pt idx="2">
                  <c:v>1590604610.16</c:v>
                </c:pt>
                <c:pt idx="3">
                  <c:v>2385906915.24</c:v>
                </c:pt>
                <c:pt idx="4">
                  <c:v>3181209220.32</c:v>
                </c:pt>
                <c:pt idx="5">
                  <c:v>3976511525.4</c:v>
                </c:pt>
                <c:pt idx="6">
                  <c:v>4771813830.48</c:v>
                </c:pt>
                <c:pt idx="7">
                  <c:v>5567116135.56</c:v>
                </c:pt>
                <c:pt idx="8">
                  <c:v>6362418440.64</c:v>
                </c:pt>
                <c:pt idx="9">
                  <c:v>7157720745.72</c:v>
                </c:pt>
                <c:pt idx="10">
                  <c:v>7953023050.8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F-4FC0-AE4E-00D4CEF812D4}"/>
            </c:ext>
          </c:extLst>
        </c:ser>
        <c:ser>
          <c:idx val="1"/>
          <c:order val="1"/>
          <c:tx>
            <c:strRef>
              <c:f>'Sensitivity Analysis'!$C$7</c:f>
              <c:strCache>
                <c:ptCount val="1"/>
                <c:pt idx="0">
                  <c:v>Commercial Budget</c:v>
                </c:pt>
              </c:strCache>
            </c:strRef>
          </c:tx>
          <c:spPr>
            <a:ln w="28575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'Sensitivity Analysis'!$A$8:$A$18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'Sensitivity Analysis'!$C$8:$C$18</c:f>
              <c:numCache>
                <c:formatCode>"$"#,##0.00_);\("$"#,##0.00\)</c:formatCode>
                <c:ptCount val="11"/>
                <c:pt idx="0">
                  <c:v>0</c:v>
                </c:pt>
                <c:pt idx="1">
                  <c:v>198884723.16</c:v>
                </c:pt>
                <c:pt idx="2">
                  <c:v>397769446.32</c:v>
                </c:pt>
                <c:pt idx="3">
                  <c:v>596654169.48</c:v>
                </c:pt>
                <c:pt idx="4">
                  <c:v>795538892.64</c:v>
                </c:pt>
                <c:pt idx="5">
                  <c:v>994423615.8</c:v>
                </c:pt>
                <c:pt idx="6">
                  <c:v>1193308338.96</c:v>
                </c:pt>
                <c:pt idx="7">
                  <c:v>1392193062.12</c:v>
                </c:pt>
                <c:pt idx="8">
                  <c:v>1591077785.28</c:v>
                </c:pt>
                <c:pt idx="9">
                  <c:v>1789962508.44</c:v>
                </c:pt>
                <c:pt idx="10">
                  <c:v>1988847231.6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F-4FC0-AE4E-00D4CEF812D4}"/>
            </c:ext>
          </c:extLst>
        </c:ser>
        <c:ser>
          <c:idx val="2"/>
          <c:order val="2"/>
          <c:tx>
            <c:strRef>
              <c:f>'Sensitivity Analysis'!$D$7</c:f>
              <c:strCache>
                <c:ptCount val="1"/>
                <c:pt idx="0">
                  <c:v>Residnetial Budget</c:v>
                </c:pt>
              </c:strCache>
            </c:strRef>
          </c:tx>
          <c:spPr>
            <a:ln w="28575" cap="rnd" cmpd="sng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'Sensitivity Analysis'!$A$8:$A$18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'Sensitivity Analysis'!$D$8:$D$18</c:f>
              <c:numCache>
                <c:formatCode>"$"#,##0.00_);\("$"#,##0.00\)</c:formatCode>
                <c:ptCount val="11"/>
                <c:pt idx="0">
                  <c:v>0</c:v>
                </c:pt>
                <c:pt idx="1">
                  <c:v>596417581.92</c:v>
                </c:pt>
                <c:pt idx="2">
                  <c:v>1192835163.84</c:v>
                </c:pt>
                <c:pt idx="3">
                  <c:v>1789252745.76</c:v>
                </c:pt>
                <c:pt idx="4">
                  <c:v>2385670327.68</c:v>
                </c:pt>
                <c:pt idx="5">
                  <c:v>2982087909.6</c:v>
                </c:pt>
                <c:pt idx="6">
                  <c:v>3578505491.52</c:v>
                </c:pt>
                <c:pt idx="7">
                  <c:v>4174923073.44</c:v>
                </c:pt>
                <c:pt idx="8">
                  <c:v>4771340655.36</c:v>
                </c:pt>
                <c:pt idx="9">
                  <c:v>5367758237.28</c:v>
                </c:pt>
                <c:pt idx="10">
                  <c:v>5964175819.2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F-4FC0-AE4E-00D4CEF81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marker val="1"/>
        <c:axId val="24210868"/>
        <c:axId val="6459741"/>
      </c:lineChart>
      <c:catAx>
        <c:axId val="242108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vert="horz" rot="-60000000" spcFirstLastPara="1" vertOverflow="ellipsis" anchor="ctr" anchorCtr="1" wrap="square"/>
          <a:lstStyle/>
          <a:p>
            <a:pPr>
              <a:defRPr lang="en-US" sz="900" b="0" i="0" u="none" baseline="0" kern="12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741"/>
        <c:crosses val="autoZero"/>
        <c:auto val="1"/>
        <c:lblOffset val="100"/>
        <c:noMultiLvlLbl val="0"/>
      </c:catAx>
      <c:valAx>
        <c:axId val="6459741"/>
        <c:scaling>
          <c:orientation val="minMax"/>
        </c:scaling>
        <c:delete val="0"/>
        <c:axPos val="l"/>
        <c:majorGridlines>
          <c:spPr>
            <a:ln w="9525" cap="flat" cmpd="sng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>
            <a:noFill/>
          </a:ln>
          <a:effectLst/>
        </c:spPr>
        <c:txPr>
          <a:bodyPr vert="horz" rot="-60000000" spcFirstLastPara="1" vertOverflow="ellipsis" anchor="ctr" anchorCtr="1" wrap="square"/>
          <a:lstStyle/>
          <a:p>
            <a:pPr>
              <a:defRPr lang="en-US" sz="900" b="0" i="0" u="none" baseline="0" kern="12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10868"/>
        <c:crosses val="autoZero"/>
        <c:crossBetween val="between"/>
      </c:valAx>
      <c:spPr>
        <a:noFill/>
        <a:ln w="6350">
          <a:noFill/>
        </a:ln>
        <a:effectLst/>
      </c:spPr>
    </c:plotArea>
    <c:legend>
      <c:legendPos val="b"/>
      <c:layout/>
      <c:overlay val="0"/>
      <c:spPr>
        <a:noFill/>
        <a:ln w="6350">
          <a:noFill/>
        </a:ln>
        <a:effectLst/>
      </c:spPr>
      <c:txPr>
        <a:bodyPr vert="horz" rot="0" spcFirstLastPara="1" vertOverflow="ellipsis" anchor="ctr" anchorCtr="1" wrap="square"/>
        <a:lstStyle/>
        <a:p>
          <a:pPr algn="ctr">
            <a:defRPr lang="en-US" sz="900" b="0" i="0" u="none" baseline="0" kern="12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>
      <a:solidFill>
        <a:schemeClr val="tx1">
          <a:lumMod val="15000"/>
          <a:lumOff val="85000"/>
        </a:schemeClr>
      </a:solidFill>
      <a:round/>
    </a:ln>
    <a:effectLst/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vert="horz" rot="0" spcFirstLastPara="1" vertOverflow="ellipsis" anchor="ctr" anchorCtr="1" wrap="square"/>
          <a:lstStyle/>
          <a:p>
            <a:pPr>
              <a:defRPr lang="en-US" sz="1400" b="0" i="0" u="none" baseline="0" kern="1200" spc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Fude Sensitvity</a:t>
            </a:r>
          </a:p>
        </c:rich>
      </c:tx>
      <c:layout/>
      <c:overlay val="0"/>
      <c:spPr>
        <a:noFill/>
        <a:ln w="6350"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'Sensitivity Analysis'!$B$20</c:f>
              <c:strCache>
                <c:ptCount val="1"/>
                <c:pt idx="0">
                  <c:v>Total Budget</c:v>
                </c:pt>
              </c:strCache>
            </c:strRef>
          </c:tx>
          <c:spPr>
            <a:ln w="28575" cap="rnd" cmpd="sng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'Sensitivity Analysis'!$A$21:$A$41</c:f>
              <c:numCache>
                <c:formatCode>0%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cat>
          <c:val>
            <c:numRef>
              <c:f>'Sensitivity Analysis'!$B$21:$B$41</c:f>
              <c:numCache>
                <c:formatCode>"$"#,##0.00_);\("$"#,##0.00\)</c:formatCode>
                <c:ptCount val="21"/>
                <c:pt idx="0">
                  <c:v>0</c:v>
                </c:pt>
                <c:pt idx="1">
                  <c:v>994127881.35</c:v>
                </c:pt>
                <c:pt idx="2">
                  <c:v>1988255762.7</c:v>
                </c:pt>
                <c:pt idx="3">
                  <c:v>2982383644.05</c:v>
                </c:pt>
                <c:pt idx="4">
                  <c:v>3976511525.4</c:v>
                </c:pt>
                <c:pt idx="5">
                  <c:v>4970639406.75</c:v>
                </c:pt>
                <c:pt idx="6">
                  <c:v>5964767288.1</c:v>
                </c:pt>
                <c:pt idx="7">
                  <c:v>6958895169.45</c:v>
                </c:pt>
                <c:pt idx="8">
                  <c:v>7953023050.8</c:v>
                </c:pt>
                <c:pt idx="9">
                  <c:v>8947150932.15</c:v>
                </c:pt>
                <c:pt idx="10">
                  <c:v>9941278813.5</c:v>
                </c:pt>
                <c:pt idx="11">
                  <c:v>10935406694.85</c:v>
                </c:pt>
                <c:pt idx="12">
                  <c:v>11929534576.2</c:v>
                </c:pt>
                <c:pt idx="13">
                  <c:v>12923662457.55</c:v>
                </c:pt>
                <c:pt idx="14">
                  <c:v>13917790338.9</c:v>
                </c:pt>
                <c:pt idx="15">
                  <c:v>14911918220.25</c:v>
                </c:pt>
                <c:pt idx="16">
                  <c:v>15906046101.6</c:v>
                </c:pt>
                <c:pt idx="17">
                  <c:v>16900173982.95</c:v>
                </c:pt>
                <c:pt idx="18">
                  <c:v>17894301864.3</c:v>
                </c:pt>
                <c:pt idx="19">
                  <c:v>18888429745.65</c:v>
                </c:pt>
                <c:pt idx="20">
                  <c:v>19882557627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C-48DA-A438-016BF5C3BD9F}"/>
            </c:ext>
          </c:extLst>
        </c:ser>
        <c:ser>
          <c:idx val="1"/>
          <c:order val="1"/>
          <c:tx>
            <c:strRef>
              <c:f>'Sensitivity Analysis'!$C$20</c:f>
              <c:strCache>
                <c:ptCount val="1"/>
                <c:pt idx="0">
                  <c:v>Commercial Budget</c:v>
                </c:pt>
              </c:strCache>
            </c:strRef>
          </c:tx>
          <c:spPr>
            <a:ln w="28575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'Sensitivity Analysis'!$A$21:$A$41</c:f>
              <c:numCache>
                <c:formatCode>0%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cat>
          <c:val>
            <c:numRef>
              <c:f>'Sensitivity Analysis'!$C$21:$C$41</c:f>
              <c:numCache>
                <c:formatCode>"$"#,##0.00_);\("$"#,##0.00\)</c:formatCode>
                <c:ptCount val="21"/>
                <c:pt idx="0">
                  <c:v>0</c:v>
                </c:pt>
                <c:pt idx="1">
                  <c:v>248605903.95</c:v>
                </c:pt>
                <c:pt idx="2">
                  <c:v>497211807.9</c:v>
                </c:pt>
                <c:pt idx="3">
                  <c:v>745817711.85</c:v>
                </c:pt>
                <c:pt idx="4">
                  <c:v>994423615.8</c:v>
                </c:pt>
                <c:pt idx="5">
                  <c:v>1243029519.75</c:v>
                </c:pt>
                <c:pt idx="6">
                  <c:v>1491635423.7</c:v>
                </c:pt>
                <c:pt idx="7">
                  <c:v>1740241327.65</c:v>
                </c:pt>
                <c:pt idx="8">
                  <c:v>1988847231.6</c:v>
                </c:pt>
                <c:pt idx="9">
                  <c:v>2237453135.55</c:v>
                </c:pt>
                <c:pt idx="10">
                  <c:v>2486059039.5</c:v>
                </c:pt>
                <c:pt idx="11">
                  <c:v>2734664943.45</c:v>
                </c:pt>
                <c:pt idx="12">
                  <c:v>2983270847.4</c:v>
                </c:pt>
                <c:pt idx="13">
                  <c:v>3231876751.35</c:v>
                </c:pt>
                <c:pt idx="14">
                  <c:v>3480482655.3</c:v>
                </c:pt>
                <c:pt idx="15">
                  <c:v>3729088559.25</c:v>
                </c:pt>
                <c:pt idx="16">
                  <c:v>3977694463.2</c:v>
                </c:pt>
                <c:pt idx="17">
                  <c:v>4226300367.15</c:v>
                </c:pt>
                <c:pt idx="18">
                  <c:v>4474906271.1</c:v>
                </c:pt>
                <c:pt idx="19">
                  <c:v>4723512175.05</c:v>
                </c:pt>
                <c:pt idx="20">
                  <c:v>4972118079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1C-48DA-A438-016BF5C3BD9F}"/>
            </c:ext>
          </c:extLst>
        </c:ser>
        <c:ser>
          <c:idx val="2"/>
          <c:order val="2"/>
          <c:tx>
            <c:strRef>
              <c:f>'Sensitivity Analysis'!$D$20</c:f>
              <c:strCache>
                <c:ptCount val="1"/>
                <c:pt idx="0">
                  <c:v>Residential Budget</c:v>
                </c:pt>
              </c:strCache>
            </c:strRef>
          </c:tx>
          <c:spPr>
            <a:ln w="28575" cap="rnd" cmpd="sng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'Sensitivity Analysis'!$A$21:$A$41</c:f>
              <c:numCache>
                <c:formatCode>0%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cat>
          <c:val>
            <c:numRef>
              <c:f>'Sensitivity Analysis'!$D$21:$D$41</c:f>
              <c:numCache>
                <c:formatCode>"$"#,##0.00_);\("$"#,##0.00\)</c:formatCode>
                <c:ptCount val="21"/>
                <c:pt idx="0">
                  <c:v>0</c:v>
                </c:pt>
                <c:pt idx="1">
                  <c:v>745521977.4</c:v>
                </c:pt>
                <c:pt idx="2">
                  <c:v>1491043954.8</c:v>
                </c:pt>
                <c:pt idx="3">
                  <c:v>2236565932.2</c:v>
                </c:pt>
                <c:pt idx="4">
                  <c:v>2982087909.6</c:v>
                </c:pt>
                <c:pt idx="5">
                  <c:v>3727609887</c:v>
                </c:pt>
                <c:pt idx="6">
                  <c:v>4473131864.4</c:v>
                </c:pt>
                <c:pt idx="7">
                  <c:v>5218653841.8</c:v>
                </c:pt>
                <c:pt idx="8">
                  <c:v>5964175819.2</c:v>
                </c:pt>
                <c:pt idx="9">
                  <c:v>6709697796.6</c:v>
                </c:pt>
                <c:pt idx="10">
                  <c:v>7455219774</c:v>
                </c:pt>
                <c:pt idx="11">
                  <c:v>8200741751.4</c:v>
                </c:pt>
                <c:pt idx="12">
                  <c:v>8946263728.8</c:v>
                </c:pt>
                <c:pt idx="13">
                  <c:v>9691785706.2</c:v>
                </c:pt>
                <c:pt idx="14">
                  <c:v>10437307683.6</c:v>
                </c:pt>
                <c:pt idx="15">
                  <c:v>11182829661</c:v>
                </c:pt>
                <c:pt idx="16">
                  <c:v>11928351638.4</c:v>
                </c:pt>
                <c:pt idx="17">
                  <c:v>12673873615.8</c:v>
                </c:pt>
                <c:pt idx="18">
                  <c:v>13419395593.2</c:v>
                </c:pt>
                <c:pt idx="19">
                  <c:v>14164917570.6</c:v>
                </c:pt>
                <c:pt idx="20">
                  <c:v>14910439548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1C-48DA-A438-016BF5C3B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marker val="1"/>
        <c:axId val="41435099"/>
        <c:axId val="12004847"/>
      </c:lineChart>
      <c:catAx>
        <c:axId val="414350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vert="horz" rot="-60000000" spcFirstLastPara="1" vertOverflow="ellipsis" anchor="ctr" anchorCtr="1" wrap="square"/>
          <a:lstStyle/>
          <a:p>
            <a:pPr>
              <a:defRPr lang="en-US" sz="900" b="0" i="0" u="none" baseline="0" kern="12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4847"/>
        <c:crosses val="autoZero"/>
        <c:auto val="1"/>
        <c:lblOffset val="100"/>
        <c:noMultiLvlLbl val="0"/>
      </c:catAx>
      <c:valAx>
        <c:axId val="12004847"/>
        <c:scaling>
          <c:orientation val="minMax"/>
        </c:scaling>
        <c:delete val="0"/>
        <c:axPos val="l"/>
        <c:majorGridlines>
          <c:spPr>
            <a:ln w="9525" cap="flat" cmpd="sng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>
            <a:noFill/>
          </a:ln>
          <a:effectLst/>
        </c:spPr>
        <c:txPr>
          <a:bodyPr vert="horz" rot="-60000000" spcFirstLastPara="1" vertOverflow="ellipsis" anchor="ctr" anchorCtr="1" wrap="square"/>
          <a:lstStyle/>
          <a:p>
            <a:pPr>
              <a:defRPr lang="en-US" sz="900" b="0" i="0" u="none" baseline="0" kern="12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5099"/>
        <c:crosses val="autoZero"/>
        <c:crossBetween val="between"/>
      </c:valAx>
      <c:spPr>
        <a:noFill/>
        <a:ln w="6350">
          <a:noFill/>
        </a:ln>
        <a:effectLst/>
      </c:spPr>
    </c:plotArea>
    <c:legend>
      <c:legendPos val="b"/>
      <c:layout/>
      <c:overlay val="0"/>
      <c:spPr>
        <a:noFill/>
        <a:ln w="6350">
          <a:noFill/>
        </a:ln>
        <a:effectLst/>
      </c:spPr>
      <c:txPr>
        <a:bodyPr vert="horz" rot="0" spcFirstLastPara="1" vertOverflow="ellipsis" anchor="ctr" anchorCtr="1" wrap="square"/>
        <a:lstStyle/>
        <a:p>
          <a:pPr algn="ctr">
            <a:defRPr lang="en-US" sz="900" b="0" i="0" u="none" baseline="0" kern="12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>
      <a:solidFill>
        <a:schemeClr val="tx1">
          <a:lumMod val="15000"/>
          <a:lumOff val="85000"/>
        </a:schemeClr>
      </a:solidFill>
      <a:round/>
    </a:ln>
    <a:effectLst/>
  </c:sp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 /><Relationship Id="rId2" Type="http://schemas.openxmlformats.org/officeDocument/2006/relationships/chart" Target="../charts/chart2.xml" /></Relationships>
</file>

<file path=xl/drawings/_rels/vmlDrawing1.vml.rels><?xml version="1.0" encoding="UTF-8" standalone="yes"?><Relationships xmlns="http://schemas.openxmlformats.org/package/2006/relationships"><Relationship Id="rId6" Type="http://schemas.openxmlformats.org/officeDocument/2006/relationships/image" Target="../media/image6.emf" /><Relationship Id="rId1" Type="http://schemas.openxmlformats.org/officeDocument/2006/relationships/image" Target="../media/image1.emf" /><Relationship Id="rId5" Type="http://schemas.openxmlformats.org/officeDocument/2006/relationships/image" Target="../media/image5.emf" /><Relationship Id="rId3" Type="http://schemas.openxmlformats.org/officeDocument/2006/relationships/image" Target="../media/image3.emf" /><Relationship Id="rId2" Type="http://schemas.openxmlformats.org/officeDocument/2006/relationships/image" Target="../media/image2.emf" /><Relationship Id="rId4" Type="http://schemas.openxmlformats.org/officeDocument/2006/relationships/image" Target="../media/image4.emf" /><Relationship Id="rId7" Type="http://schemas.openxmlformats.org/officeDocument/2006/relationships/image" Target="../media/image7.emf" /></Relationships>
</file>

<file path=xl/drawings/_rels/vmlDrawing2.vml.rels><?xml version="1.0" encoding="UTF-8" standalone="yes"?><Relationships xmlns="http://schemas.openxmlformats.org/package/2006/relationships"><Relationship Id="rId1" Type="http://schemas.openxmlformats.org/officeDocument/2006/relationships/image" Target="../media/image8.emf" /><Relationship Id="rId2" Type="http://schemas.openxmlformats.org/officeDocument/2006/relationships/image" Target="../media/image9.emf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13</xdr:row>
          <xdr:rowOff>68580</xdr:rowOff>
        </xdr:from>
        <xdr:to>
          <xdr:col>3</xdr:col>
          <xdr:colOff>175260</xdr:colOff>
          <xdr:row>16</xdr:row>
          <xdr:rowOff>7620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>
              <a:spLocks noChangeAspect="1"/>
            </xdr:cNvSpPr>
          </xdr:nvSpPr>
          <xdr:spPr>
            <a:xfrm>
              <a:off x="561975" y="2438400"/>
              <a:ext cx="1438275" cy="485775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13</xdr:row>
          <xdr:rowOff>15240</xdr:rowOff>
        </xdr:from>
        <xdr:to>
          <xdr:col>8</xdr:col>
          <xdr:colOff>228600</xdr:colOff>
          <xdr:row>15</xdr:row>
          <xdr:rowOff>160020</xdr:rowOff>
        </xdr:to>
        <xdr:sp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>
              <a:spLocks noChangeAspect="1"/>
            </xdr:cNvSpPr>
          </xdr:nvSpPr>
          <xdr:spPr>
            <a:xfrm>
              <a:off x="3943350" y="2390775"/>
              <a:ext cx="1381125" cy="504825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13</xdr:row>
          <xdr:rowOff>15240</xdr:rowOff>
        </xdr:from>
        <xdr:to>
          <xdr:col>6</xdr:col>
          <xdr:colOff>38100</xdr:colOff>
          <xdr:row>15</xdr:row>
          <xdr:rowOff>167640</xdr:rowOff>
        </xdr:to>
        <xdr:sp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>
              <a:spLocks noChangeAspect="1"/>
            </xdr:cNvSpPr>
          </xdr:nvSpPr>
          <xdr:spPr>
            <a:xfrm>
              <a:off x="2286000" y="2390775"/>
              <a:ext cx="1390650" cy="51435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8</xdr:row>
          <xdr:rowOff>137160</xdr:rowOff>
        </xdr:from>
        <xdr:to>
          <xdr:col>4</xdr:col>
          <xdr:colOff>487680</xdr:colOff>
          <xdr:row>10</xdr:row>
          <xdr:rowOff>7620</xdr:rowOff>
        </xdr:to>
        <xdr:sp>
          <xdr:nvSpPr>
            <xdr:cNvPr id="1028" name="ScrollBar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>
              <a:spLocks noChangeAspect="1"/>
            </xdr:cNvSpPr>
          </xdr:nvSpPr>
          <xdr:spPr>
            <a:xfrm>
              <a:off x="1447800" y="1590675"/>
              <a:ext cx="1476375" cy="22860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518160</xdr:colOff>
          <xdr:row>16</xdr:row>
          <xdr:rowOff>45720</xdr:rowOff>
        </xdr:from>
        <xdr:to>
          <xdr:col>5</xdr:col>
          <xdr:colOff>556260</xdr:colOff>
          <xdr:row>17</xdr:row>
          <xdr:rowOff>129540</xdr:rowOff>
        </xdr:to>
        <xdr:sp>
          <xdr:nvSpPr>
            <xdr:cNvPr id="1030" name="Option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>
              <a:spLocks noChangeAspect="1"/>
            </xdr:cNvSpPr>
          </xdr:nvSpPr>
          <xdr:spPr>
            <a:xfrm>
              <a:off x="2343150" y="2962275"/>
              <a:ext cx="1257300" cy="26670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7620</xdr:rowOff>
        </xdr:from>
        <xdr:to>
          <xdr:col>5</xdr:col>
          <xdr:colOff>525780</xdr:colOff>
          <xdr:row>19</xdr:row>
          <xdr:rowOff>83820</xdr:rowOff>
        </xdr:to>
        <xdr:sp>
          <xdr:nvSpPr>
            <xdr:cNvPr id="1031" name="Option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>
              <a:spLocks noChangeAspect="1"/>
            </xdr:cNvSpPr>
          </xdr:nvSpPr>
          <xdr:spPr>
            <a:xfrm>
              <a:off x="2333625" y="3286125"/>
              <a:ext cx="1238250" cy="257175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8</xdr:row>
          <xdr:rowOff>144780</xdr:rowOff>
        </xdr:from>
        <xdr:to>
          <xdr:col>9</xdr:col>
          <xdr:colOff>457200</xdr:colOff>
          <xdr:row>10</xdr:row>
          <xdr:rowOff>60960</xdr:rowOff>
        </xdr:to>
        <xdr:sp>
          <xdr:nvSpPr>
            <xdr:cNvPr id="1032" name="ScrollBar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>
              <a:spLocks noChangeAspect="1"/>
            </xdr:cNvSpPr>
          </xdr:nvSpPr>
          <xdr:spPr>
            <a:xfrm>
              <a:off x="4714875" y="1600200"/>
              <a:ext cx="1447800" cy="276225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4</xdr:col>
      <xdr:colOff>205740</xdr:colOff>
      <xdr:row>3</xdr:row>
      <xdr:rowOff>163830</xdr:rowOff>
    </xdr:from>
    <xdr:to>
      <xdr:col>11</xdr:col>
      <xdr:colOff>510540</xdr:colOff>
      <xdr:row>18</xdr:row>
      <xdr:rowOff>163830</xdr:rowOff>
    </xdr:to>
    <xdr:graphicFrame>
      <xdr:nvGraphicFramePr>
        <xdr:cNvPr id="2" name="Chart 1">
          <a:extLst>
            <a:ext uri="{FF2B5EF4-FFF2-40B4-BE49-F238E27FC236}">
              <a16:creationId xmlns:a16="http://schemas.microsoft.com/office/drawing/2014/main" id="{a96b426e-f15e-d2d4-b2cf-6cfb38af2ccd}"/>
            </a:ext>
          </a:extLst>
        </xdr:cNvPr>
        <xdr:cNvGraphicFramePr/>
      </xdr:nvGraphicFramePr>
      <xdr:xfrm>
        <a:off x="4705350" y="704850"/>
        <a:ext cx="4572000" cy="2714625"/>
      </xdr:xfrm>
      <a:graphic>
        <a:graphicData uri="http://schemas.openxmlformats.org/drawingml/2006/chart">
          <c:chart xmlns:c="http://schemas.openxmlformats.org/drawingml/2006/chart" r:id="rId1"/>
        </a:graphicData>
      </a:graphic>
    </xdr:graphicFrame>
    <xdr:clientData/>
  </xdr:twoCellAnchor>
  <xdr:twoCellAnchor>
    <xdr:from>
      <xdr:col>4</xdr:col>
      <xdr:colOff>38100</xdr:colOff>
      <xdr:row>20</xdr:row>
      <xdr:rowOff>179070</xdr:rowOff>
    </xdr:from>
    <xdr:to>
      <xdr:col>11</xdr:col>
      <xdr:colOff>342900</xdr:colOff>
      <xdr:row>35</xdr:row>
      <xdr:rowOff>179070</xdr:rowOff>
    </xdr:to>
    <xdr:graphicFrame>
      <xdr:nvGraphicFramePr>
        <xdr:cNvPr id="3" name="Chart 2">
          <a:extLst>
            <a:ext uri="{FF2B5EF4-FFF2-40B4-BE49-F238E27FC236}">
              <a16:creationId xmlns:a16="http://schemas.microsoft.com/office/drawing/2014/main" id="{3df0ab44-891c-9e40-ad28-651e5d4a62e9}"/>
            </a:ext>
          </a:extLst>
        </xdr:cNvPr>
        <xdr:cNvGraphicFramePr/>
      </xdr:nvGraphicFramePr>
      <xdr:xfrm>
        <a:off x="4533900" y="3800475"/>
        <a:ext cx="4572000" cy="2714625"/>
      </xdr:xfrm>
      <a:graphic>
        <a:graphicData uri="http://schemas.openxmlformats.org/drawingml/2006/chart">
          <c:chart xmlns:c="http://schemas.openxmlformats.org/drawingml/2006/chart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1</xdr:row>
          <xdr:rowOff>137160</xdr:rowOff>
        </xdr:from>
        <xdr:to>
          <xdr:col>2</xdr:col>
          <xdr:colOff>236220</xdr:colOff>
          <xdr:row>4</xdr:row>
          <xdr:rowOff>152400</xdr:rowOff>
        </xdr:to>
        <xdr:sp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>
              <a:spLocks noChangeAspect="1"/>
            </xdr:cNvSpPr>
          </xdr:nvSpPr>
          <xdr:spPr>
            <a:xfrm>
              <a:off x="333375" y="314325"/>
              <a:ext cx="2114550" cy="561975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1165860</xdr:colOff>
          <xdr:row>1</xdr:row>
          <xdr:rowOff>137160</xdr:rowOff>
        </xdr:from>
        <xdr:to>
          <xdr:col>3</xdr:col>
          <xdr:colOff>708660</xdr:colOff>
          <xdr:row>4</xdr:row>
          <xdr:rowOff>60960</xdr:rowOff>
        </xdr:to>
        <xdr:sp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>
              <a:spLocks noChangeAspect="1"/>
            </xdr:cNvSpPr>
          </xdr:nvSpPr>
          <xdr:spPr>
            <a:xfrm>
              <a:off x="3371850" y="314325"/>
              <a:ext cx="723900" cy="466725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_rels/pivotCacheDefinition2.xml.rels><?xml version="1.0" encoding="UTF-8" standalone="yes"?><Relationships xmlns="http://schemas.openxmlformats.org/package/2006/relationships"><Relationship Id="rId1" Type="http://schemas.openxmlformats.org/officeDocument/2006/relationships/pivotCacheRecords" Target="pivotCacheRecords2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3" refreshedBy="Ben Alexander" refreshedDate="45264.97572083333" recordCount="1615">
  <cacheSource type="worksheet">
    <worksheetSource ref="A4:N3000" sheet="Commercial Data"/>
  </cacheSource>
  <cacheFields count="15">
    <cacheField name="SBA Physical Declaration Number" numFmtId="0">
      <sharedItems containsBlank="1" containsMixedTypes="1" containsNumber="1" containsInteger="1" count="0"/>
    </cacheField>
    <cacheField name="SBA EIDL Declaration Number" numFmtId="0">
      <sharedItems containsString="0" containsBlank="1" containsNumber="1" containsInteger="1" count="0"/>
    </cacheField>
    <cacheField name="FEMA Disaster Number" numFmtId="0">
      <sharedItems containsString="0" containsBlank="1" containsNumber="1" containsInteger="1" count="11">
        <n v="4085"/>
        <n v="4086"/>
        <n v="4087"/>
        <n v="4089"/>
        <n v="4091"/>
        <n v="4101"/>
        <n v="4116"/>
        <n v="4117"/>
        <n v="4122"/>
        <n v="4145"/>
        <m/>
      </sharedItems>
    </cacheField>
    <cacheField name="SBA Disaster Number" numFmtId="0">
      <sharedItems containsBlank="1" count="0"/>
    </cacheField>
    <cacheField name="Damaged Property City Name" numFmtId="0">
      <sharedItems containsBlank="1" count="0"/>
    </cacheField>
    <cacheField name="Damaged Property Zip Code" numFmtId="0">
      <sharedItems containsString="0" containsBlank="1" containsNumber="1" containsInteger="1" count="0"/>
    </cacheField>
    <cacheField name="Damaged Property County/Parish Name" numFmtId="0">
      <sharedItems containsBlank="1" count="0"/>
    </cacheField>
    <cacheField name="Damaged Property State Code" numFmtId="0">
      <sharedItems containsBlank="1" count="0"/>
    </cacheField>
    <cacheField name="Total Verified Loss" numFmtId="0">
      <sharedItems containsString="0" containsBlank="1" containsNumber="1" containsInteger="1" count="0"/>
    </cacheField>
    <cacheField name="Verified Loss Real Estate" numFmtId="0">
      <sharedItems containsString="0" containsBlank="1" containsNumber="1" containsInteger="1" count="0"/>
    </cacheField>
    <cacheField name="Verified Loss Content" numFmtId="0">
      <sharedItems containsString="0" containsBlank="1" containsNumber="1" containsInteger="1" count="0"/>
    </cacheField>
    <cacheField name="Total Approved Loan Amount" numFmtId="0">
      <sharedItems containsString="0" containsBlank="1" containsNumber="1" containsInteger="1" count="0"/>
    </cacheField>
    <cacheField name="Approved Amount Real Estate" numFmtId="0">
      <sharedItems containsString="0" containsBlank="1" containsNumber="1" count="0"/>
    </cacheField>
    <cacheField name="Approved Amount Content" numFmtId="0">
      <sharedItems containsString="0" containsBlank="1" containsNumber="1" count="0"/>
    </cacheField>
    <cacheField name="Coverage" numFmtId="0" formula="'Total Approved Loan Amount'/'Total Verified Loss'" databaseField="0"/>
  </cacheFields>
  <extLst>
    <ext xmlns:x14="http://schemas.microsoft.com/office/spreadsheetml/2009/9/main" uri="{725AE2AE-9491-48be-B2B4-4EB974FC3084}">
      <x14:pivotCacheDefinition pivotCacheId="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3" refreshedBy="Ben Alexander" refreshedDate="45264.97577858796" recordCount="2497">
  <cacheSource type="worksheet">
    <worksheetSource ref="A4:N3000" sheet="Residential Data"/>
  </cacheSource>
  <cacheFields count="15">
    <cacheField name="SBA Physical Declaration Number" numFmtId="0">
      <sharedItems containsString="0" containsBlank="1" containsNumber="1" containsInteger="1" count="0"/>
    </cacheField>
    <cacheField name="SBA EIDL Declaration Number" numFmtId="0">
      <sharedItems containsString="0" containsBlank="1" containsNumber="1" containsInteger="1" count="0"/>
    </cacheField>
    <cacheField name="FEMA Disaster Number" numFmtId="0">
      <sharedItems containsString="0" containsBlank="1" containsNumber="1" containsInteger="1" count="9">
        <n v="4085"/>
        <n v="4086"/>
        <n v="4087"/>
        <n v="4089"/>
        <n v="4091"/>
        <n v="4101"/>
        <n v="3363"/>
        <n v="4116"/>
        <m/>
      </sharedItems>
    </cacheField>
    <cacheField name="SBA Disaster Number" numFmtId="0">
      <sharedItems containsBlank="1" count="0"/>
    </cacheField>
    <cacheField name="Damaged Property City Name" numFmtId="0">
      <sharedItems containsBlank="1" count="0"/>
    </cacheField>
    <cacheField name="Damaged Property Zip Code" numFmtId="0">
      <sharedItems containsString="0" containsBlank="1" containsNumber="1" containsInteger="1" count="0"/>
    </cacheField>
    <cacheField name="Damaged Property County/Parish Name" numFmtId="0">
      <sharedItems containsBlank="1" count="0"/>
    </cacheField>
    <cacheField name="Damaged Property State Code" numFmtId="0">
      <sharedItems containsBlank="1" count="0"/>
    </cacheField>
    <cacheField name="Total Verified Loss" numFmtId="0">
      <sharedItems containsString="0" containsBlank="1" containsNumber="1" containsInteger="1" count="0"/>
    </cacheField>
    <cacheField name="Verified Loss Real Estate" numFmtId="0">
      <sharedItems containsString="0" containsBlank="1" containsNumber="1" containsInteger="1" count="0"/>
    </cacheField>
    <cacheField name="Verified Loss Content" numFmtId="0">
      <sharedItems containsString="0" containsBlank="1" containsNumber="1" containsInteger="1" count="0"/>
    </cacheField>
    <cacheField name="Total Approved Loan Amount" numFmtId="0">
      <sharedItems containsString="0" containsBlank="1" containsNumber="1" containsInteger="1" count="0"/>
    </cacheField>
    <cacheField name="Approved Amount Real Estate" numFmtId="0">
      <sharedItems containsString="0" containsBlank="1" containsNumber="1" count="0"/>
    </cacheField>
    <cacheField name="Approved Amount Content" numFmtId="0">
      <sharedItems containsString="0" containsBlank="1" containsNumber="1" count="0"/>
    </cacheField>
    <cacheField name="Coverage" numFmtId="0" formula="'Total Approved Loan Amount'/'Total Verified Loss'" databaseField="0"/>
  </cacheFields>
  <extLst>
    <ext xmlns:x14="http://schemas.microsoft.com/office/spreadsheetml/2009/9/main" uri="{725AE2AE-9491-48be-B2B4-4EB974FC3084}">
      <x14:pivotCacheDefinition pivotCacheId="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15">
  <r>
    <n v="13365"/>
    <n v="13366"/>
    <x v="0"/>
    <s v="NY-00130"/>
    <s v="ALBERTSON"/>
    <n v="11507"/>
    <s v="NASSAU"/>
    <s v="NY"/>
    <n v="51955"/>
    <n v="42355"/>
    <n v="9600"/>
    <n v="50400"/>
    <n v="0"/>
    <n v="0"/>
  </r>
  <r>
    <n v="13365"/>
    <n v="13366"/>
    <x v="0"/>
    <s v="NY-00130"/>
    <s v="AMITY HARBOR"/>
    <n v="11701"/>
    <s v="SUFFOLK"/>
    <s v="NY"/>
    <n v="471587"/>
    <n v="407182"/>
    <n v="64405"/>
    <n v="175300"/>
    <n v="105400"/>
    <n v="55700"/>
  </r>
  <r>
    <n v="13365"/>
    <n v="13366"/>
    <x v="0"/>
    <s v="NY-00130"/>
    <s v="AMITYV ILLE"/>
    <n v="11701"/>
    <s v="SUFFOLK"/>
    <s v="NY"/>
    <n v="0"/>
    <n v="0"/>
    <n v="0"/>
    <n v="18500"/>
    <n v="0"/>
    <n v="0"/>
  </r>
  <r>
    <n v="13365"/>
    <n v="13366"/>
    <x v="0"/>
    <s v="NY-00130"/>
    <s v="AMITYVILLE"/>
    <n v="11701"/>
    <s v="NASSAU"/>
    <s v="NY"/>
    <n v="27812"/>
    <n v="16712"/>
    <n v="11100"/>
    <n v="0"/>
    <n v="0"/>
    <n v="0"/>
  </r>
  <r>
    <n v="13365"/>
    <n v="13366"/>
    <x v="0"/>
    <s v="NY-00130"/>
    <s v="AMITYVILLE"/>
    <n v="11701"/>
    <s v="SUFFOLK"/>
    <s v="NY"/>
    <n v="4205242"/>
    <n v="3300857"/>
    <n v="904385"/>
    <n v="1552600"/>
    <n v="899400"/>
    <n v="279900"/>
  </r>
  <r>
    <n v="13365"/>
    <n v="13366"/>
    <x v="0"/>
    <s v="NY-00130"/>
    <s v="AQUEBOGUE"/>
    <n v="11931"/>
    <s v="SUFFOLK"/>
    <s v="NY"/>
    <n v="66164"/>
    <n v="66164"/>
    <n v="0"/>
    <n v="66200"/>
    <n v="66200"/>
    <n v="0"/>
  </r>
  <r>
    <n v="13365"/>
    <n v="13366"/>
    <x v="0"/>
    <s v="NY-00130"/>
    <s v="ARVERNA"/>
    <n v="11692"/>
    <s v="QUEENS"/>
    <s v="NY"/>
    <n v="43178"/>
    <n v="43178"/>
    <n v="0"/>
    <n v="0"/>
    <n v="0"/>
    <n v="0"/>
  </r>
  <r>
    <n v="13365"/>
    <n v="13366"/>
    <x v="0"/>
    <s v="NY-00130"/>
    <s v="ARVERNE"/>
    <n v="11520"/>
    <s v="QUEENS"/>
    <s v="NY"/>
    <n v="59192"/>
    <n v="57092"/>
    <n v="2100"/>
    <n v="0"/>
    <n v="0"/>
    <n v="0"/>
  </r>
  <r>
    <n v="13365"/>
    <n v="13366"/>
    <x v="0"/>
    <s v="NY-00130"/>
    <s v="ARVERNE"/>
    <n v="11692"/>
    <s v="QUEENS"/>
    <s v="NY"/>
    <n v="11695230"/>
    <n v="6784459"/>
    <n v="4910771"/>
    <n v="4044000"/>
    <n v="2735900"/>
    <n v="994200"/>
  </r>
  <r>
    <n v="13365"/>
    <n v="13366"/>
    <x v="0"/>
    <s v="NY-00130"/>
    <s v="ASTORIA"/>
    <n v="11101"/>
    <s v="QUEENS"/>
    <s v="NY"/>
    <n v="13920"/>
    <n v="13920"/>
    <n v="0"/>
    <n v="0"/>
    <n v="0"/>
    <n v="0"/>
  </r>
  <r>
    <n v="13365"/>
    <n v="13366"/>
    <x v="0"/>
    <s v="NY-00130"/>
    <s v="ASTORIA"/>
    <n v="11102"/>
    <s v="QUEENS"/>
    <s v="NY"/>
    <n v="515505"/>
    <n v="111031"/>
    <n v="404474"/>
    <n v="47800"/>
    <n v="0"/>
    <n v="47800"/>
  </r>
  <r>
    <n v="13365"/>
    <n v="13366"/>
    <x v="0"/>
    <s v="NY-00130"/>
    <s v="ASTORIA"/>
    <n v="11105"/>
    <s v="QUEENS"/>
    <s v="NY"/>
    <n v="3740"/>
    <n v="0"/>
    <n v="3740"/>
    <n v="0"/>
    <n v="0"/>
    <n v="0"/>
  </r>
  <r>
    <n v="13365"/>
    <n v="13366"/>
    <x v="0"/>
    <s v="NY-00130"/>
    <s v="ASTORIA"/>
    <n v="11106"/>
    <s v="QUEENS"/>
    <s v="NY"/>
    <n v="183325"/>
    <n v="5075"/>
    <n v="178250"/>
    <n v="37600"/>
    <n v="2200"/>
    <n v="13100"/>
  </r>
  <r>
    <n v="13365"/>
    <n v="13366"/>
    <x v="0"/>
    <s v="NY-00130"/>
    <s v="ATLANTIC BEACH"/>
    <n v="11509"/>
    <s v="NASSAU"/>
    <s v="NY"/>
    <n v="4051405"/>
    <n v="3435394"/>
    <n v="616011"/>
    <n v="1077500"/>
    <n v="794500"/>
    <n v="235200"/>
  </r>
  <r>
    <n v="13365"/>
    <n v="13366"/>
    <x v="0"/>
    <s v="NY-00130"/>
    <s v="ATLANTIC BEACH"/>
    <n v="11561"/>
    <s v="NASSAU"/>
    <s v="NY"/>
    <n v="121236"/>
    <n v="94886"/>
    <n v="26350"/>
    <n v="0"/>
    <n v="0"/>
    <n v="0"/>
  </r>
  <r>
    <n v="13365"/>
    <n v="13366"/>
    <x v="0"/>
    <s v="NY-00130"/>
    <s v="ATLANTIC BEACH"/>
    <n v="11509"/>
    <s v="NEW YORK"/>
    <s v="NY"/>
    <n v="2997417"/>
    <n v="2859367"/>
    <n v="138050"/>
    <n v="2000000"/>
    <n v="2000000"/>
    <n v="0"/>
  </r>
  <r>
    <n v="13365"/>
    <n v="13366"/>
    <x v="0"/>
    <s v="NY-00130"/>
    <s v="BABYLON"/>
    <n v="11702"/>
    <s v="SUFFOLK"/>
    <s v="NY"/>
    <n v="7252526"/>
    <n v="4914784"/>
    <n v="2337742"/>
    <n v="1673200"/>
    <n v="727200"/>
    <n v="433600"/>
  </r>
  <r>
    <n v="13365"/>
    <n v="13366"/>
    <x v="0"/>
    <s v="NY-00130"/>
    <s v="BALDWIN"/>
    <n v="11510"/>
    <s v="NASSAU"/>
    <s v="NY"/>
    <n v="2211109"/>
    <n v="1684453"/>
    <n v="526656"/>
    <n v="513600"/>
    <n v="379000"/>
    <n v="42600"/>
  </r>
  <r>
    <n v="13365"/>
    <n v="13366"/>
    <x v="0"/>
    <s v="NY-00130"/>
    <s v="BAY SHORE"/>
    <n v="11706"/>
    <s v="SUFFOLK"/>
    <s v="NY"/>
    <n v="2197394"/>
    <n v="1401468"/>
    <n v="795926"/>
    <n v="653300"/>
    <n v="258600"/>
    <n v="123400"/>
  </r>
  <r>
    <n v="13365"/>
    <n v="13366"/>
    <x v="0"/>
    <s v="NY-00130"/>
    <s v="BAYONNE"/>
    <n v="7002"/>
    <s v="HUDSON"/>
    <s v="NJ"/>
    <n v="0"/>
    <n v="0"/>
    <n v="0"/>
    <n v="240100"/>
    <n v="0"/>
    <n v="0"/>
  </r>
  <r>
    <n v="13365"/>
    <n v="13366"/>
    <x v="0"/>
    <s v="NY-00130"/>
    <s v="BAYSHORE"/>
    <n v="11706"/>
    <s v="SUFFOLK"/>
    <s v="NY"/>
    <n v="206723"/>
    <n v="166841"/>
    <n v="39882"/>
    <n v="115300"/>
    <n v="107400"/>
    <n v="3700"/>
  </r>
  <r>
    <n v="13365"/>
    <n v="13366"/>
    <x v="0"/>
    <s v="NY-00130"/>
    <s v="BAYSIDE"/>
    <n v="11361"/>
    <s v="QUEENS"/>
    <s v="NY"/>
    <n v="18193"/>
    <n v="4568"/>
    <n v="13625"/>
    <n v="0"/>
    <n v="0"/>
    <n v="0"/>
  </r>
  <r>
    <n v="13365"/>
    <n v="13366"/>
    <x v="0"/>
    <s v="NY-00130"/>
    <s v="BAYSIDE"/>
    <n v="11364"/>
    <s v="QUEENS"/>
    <s v="NY"/>
    <n v="18173"/>
    <n v="18173"/>
    <n v="0"/>
    <n v="0"/>
    <n v="0"/>
    <n v="0"/>
  </r>
  <r>
    <n v="13365"/>
    <n v="13366"/>
    <x v="0"/>
    <s v="NY-00130"/>
    <s v="BAYVILLE"/>
    <n v="11709"/>
    <s v="NASSAU"/>
    <s v="NY"/>
    <n v="598046"/>
    <n v="352227"/>
    <n v="245819"/>
    <n v="167900"/>
    <n v="131100"/>
    <n v="16500"/>
  </r>
  <r>
    <n v="13365"/>
    <n v="13366"/>
    <x v="0"/>
    <s v="NY-00130"/>
    <s v="BELLE HARBOR"/>
    <n v="11694"/>
    <s v="KINGS"/>
    <s v="NY"/>
    <n v="906829"/>
    <n v="855681"/>
    <n v="51148"/>
    <n v="0"/>
    <n v="0"/>
    <n v="0"/>
  </r>
  <r>
    <n v="13365"/>
    <n v="13366"/>
    <x v="0"/>
    <s v="NY-00130"/>
    <s v="BELLE HARBOR"/>
    <n v="10314"/>
    <s v="QUEENS"/>
    <s v="NY"/>
    <n v="854105"/>
    <n v="742648"/>
    <n v="111457"/>
    <n v="999700"/>
    <n v="742700"/>
    <n v="111500"/>
  </r>
  <r>
    <n v="13365"/>
    <n v="13366"/>
    <x v="0"/>
    <s v="NY-00130"/>
    <s v="BELLE HARBOR"/>
    <n v="11694"/>
    <s v="QUEENS"/>
    <s v="NY"/>
    <n v="5260584"/>
    <n v="3777886"/>
    <n v="1482698"/>
    <n v="1777600"/>
    <n v="978800"/>
    <n v="473400"/>
  </r>
  <r>
    <n v="13365"/>
    <n v="13366"/>
    <x v="0"/>
    <s v="NY-00130"/>
    <s v="BELLEHARBOR"/>
    <n v="11694"/>
    <s v="QUEENS"/>
    <s v="NY"/>
    <n v="72544"/>
    <n v="0"/>
    <n v="72544"/>
    <n v="0"/>
    <n v="0"/>
    <n v="0"/>
  </r>
  <r>
    <n v="13365"/>
    <n v="13366"/>
    <x v="0"/>
    <s v="NY-00130"/>
    <s v="BELLEROSE"/>
    <n v="11426"/>
    <s v="QUEENS"/>
    <s v="NY"/>
    <n v="51458"/>
    <n v="50458"/>
    <n v="1000"/>
    <n v="0"/>
    <n v="0"/>
    <n v="0"/>
  </r>
  <r>
    <n v="13365"/>
    <n v="13366"/>
    <x v="0"/>
    <s v="NY-00130"/>
    <s v="BELLMORE"/>
    <n v="11710"/>
    <s v="NASSAU"/>
    <s v="NY"/>
    <n v="2115652"/>
    <n v="1562940"/>
    <n v="552712"/>
    <n v="925500"/>
    <n v="438100"/>
    <n v="157800"/>
  </r>
  <r>
    <n v="13365"/>
    <n v="13366"/>
    <x v="0"/>
    <s v="NY-00130"/>
    <s v="BELLPORT"/>
    <n v="11713"/>
    <s v="SUFFOLK"/>
    <s v="NY"/>
    <n v="9040"/>
    <n v="0"/>
    <n v="9040"/>
    <n v="4100"/>
    <n v="0"/>
    <n v="1600"/>
  </r>
  <r>
    <n v="13365"/>
    <n v="13366"/>
    <x v="0"/>
    <s v="NY-00130"/>
    <s v="BETHPAGE"/>
    <n v="11714"/>
    <s v="NASSAU"/>
    <s v="NY"/>
    <n v="49111"/>
    <n v="46026"/>
    <n v="3085"/>
    <n v="77700"/>
    <n v="0"/>
    <n v="0"/>
  </r>
  <r>
    <n v="13365"/>
    <n v="13366"/>
    <x v="0"/>
    <s v="NY-00130"/>
    <s v="BKLYN"/>
    <n v="11229"/>
    <s v="KINGS"/>
    <s v="NY"/>
    <n v="17725"/>
    <n v="0"/>
    <n v="17725"/>
    <n v="14000"/>
    <n v="0"/>
    <n v="14000"/>
  </r>
  <r>
    <n v="13365"/>
    <n v="13366"/>
    <x v="0"/>
    <s v="NY-00130"/>
    <s v="BLOOMING GROVE"/>
    <n v="10914"/>
    <s v="ORANGE"/>
    <s v="NY"/>
    <n v="1870"/>
    <n v="0"/>
    <n v="1870"/>
    <n v="0"/>
    <n v="0"/>
    <n v="0"/>
  </r>
  <r>
    <n v="13365"/>
    <n v="13366"/>
    <x v="0"/>
    <s v="NY-00130"/>
    <s v="BLUE POINT"/>
    <n v="11715"/>
    <s v="SUFFOLK"/>
    <s v="NY"/>
    <n v="15000"/>
    <n v="12850"/>
    <n v="2150"/>
    <n v="0"/>
    <n v="0"/>
    <n v="0"/>
  </r>
  <r>
    <n v="13365"/>
    <n v="13366"/>
    <x v="0"/>
    <s v="NY-00130"/>
    <s v="BOHEMIA"/>
    <n v="11716"/>
    <s v="SUFFOLK"/>
    <s v="NY"/>
    <n v="0"/>
    <n v="0"/>
    <n v="0"/>
    <n v="713000"/>
    <n v="0"/>
    <n v="0"/>
  </r>
  <r>
    <n v="13365"/>
    <n v="13366"/>
    <x v="0"/>
    <s v="NY-00130"/>
    <s v="BOOKLYN"/>
    <n v="11235"/>
    <s v="KINGS"/>
    <s v="NY"/>
    <n v="171384"/>
    <n v="140826"/>
    <n v="30558"/>
    <n v="0"/>
    <n v="0"/>
    <n v="0"/>
  </r>
  <r>
    <n v="13365"/>
    <n v="13366"/>
    <x v="0"/>
    <s v="NY-00130"/>
    <s v="BREEZY POINT"/>
    <n v="11697"/>
    <s v="QUEENS"/>
    <s v="NY"/>
    <n v="5735054"/>
    <n v="4817656"/>
    <n v="917398"/>
    <n v="380600"/>
    <n v="169300"/>
    <n v="178400"/>
  </r>
  <r>
    <n v="13365"/>
    <n v="13366"/>
    <x v="0"/>
    <s v="NY-00130"/>
    <s v="BRENTWOOD"/>
    <n v="11717"/>
    <s v="SUFFOLK"/>
    <s v="NY"/>
    <n v="134903"/>
    <n v="100375"/>
    <n v="34528"/>
    <n v="192800"/>
    <n v="6100"/>
    <n v="2400"/>
  </r>
  <r>
    <n v="13365"/>
    <n v="13366"/>
    <x v="0"/>
    <s v="NY-00130"/>
    <s v="BREWSTER"/>
    <n v="10509"/>
    <s v="PUTNAM"/>
    <s v="NY"/>
    <n v="50405"/>
    <n v="0"/>
    <n v="50405"/>
    <n v="0"/>
    <n v="0"/>
    <n v="0"/>
  </r>
  <r>
    <n v="13365"/>
    <n v="13366"/>
    <x v="0"/>
    <s v="NY-00130"/>
    <s v="BRIGHTWATERS"/>
    <n v="11718"/>
    <s v="SUFFOLK"/>
    <s v="NY"/>
    <n v="0"/>
    <n v="0"/>
    <n v="0"/>
    <n v="18200"/>
    <n v="0"/>
    <n v="0"/>
  </r>
  <r>
    <n v="13365"/>
    <n v="13366"/>
    <x v="0"/>
    <s v="NY-00130"/>
    <s v="BROAD CHANNEL"/>
    <n v="11693"/>
    <s v="QUEENS"/>
    <s v="NY"/>
    <n v="5539568"/>
    <n v="3904232"/>
    <n v="1635336"/>
    <n v="1153000"/>
    <n v="954600"/>
    <n v="165500"/>
  </r>
  <r>
    <n v="13365"/>
    <n v="13366"/>
    <x v="0"/>
    <s v="NY-00130"/>
    <s v="BRONX"/>
    <n v="10451"/>
    <s v="BRONX"/>
    <s v="NY"/>
    <n v="247010"/>
    <n v="194497"/>
    <n v="52513"/>
    <n v="99100"/>
    <n v="12100"/>
    <n v="51900"/>
  </r>
  <r>
    <n v="13365"/>
    <n v="13366"/>
    <x v="0"/>
    <s v="NY-00130"/>
    <s v="BRONX"/>
    <n v="10452"/>
    <s v="BRONX"/>
    <s v="NY"/>
    <n v="86591"/>
    <n v="86591"/>
    <n v="0"/>
    <n v="0"/>
    <n v="0"/>
    <n v="0"/>
  </r>
  <r>
    <n v="13365"/>
    <n v="13366"/>
    <x v="0"/>
    <s v="NY-00130"/>
    <s v="BRONX"/>
    <n v="10454"/>
    <s v="BRONX"/>
    <s v="NY"/>
    <n v="78808"/>
    <n v="8700"/>
    <n v="70108"/>
    <n v="68700"/>
    <n v="8700"/>
    <n v="3100"/>
  </r>
  <r>
    <n v="13365"/>
    <n v="13366"/>
    <x v="0"/>
    <s v="NY-00130"/>
    <s v="BRONX"/>
    <n v="10456"/>
    <s v="BRONX"/>
    <s v="NY"/>
    <n v="86330"/>
    <n v="69470"/>
    <n v="16860"/>
    <n v="0"/>
    <n v="0"/>
    <n v="0"/>
  </r>
  <r>
    <n v="13365"/>
    <n v="13366"/>
    <x v="0"/>
    <s v="NY-00130"/>
    <s v="BRONX"/>
    <n v="10457"/>
    <s v="BRONX"/>
    <s v="NY"/>
    <n v="84208"/>
    <n v="84208"/>
    <n v="0"/>
    <n v="0"/>
    <n v="0"/>
    <n v="0"/>
  </r>
  <r>
    <n v="13365"/>
    <n v="13366"/>
    <x v="0"/>
    <s v="NY-00130"/>
    <s v="BRONX"/>
    <n v="10458"/>
    <s v="BRONX"/>
    <s v="NY"/>
    <n v="6158"/>
    <n v="6158"/>
    <n v="0"/>
    <n v="157600"/>
    <n v="0"/>
    <n v="0"/>
  </r>
  <r>
    <n v="13365"/>
    <n v="13366"/>
    <x v="0"/>
    <s v="NY-00130"/>
    <s v="BRONX"/>
    <n v="10460"/>
    <s v="BRONX"/>
    <s v="NY"/>
    <n v="47562"/>
    <n v="47562"/>
    <n v="0"/>
    <n v="29800"/>
    <n v="29800"/>
    <n v="0"/>
  </r>
  <r>
    <n v="13365"/>
    <n v="13366"/>
    <x v="0"/>
    <s v="NY-00130"/>
    <s v="BRONX"/>
    <n v="10461"/>
    <s v="BRONX"/>
    <s v="NY"/>
    <n v="56386"/>
    <n v="0"/>
    <n v="56386"/>
    <n v="101400"/>
    <n v="0"/>
    <n v="21800"/>
  </r>
  <r>
    <n v="13365"/>
    <n v="13366"/>
    <x v="0"/>
    <s v="NY-00130"/>
    <s v="BRONX"/>
    <n v="10462"/>
    <s v="BRONX"/>
    <s v="NY"/>
    <n v="2139"/>
    <n v="2139"/>
    <n v="0"/>
    <n v="0"/>
    <n v="0"/>
    <n v="0"/>
  </r>
  <r>
    <n v="13365"/>
    <n v="13366"/>
    <x v="0"/>
    <s v="NY-00130"/>
    <s v="BRONX"/>
    <n v="10463"/>
    <s v="BRONX"/>
    <s v="NY"/>
    <n v="16400"/>
    <n v="0"/>
    <n v="16400"/>
    <n v="0"/>
    <n v="0"/>
    <n v="0"/>
  </r>
  <r>
    <n v="13365"/>
    <n v="13366"/>
    <x v="0"/>
    <s v="NY-00130"/>
    <s v="BRONX"/>
    <n v="10464"/>
    <s v="BRONX"/>
    <s v="NY"/>
    <n v="3014689"/>
    <n v="2980693"/>
    <n v="33996"/>
    <n v="754100"/>
    <n v="754100"/>
    <n v="0"/>
  </r>
  <r>
    <n v="13365"/>
    <n v="13366"/>
    <x v="0"/>
    <s v="NY-00130"/>
    <s v="BRONX"/>
    <n v="10465"/>
    <s v="BRONX"/>
    <s v="NY"/>
    <n v="2618080"/>
    <n v="2379123"/>
    <n v="238957"/>
    <n v="1914800"/>
    <n v="1658700"/>
    <n v="129000"/>
  </r>
  <r>
    <n v="13365"/>
    <n v="13366"/>
    <x v="0"/>
    <s v="NY-00130"/>
    <s v="BRONX"/>
    <n v="10466"/>
    <s v="BRONX"/>
    <s v="NY"/>
    <n v="21015"/>
    <n v="1015"/>
    <n v="20000"/>
    <n v="0"/>
    <n v="0"/>
    <n v="0"/>
  </r>
  <r>
    <n v="13365"/>
    <n v="13366"/>
    <x v="0"/>
    <s v="NY-00130"/>
    <s v="BRONX"/>
    <n v="10467"/>
    <s v="BRONX"/>
    <s v="NY"/>
    <n v="62460"/>
    <n v="55575"/>
    <n v="6885"/>
    <n v="36200"/>
    <n v="29300"/>
    <n v="6900"/>
  </r>
  <r>
    <n v="13365"/>
    <n v="13366"/>
    <x v="0"/>
    <s v="NY-00130"/>
    <s v="BRONX"/>
    <n v="10468"/>
    <s v="BRONX"/>
    <s v="NY"/>
    <n v="1668"/>
    <n v="1668"/>
    <n v="0"/>
    <n v="0"/>
    <n v="0"/>
    <n v="0"/>
  </r>
  <r>
    <n v="13365"/>
    <n v="13366"/>
    <x v="0"/>
    <s v="NY-00130"/>
    <s v="BRONX"/>
    <n v="10469"/>
    <s v="BRONX"/>
    <s v="NY"/>
    <n v="8800"/>
    <n v="0"/>
    <n v="8800"/>
    <n v="77300"/>
    <n v="0"/>
    <n v="1500"/>
  </r>
  <r>
    <n v="13365"/>
    <n v="13366"/>
    <x v="0"/>
    <s v="NY-00130"/>
    <s v="BRONX"/>
    <n v="10470"/>
    <s v="BRONX"/>
    <s v="NY"/>
    <n v="0"/>
    <n v="0"/>
    <n v="0"/>
    <n v="26500"/>
    <n v="0"/>
    <n v="0"/>
  </r>
  <r>
    <n v="13365"/>
    <n v="13366"/>
    <x v="0"/>
    <s v="NY-00130"/>
    <s v="BRONX"/>
    <n v="10471"/>
    <s v="BRONX"/>
    <s v="NY"/>
    <n v="0"/>
    <n v="0"/>
    <n v="0"/>
    <n v="319200"/>
    <n v="0"/>
    <n v="0"/>
  </r>
  <r>
    <n v="13365"/>
    <n v="13366"/>
    <x v="0"/>
    <s v="NY-00130"/>
    <s v="BRONX"/>
    <n v="10473"/>
    <s v="BRONX"/>
    <s v="NY"/>
    <n v="364036"/>
    <n v="348316"/>
    <n v="15720"/>
    <n v="4600"/>
    <n v="4600"/>
    <n v="0"/>
  </r>
  <r>
    <n v="13365"/>
    <n v="13366"/>
    <x v="0"/>
    <s v="NY-00130"/>
    <s v="BRONX"/>
    <n v="10474"/>
    <s v="BRONX"/>
    <s v="NY"/>
    <n v="196062"/>
    <n v="151146"/>
    <n v="44916"/>
    <n v="192000"/>
    <n v="149200"/>
    <n v="42800"/>
  </r>
  <r>
    <n v="13365"/>
    <n v="13366"/>
    <x v="0"/>
    <s v="NY-00130"/>
    <s v="BRONX"/>
    <n v="10475"/>
    <s v="BRONX"/>
    <s v="NY"/>
    <n v="225167"/>
    <n v="13912"/>
    <n v="211255"/>
    <n v="0"/>
    <n v="0"/>
    <n v="0"/>
  </r>
  <r>
    <n v="13365"/>
    <n v="13366"/>
    <x v="0"/>
    <s v="NY-00130"/>
    <s v="BRONX"/>
    <n v="10471"/>
    <s v="COLUMBIA"/>
    <s v="NY"/>
    <n v="46126"/>
    <n v="46126"/>
    <n v="0"/>
    <n v="0"/>
    <n v="0"/>
    <n v="0"/>
  </r>
  <r>
    <n v="13365"/>
    <n v="13366"/>
    <x v="0"/>
    <s v="NY-00130"/>
    <s v="BRONXVILLE"/>
    <n v="10708"/>
    <s v="WESTCHESTER"/>
    <s v="NY"/>
    <n v="2500"/>
    <n v="0"/>
    <n v="2500"/>
    <n v="0"/>
    <n v="0"/>
    <n v="0"/>
  </r>
  <r>
    <n v="13365"/>
    <n v="13366"/>
    <x v="0"/>
    <s v="NY-00130"/>
    <s v="BROOKHAVEN"/>
    <n v="11719"/>
    <s v="SUFFOLK"/>
    <s v="NY"/>
    <n v="23063"/>
    <n v="0"/>
    <n v="23063"/>
    <n v="0"/>
    <n v="0"/>
    <n v="0"/>
  </r>
  <r>
    <n v="13365"/>
    <n v="13366"/>
    <x v="0"/>
    <s v="NY-00130"/>
    <s v="BROOKLN"/>
    <n v="11221"/>
    <s v="KINGS"/>
    <s v="NY"/>
    <n v="1624"/>
    <n v="1624"/>
    <n v="0"/>
    <n v="0"/>
    <n v="0"/>
    <n v="0"/>
  </r>
  <r>
    <n v="13365"/>
    <n v="13366"/>
    <x v="0"/>
    <s v="NY-00130"/>
    <s v="BROOKLY"/>
    <n v="11214"/>
    <s v="KINGS"/>
    <s v="NY"/>
    <n v="3850"/>
    <n v="0"/>
    <n v="3850"/>
    <n v="0"/>
    <n v="0"/>
    <n v="0"/>
  </r>
  <r>
    <n v="13365"/>
    <n v="13366"/>
    <x v="0"/>
    <s v="NY-00130"/>
    <s v="BROOKLYM"/>
    <n v="11224"/>
    <s v="KINGS"/>
    <s v="NY"/>
    <n v="77862"/>
    <n v="30106"/>
    <n v="47756"/>
    <n v="0"/>
    <n v="0"/>
    <n v="0"/>
  </r>
  <r>
    <n v="13365"/>
    <n v="13366"/>
    <x v="0"/>
    <s v="NY-00130"/>
    <s v="BROOKLYN"/>
    <n v="11236"/>
    <s v="GREENE"/>
    <s v="NY"/>
    <n v="38876"/>
    <n v="37026"/>
    <n v="1850"/>
    <n v="0"/>
    <n v="0"/>
    <n v="0"/>
  </r>
  <r>
    <n v="13365"/>
    <n v="13366"/>
    <x v="0"/>
    <s v="NY-00130"/>
    <s v="BROOKLYN"/>
    <n v="7732"/>
    <s v="KINGS"/>
    <s v="NY"/>
    <n v="267122"/>
    <n v="200122"/>
    <n v="67000"/>
    <n v="0"/>
    <n v="0"/>
    <n v="0"/>
  </r>
  <r>
    <n v="13365"/>
    <n v="13366"/>
    <x v="0"/>
    <s v="NY-00130"/>
    <s v="BROOKLYN"/>
    <n v="10038"/>
    <s v="KINGS"/>
    <s v="NY"/>
    <n v="394732"/>
    <n v="283482"/>
    <n v="111250"/>
    <n v="452400"/>
    <n v="283500"/>
    <n v="111300"/>
  </r>
  <r>
    <n v="13365"/>
    <n v="13366"/>
    <x v="0"/>
    <s v="NY-00130"/>
    <s v="BROOKLYN"/>
    <n v="11201"/>
    <s v="KINGS"/>
    <s v="NY"/>
    <n v="2032124"/>
    <n v="1476403"/>
    <n v="555721"/>
    <n v="827000"/>
    <n v="153400"/>
    <n v="319000"/>
  </r>
  <r>
    <n v="13365"/>
    <n v="13366"/>
    <x v="0"/>
    <s v="NY-00130"/>
    <s v="BROOKLYN"/>
    <n v="11203"/>
    <s v="KINGS"/>
    <s v="NY"/>
    <n v="44282"/>
    <n v="39482"/>
    <n v="4800"/>
    <n v="0"/>
    <n v="0"/>
    <n v="0"/>
  </r>
  <r>
    <n v="13365"/>
    <n v="13366"/>
    <x v="0"/>
    <s v="NY-00130"/>
    <s v="BROOKLYN"/>
    <n v="11204"/>
    <s v="KINGS"/>
    <s v="NY"/>
    <n v="605401"/>
    <n v="199739"/>
    <n v="405662"/>
    <n v="0"/>
    <n v="0"/>
    <n v="0"/>
  </r>
  <r>
    <n v="13365"/>
    <n v="13366"/>
    <x v="0"/>
    <s v="NY-00130"/>
    <s v="BROOKLYN"/>
    <n v="11205"/>
    <s v="KINGS"/>
    <s v="NY"/>
    <n v="24687308"/>
    <n v="6168767"/>
    <n v="18518541"/>
    <n v="4112700"/>
    <n v="0"/>
    <n v="3306400"/>
  </r>
  <r>
    <n v="13365"/>
    <n v="13366"/>
    <x v="0"/>
    <s v="NY-00130"/>
    <s v="BROOKLYN"/>
    <n v="11206"/>
    <s v="KINGS"/>
    <s v="NY"/>
    <n v="142840"/>
    <n v="102720"/>
    <n v="40120"/>
    <n v="360000"/>
    <n v="102800"/>
    <n v="33800"/>
  </r>
  <r>
    <n v="13365"/>
    <n v="13366"/>
    <x v="0"/>
    <s v="NY-00130"/>
    <s v="BROOKLYN"/>
    <n v="11207"/>
    <s v="KINGS"/>
    <s v="NY"/>
    <n v="353715"/>
    <n v="350790"/>
    <n v="2925"/>
    <n v="0"/>
    <n v="0"/>
    <n v="0"/>
  </r>
  <r>
    <n v="13365"/>
    <n v="13366"/>
    <x v="0"/>
    <s v="NY-00130"/>
    <s v="BROOKLYN"/>
    <n v="11208"/>
    <s v="KINGS"/>
    <s v="NY"/>
    <n v="281767"/>
    <n v="85492"/>
    <n v="196275"/>
    <n v="97900"/>
    <n v="85600"/>
    <n v="9500"/>
  </r>
  <r>
    <n v="13365"/>
    <n v="13366"/>
    <x v="0"/>
    <s v="NY-00130"/>
    <s v="BROOKLYN"/>
    <n v="11209"/>
    <s v="KINGS"/>
    <s v="NY"/>
    <n v="9807331"/>
    <n v="0"/>
    <n v="9807331"/>
    <n v="270900"/>
    <n v="0"/>
    <n v="0"/>
  </r>
  <r>
    <n v="13365"/>
    <n v="13366"/>
    <x v="0"/>
    <s v="NY-00130"/>
    <s v="BROOKLYN"/>
    <n v="11210"/>
    <s v="KINGS"/>
    <s v="NY"/>
    <n v="353135"/>
    <n v="271212"/>
    <n v="81923"/>
    <n v="24200"/>
    <n v="0"/>
    <n v="24200"/>
  </r>
  <r>
    <n v="13365"/>
    <n v="13366"/>
    <x v="0"/>
    <s v="NY-00130"/>
    <s v="BROOKLYN"/>
    <n v="11211"/>
    <s v="KINGS"/>
    <s v="NY"/>
    <n v="1218762"/>
    <n v="63735"/>
    <n v="1155027"/>
    <n v="1040200"/>
    <n v="0"/>
    <n v="790200"/>
  </r>
  <r>
    <n v="13365"/>
    <n v="13366"/>
    <x v="0"/>
    <s v="NY-00130"/>
    <s v="BROOKLYN"/>
    <n v="11212"/>
    <s v="KINGS"/>
    <s v="NY"/>
    <n v="110080"/>
    <n v="70385"/>
    <n v="39695"/>
    <n v="14000"/>
    <n v="14000"/>
    <n v="0"/>
  </r>
  <r>
    <n v="13365"/>
    <n v="13366"/>
    <x v="0"/>
    <s v="NY-00130"/>
    <s v="BROOKLYN"/>
    <n v="11213"/>
    <s v="KINGS"/>
    <s v="NY"/>
    <n v="125511"/>
    <n v="101761"/>
    <n v="23750"/>
    <n v="0"/>
    <n v="0"/>
    <n v="0"/>
  </r>
  <r>
    <n v="13365"/>
    <n v="13366"/>
    <x v="0"/>
    <s v="NY-00130"/>
    <s v="BROOKLYN"/>
    <n v="11214"/>
    <s v="KINGS"/>
    <s v="NY"/>
    <n v="1651735"/>
    <n v="1205372"/>
    <n v="446363"/>
    <n v="544700"/>
    <n v="379600"/>
    <n v="83000"/>
  </r>
  <r>
    <n v="13365"/>
    <n v="13366"/>
    <x v="0"/>
    <s v="NY-00130"/>
    <s v="BROOKLYN"/>
    <n v="11215"/>
    <s v="KINGS"/>
    <s v="NY"/>
    <n v="9951192"/>
    <n v="1474336"/>
    <n v="8476856"/>
    <n v="3164900"/>
    <n v="65300"/>
    <n v="2732500"/>
  </r>
  <r>
    <n v="13365"/>
    <n v="13366"/>
    <x v="0"/>
    <s v="NY-00130"/>
    <s v="BROOKLYN"/>
    <n v="11216"/>
    <s v="KINGS"/>
    <s v="NY"/>
    <n v="59581"/>
    <n v="53026"/>
    <n v="6555"/>
    <n v="33400"/>
    <n v="33100"/>
    <n v="300"/>
  </r>
  <r>
    <n v="13365"/>
    <n v="13366"/>
    <x v="0"/>
    <s v="NY-00130"/>
    <s v="BROOKLYN"/>
    <n v="11217"/>
    <s v="KINGS"/>
    <s v="NY"/>
    <n v="3927338"/>
    <n v="338498"/>
    <n v="3588840"/>
    <n v="488700"/>
    <n v="98300"/>
    <n v="258500"/>
  </r>
  <r>
    <n v="13365"/>
    <n v="13366"/>
    <x v="0"/>
    <s v="NY-00130"/>
    <s v="BROOKLYN"/>
    <n v="11218"/>
    <s v="KINGS"/>
    <s v="NY"/>
    <n v="76949"/>
    <n v="76949"/>
    <n v="0"/>
    <n v="22300"/>
    <n v="0"/>
    <n v="0"/>
  </r>
  <r>
    <n v="13365"/>
    <n v="13366"/>
    <x v="0"/>
    <s v="NY-00130"/>
    <s v="BROOKLYN"/>
    <n v="11219"/>
    <s v="KINGS"/>
    <s v="NY"/>
    <n v="119701"/>
    <n v="42471"/>
    <n v="77230"/>
    <n v="123500"/>
    <n v="42500"/>
    <n v="49600"/>
  </r>
  <r>
    <n v="13365"/>
    <n v="13366"/>
    <x v="0"/>
    <s v="NY-00130"/>
    <s v="BROOKLYN"/>
    <n v="11220"/>
    <s v="KINGS"/>
    <s v="NY"/>
    <n v="417982"/>
    <n v="210990"/>
    <n v="206992"/>
    <n v="51800"/>
    <n v="14700"/>
    <n v="37100"/>
  </r>
  <r>
    <n v="13365"/>
    <n v="13366"/>
    <x v="0"/>
    <s v="NY-00130"/>
    <s v="BROOKLYN"/>
    <n v="11221"/>
    <s v="KINGS"/>
    <s v="NY"/>
    <n v="6000"/>
    <n v="0"/>
    <n v="6000"/>
    <n v="0"/>
    <n v="0"/>
    <n v="0"/>
  </r>
  <r>
    <n v="13365"/>
    <n v="13366"/>
    <x v="0"/>
    <s v="NY-00130"/>
    <s v="BROOKLYN"/>
    <n v="11222"/>
    <s v="KINGS"/>
    <s v="NY"/>
    <n v="2796132"/>
    <n v="2407902"/>
    <n v="388230"/>
    <n v="254100"/>
    <n v="223171.24"/>
    <n v="30928.76"/>
  </r>
  <r>
    <n v="13365"/>
    <n v="13366"/>
    <x v="0"/>
    <s v="NY-00130"/>
    <s v="BROOKLYN"/>
    <n v="11223"/>
    <s v="KINGS"/>
    <s v="NY"/>
    <n v="1456657"/>
    <n v="694563"/>
    <n v="762094"/>
    <n v="1959100"/>
    <n v="447000"/>
    <n v="500200"/>
  </r>
  <r>
    <n v="13365"/>
    <n v="13366"/>
    <x v="0"/>
    <s v="NY-00130"/>
    <s v="BROOKLYN"/>
    <n v="11224"/>
    <s v="KINGS"/>
    <s v="NY"/>
    <n v="51577359"/>
    <n v="30331809"/>
    <n v="21245550"/>
    <n v="15007600"/>
    <n v="6497100"/>
    <n v="7773400"/>
  </r>
  <r>
    <n v="13365"/>
    <n v="13366"/>
    <x v="0"/>
    <s v="NY-00130"/>
    <s v="BROOKLYN"/>
    <n v="11225"/>
    <s v="KINGS"/>
    <s v="NY"/>
    <n v="8852"/>
    <n v="5452"/>
    <n v="3400"/>
    <n v="0"/>
    <n v="0"/>
    <n v="0"/>
  </r>
  <r>
    <n v="13365"/>
    <n v="13366"/>
    <x v="0"/>
    <s v="NY-00130"/>
    <s v="BROOKLYN"/>
    <n v="11226"/>
    <s v="KINGS"/>
    <s v="NY"/>
    <n v="119892"/>
    <n v="74795"/>
    <n v="45097"/>
    <n v="0"/>
    <n v="0"/>
    <n v="0"/>
  </r>
  <r>
    <n v="13365"/>
    <n v="13366"/>
    <x v="0"/>
    <s v="NY-00130"/>
    <s v="BROOKLYN"/>
    <n v="11228"/>
    <s v="KINGS"/>
    <s v="NY"/>
    <n v="657736"/>
    <n v="318350"/>
    <n v="339386"/>
    <n v="341200"/>
    <n v="0"/>
    <n v="215900"/>
  </r>
  <r>
    <n v="13365"/>
    <n v="13366"/>
    <x v="0"/>
    <s v="NY-00130"/>
    <s v="BROOKLYN"/>
    <n v="11229"/>
    <s v="KINGS"/>
    <s v="NY"/>
    <n v="2932937"/>
    <n v="2029524"/>
    <n v="903413"/>
    <n v="1904900"/>
    <n v="736400"/>
    <n v="467600"/>
  </r>
  <r>
    <n v="13365"/>
    <n v="13366"/>
    <x v="0"/>
    <s v="NY-00130"/>
    <s v="BROOKLYN"/>
    <n v="11230"/>
    <s v="KINGS"/>
    <s v="NY"/>
    <n v="2046995"/>
    <n v="278171"/>
    <n v="1768824"/>
    <n v="417700"/>
    <n v="0"/>
    <n v="339500"/>
  </r>
  <r>
    <n v="13365"/>
    <n v="13366"/>
    <x v="0"/>
    <s v="NY-00130"/>
    <s v="BROOKLYN"/>
    <n v="11231"/>
    <s v="KINGS"/>
    <s v="NY"/>
    <n v="26080073"/>
    <n v="5100949"/>
    <n v="20979124"/>
    <n v="10808900"/>
    <n v="1013000"/>
    <n v="8551700"/>
  </r>
  <r>
    <n v="13365"/>
    <n v="13366"/>
    <x v="0"/>
    <s v="NY-00130"/>
    <s v="BROOKLYN"/>
    <n v="11232"/>
    <s v="KINGS"/>
    <s v="NY"/>
    <n v="8600311"/>
    <n v="1492488"/>
    <n v="7107823"/>
    <n v="3957000"/>
    <n v="235200"/>
    <n v="3033800"/>
  </r>
  <r>
    <n v="13365"/>
    <n v="13366"/>
    <x v="0"/>
    <s v="NY-00130"/>
    <s v="BROOKLYN"/>
    <n v="11233"/>
    <s v="KINGS"/>
    <s v="NY"/>
    <n v="358366"/>
    <n v="193731"/>
    <n v="164635"/>
    <n v="7800"/>
    <n v="4600"/>
    <n v="3200"/>
  </r>
  <r>
    <n v="13365"/>
    <n v="13366"/>
    <x v="0"/>
    <s v="NY-00130"/>
    <s v="BROOKLYN"/>
    <n v="11234"/>
    <s v="KINGS"/>
    <s v="NY"/>
    <n v="5645164"/>
    <n v="3486998"/>
    <n v="2158166"/>
    <n v="2815600"/>
    <n v="1632300"/>
    <n v="1054500"/>
  </r>
  <r>
    <n v="13365"/>
    <n v="13366"/>
    <x v="0"/>
    <s v="NY-00130"/>
    <s v="BROOKLYN"/>
    <n v="11235"/>
    <s v="KINGS"/>
    <s v="NY"/>
    <n v="72667614"/>
    <n v="43114226"/>
    <n v="29553388"/>
    <n v="21391700"/>
    <n v="11177600"/>
    <n v="7998900"/>
  </r>
  <r>
    <n v="13365"/>
    <n v="13366"/>
    <x v="0"/>
    <s v="NY-00130"/>
    <s v="BROOKLYN"/>
    <n v="11236"/>
    <s v="KINGS"/>
    <s v="NY"/>
    <n v="6175686"/>
    <n v="5123130"/>
    <n v="1052556"/>
    <n v="2379500"/>
    <n v="1585600"/>
    <n v="380800"/>
  </r>
  <r>
    <n v="13365"/>
    <n v="13366"/>
    <x v="0"/>
    <s v="NY-00130"/>
    <s v="BROOKLYN"/>
    <n v="11237"/>
    <s v="KINGS"/>
    <s v="NY"/>
    <n v="605845"/>
    <n v="231998"/>
    <n v="373847"/>
    <n v="0"/>
    <n v="0"/>
    <n v="0"/>
  </r>
  <r>
    <n v="13365"/>
    <n v="13366"/>
    <x v="0"/>
    <s v="NY-00130"/>
    <s v="BROOKLYN"/>
    <n v="11238"/>
    <s v="KINGS"/>
    <s v="NY"/>
    <n v="108493"/>
    <n v="18272"/>
    <n v="90221"/>
    <n v="191000"/>
    <n v="0"/>
    <n v="71300"/>
  </r>
  <r>
    <n v="13365"/>
    <n v="13366"/>
    <x v="0"/>
    <s v="NY-00130"/>
    <s v="BROOKLYN"/>
    <n v="11239"/>
    <s v="KINGS"/>
    <s v="NY"/>
    <n v="0"/>
    <n v="0"/>
    <n v="0"/>
    <n v="16100"/>
    <n v="0"/>
    <n v="0"/>
  </r>
  <r>
    <n v="13365"/>
    <n v="13366"/>
    <x v="0"/>
    <s v="NY-00130"/>
    <s v="BROOKLYN"/>
    <n v="11249"/>
    <s v="KINGS"/>
    <s v="NY"/>
    <n v="17868"/>
    <n v="0"/>
    <n v="17868"/>
    <n v="72700"/>
    <n v="0"/>
    <n v="0"/>
  </r>
  <r>
    <n v="13365"/>
    <n v="13366"/>
    <x v="0"/>
    <s v="NY-00130"/>
    <s v="BROOKLYN"/>
    <n v="11520"/>
    <s v="KINGS"/>
    <s v="NY"/>
    <n v="46931"/>
    <n v="20141"/>
    <n v="26790"/>
    <n v="0"/>
    <n v="0"/>
    <n v="0"/>
  </r>
  <r>
    <n v="13365"/>
    <n v="13366"/>
    <x v="0"/>
    <s v="NY-00130"/>
    <s v="BROOKLYN"/>
    <n v="11235"/>
    <s v="NASSAU"/>
    <s v="NY"/>
    <n v="6465"/>
    <n v="0"/>
    <n v="6465"/>
    <n v="0"/>
    <n v="0"/>
    <n v="0"/>
  </r>
  <r>
    <n v="13365"/>
    <n v="13366"/>
    <x v="0"/>
    <s v="NY-00130"/>
    <s v="BROOKLYN"/>
    <n v="11209"/>
    <s v="NEW YORK"/>
    <s v="NY"/>
    <n v="53145"/>
    <n v="0"/>
    <n v="53145"/>
    <n v="0"/>
    <n v="0"/>
    <n v="0"/>
  </r>
  <r>
    <n v="13365"/>
    <n v="13366"/>
    <x v="0"/>
    <s v="NY-00130"/>
    <s v="BROOKLYN"/>
    <n v="11224"/>
    <s v="NEW YORK"/>
    <s v="NY"/>
    <n v="129339"/>
    <n v="7714"/>
    <n v="121625"/>
    <n v="0"/>
    <n v="0"/>
    <n v="0"/>
  </r>
  <r>
    <n v="13365"/>
    <n v="13366"/>
    <x v="0"/>
    <s v="NY-00130"/>
    <s v="BROOKLYN"/>
    <n v="11229"/>
    <s v="NEW YORK"/>
    <s v="NY"/>
    <n v="39169"/>
    <n v="22699"/>
    <n v="16470"/>
    <n v="0"/>
    <n v="0"/>
    <n v="0"/>
  </r>
  <r>
    <n v="13365"/>
    <n v="13366"/>
    <x v="0"/>
    <s v="NY-00130"/>
    <s v="BROOKLYN"/>
    <n v="11231"/>
    <s v="NEW YORK"/>
    <s v="NY"/>
    <n v="99830"/>
    <n v="0"/>
    <n v="99830"/>
    <n v="0"/>
    <n v="0"/>
    <n v="0"/>
  </r>
  <r>
    <n v="13365"/>
    <n v="13366"/>
    <x v="0"/>
    <s v="NY-00130"/>
    <s v="BROOKLYN"/>
    <n v="11232"/>
    <s v="NEW YORK"/>
    <s v="NY"/>
    <n v="228039"/>
    <n v="50554"/>
    <n v="177485"/>
    <n v="245500"/>
    <n v="24500"/>
    <n v="177500"/>
  </r>
  <r>
    <n v="13365"/>
    <n v="13366"/>
    <x v="0"/>
    <s v="NY-00130"/>
    <s v="BROOKLYN"/>
    <n v="11234"/>
    <s v="NEW YORK"/>
    <s v="NY"/>
    <n v="162200"/>
    <n v="0"/>
    <n v="162200"/>
    <n v="0"/>
    <n v="0"/>
    <n v="0"/>
  </r>
  <r>
    <n v="13365"/>
    <n v="13366"/>
    <x v="0"/>
    <s v="NY-00130"/>
    <s v="BROOKLYN"/>
    <n v="11235"/>
    <s v="NEW YORK"/>
    <s v="NY"/>
    <n v="607353"/>
    <n v="326678"/>
    <n v="280675"/>
    <n v="0"/>
    <n v="0"/>
    <n v="0"/>
  </r>
  <r>
    <n v="13365"/>
    <n v="13366"/>
    <x v="0"/>
    <s v="NY-00130"/>
    <s v="BROOKLYN"/>
    <n v="11236"/>
    <s v="NEW YORK"/>
    <s v="NY"/>
    <n v="39425"/>
    <n v="38425"/>
    <n v="1000"/>
    <n v="41500"/>
    <n v="38500"/>
    <n v="1000"/>
  </r>
  <r>
    <n v="13365"/>
    <n v="13366"/>
    <x v="0"/>
    <s v="NY-00130"/>
    <s v="BROOKLYN"/>
    <n v="11767"/>
    <s v="NEW YORK"/>
    <s v="NY"/>
    <n v="16929"/>
    <n v="16929"/>
    <n v="0"/>
    <n v="6000"/>
    <n v="6000"/>
    <n v="0"/>
  </r>
  <r>
    <n v="13365"/>
    <n v="13366"/>
    <x v="0"/>
    <s v="NY-00130"/>
    <s v="BROOKLYN"/>
    <n v="11224"/>
    <s v="QUEENS"/>
    <s v="NY"/>
    <n v="73000"/>
    <n v="0"/>
    <n v="73000"/>
    <n v="0"/>
    <n v="0"/>
    <n v="0"/>
  </r>
  <r>
    <n v="13365"/>
    <n v="13366"/>
    <x v="0"/>
    <s v="NY-00130"/>
    <s v="BROOKLYN"/>
    <n v="11231"/>
    <s v="QUEENS"/>
    <s v="NY"/>
    <n v="338060"/>
    <n v="288090"/>
    <n v="49970"/>
    <n v="0"/>
    <n v="0"/>
    <n v="0"/>
  </r>
  <r>
    <n v="13365"/>
    <n v="13366"/>
    <x v="0"/>
    <s v="NY-00130"/>
    <s v="BROOKLYN"/>
    <n v="11205"/>
    <s v="RICHMOND"/>
    <s v="NY"/>
    <n v="4855065"/>
    <n v="2934185"/>
    <n v="1920880"/>
    <n v="1920900"/>
    <n v="0"/>
    <n v="1920900"/>
  </r>
  <r>
    <n v="13365"/>
    <n v="13366"/>
    <x v="0"/>
    <s v="NY-00130"/>
    <s v="BROOKLYN"/>
    <n v="11209"/>
    <s v="RICHMOND"/>
    <s v="NY"/>
    <n v="8659"/>
    <n v="0"/>
    <n v="8659"/>
    <n v="0"/>
    <n v="0"/>
    <n v="0"/>
  </r>
  <r>
    <n v="13365"/>
    <n v="13366"/>
    <x v="0"/>
    <s v="NY-00130"/>
    <s v="BROOKLYN"/>
    <n v="11223"/>
    <s v="RICHMOND"/>
    <s v="NY"/>
    <n v="2848"/>
    <n v="0"/>
    <n v="2848"/>
    <n v="0"/>
    <n v="0"/>
    <n v="0"/>
  </r>
  <r>
    <n v="13365"/>
    <n v="13366"/>
    <x v="0"/>
    <s v="NY-00130"/>
    <s v="BROOKLYN"/>
    <n v="11224"/>
    <s v="RICHMOND"/>
    <s v="NY"/>
    <n v="201537"/>
    <n v="192437"/>
    <n v="9100"/>
    <n v="0"/>
    <n v="0"/>
    <n v="0"/>
  </r>
  <r>
    <n v="13365"/>
    <n v="13366"/>
    <x v="0"/>
    <s v="NY-00130"/>
    <s v="BROOKYLN"/>
    <n v="11235"/>
    <s v="KINGS"/>
    <s v="NY"/>
    <n v="39364"/>
    <n v="2871"/>
    <n v="36493"/>
    <n v="0"/>
    <n v="0"/>
    <n v="0"/>
  </r>
  <r>
    <n v="13365"/>
    <n v="13366"/>
    <x v="0"/>
    <s v="NY-00130"/>
    <s v="CAMBRIA HEIGHTS"/>
    <n v="11411"/>
    <s v="QUEENS"/>
    <s v="NY"/>
    <n v="186293"/>
    <n v="186293"/>
    <n v="0"/>
    <n v="0"/>
    <n v="0"/>
    <n v="0"/>
  </r>
  <r>
    <n v="13365"/>
    <n v="13366"/>
    <x v="0"/>
    <s v="NY-00130"/>
    <s v="CARLE PLACE"/>
    <n v="11514"/>
    <s v="NASSAU"/>
    <s v="NY"/>
    <n v="28959"/>
    <n v="0"/>
    <n v="28959"/>
    <n v="29000"/>
    <n v="0"/>
    <n v="29000"/>
  </r>
  <r>
    <n v="13365"/>
    <n v="13366"/>
    <x v="0"/>
    <s v="NY-00130"/>
    <s v="CARLSTADT"/>
    <n v="7072"/>
    <s v="BERGEN"/>
    <s v="NJ"/>
    <n v="0"/>
    <n v="0"/>
    <n v="0"/>
    <n v="226300"/>
    <n v="0"/>
    <n v="0"/>
  </r>
  <r>
    <n v="13365"/>
    <n v="13366"/>
    <x v="0"/>
    <s v="NY-00130"/>
    <s v="CEDARHURST"/>
    <n v="11516"/>
    <s v="NASSAU"/>
    <s v="NY"/>
    <n v="894029"/>
    <n v="580484"/>
    <n v="313545"/>
    <n v="312400"/>
    <n v="111900"/>
    <n v="38400"/>
  </r>
  <r>
    <n v="13365"/>
    <n v="13366"/>
    <x v="0"/>
    <s v="NY-00130"/>
    <s v="CENTER MORICHES"/>
    <n v="11934"/>
    <s v="SUFFOLK"/>
    <s v="NY"/>
    <n v="348777"/>
    <n v="347277"/>
    <n v="1500"/>
    <n v="6000"/>
    <n v="0"/>
    <n v="1500"/>
  </r>
  <r>
    <n v="13365"/>
    <n v="13366"/>
    <x v="0"/>
    <s v="NY-00130"/>
    <s v="CENTEREACH"/>
    <n v="11720"/>
    <s v="SUFFOLK"/>
    <s v="NY"/>
    <n v="21420"/>
    <n v="0"/>
    <n v="21420"/>
    <n v="4200"/>
    <n v="0"/>
    <n v="4200"/>
  </r>
  <r>
    <n v="13365"/>
    <n v="13366"/>
    <x v="0"/>
    <s v="NY-00130"/>
    <s v="CENTERPORT"/>
    <n v="11721"/>
    <s v="SUFFOLK"/>
    <s v="NY"/>
    <n v="564132"/>
    <n v="538482"/>
    <n v="25650"/>
    <n v="0"/>
    <n v="0"/>
    <n v="0"/>
  </r>
  <r>
    <n v="13365"/>
    <n v="13366"/>
    <x v="0"/>
    <s v="NY-00130"/>
    <s v="CENTRAL ISLIP"/>
    <n v="11722"/>
    <s v="SUFFOLK"/>
    <s v="NY"/>
    <n v="45726"/>
    <n v="43591"/>
    <n v="2135"/>
    <n v="223200"/>
    <n v="10800"/>
    <n v="0"/>
  </r>
  <r>
    <n v="13365"/>
    <n v="13366"/>
    <x v="0"/>
    <s v="NY-00130"/>
    <s v="CHAPPAQUA"/>
    <n v="10514"/>
    <s v="WESTCHESTER"/>
    <s v="NY"/>
    <n v="14985"/>
    <n v="14985"/>
    <n v="0"/>
    <n v="2000"/>
    <n v="2000"/>
    <n v="0"/>
  </r>
  <r>
    <n v="13365"/>
    <n v="13366"/>
    <x v="0"/>
    <s v="NY-00130"/>
    <s v="CHERRY GROVE"/>
    <n v="11782"/>
    <s v="SUFFOLK"/>
    <s v="NY"/>
    <n v="178112"/>
    <n v="157577"/>
    <n v="20535"/>
    <n v="20600"/>
    <n v="0"/>
    <n v="20600"/>
  </r>
  <r>
    <n v="13365"/>
    <n v="13366"/>
    <x v="0"/>
    <s v="NY-00130"/>
    <s v="CHESTNUT RIDGE"/>
    <n v="10977"/>
    <s v="ROCKLAND"/>
    <s v="NY"/>
    <n v="47999"/>
    <n v="38487"/>
    <n v="9512"/>
    <n v="0"/>
    <n v="0"/>
    <n v="0"/>
  </r>
  <r>
    <n v="13365"/>
    <n v="13366"/>
    <x v="0"/>
    <s v="NY-00130"/>
    <s v="COLD SPRING"/>
    <n v="10516"/>
    <s v="PUTNAM"/>
    <s v="NY"/>
    <n v="1862"/>
    <n v="1862"/>
    <n v="0"/>
    <n v="0"/>
    <n v="0"/>
    <n v="0"/>
  </r>
  <r>
    <n v="13365"/>
    <n v="13366"/>
    <x v="0"/>
    <s v="NY-00130"/>
    <s v="COLD SPRING HARBOR"/>
    <n v="11724"/>
    <s v="SUFFOLK"/>
    <s v="NY"/>
    <n v="63296"/>
    <n v="63296"/>
    <n v="0"/>
    <n v="0"/>
    <n v="0"/>
    <n v="0"/>
  </r>
  <r>
    <n v="13365"/>
    <n v="13366"/>
    <x v="0"/>
    <s v="NY-00130"/>
    <s v="COLLEGE POINT"/>
    <n v="11356"/>
    <s v="QUEENS"/>
    <s v="NY"/>
    <n v="484781"/>
    <n v="214753"/>
    <n v="270028"/>
    <n v="90400"/>
    <n v="40200"/>
    <n v="26900"/>
  </r>
  <r>
    <n v="13365"/>
    <n v="13366"/>
    <x v="0"/>
    <s v="NY-00130"/>
    <s v="COLLEGE POINT"/>
    <n v="11361"/>
    <s v="QUEENS"/>
    <s v="NY"/>
    <n v="3000"/>
    <n v="3000"/>
    <n v="0"/>
    <n v="0"/>
    <n v="0"/>
    <n v="0"/>
  </r>
  <r>
    <n v="13365"/>
    <n v="13366"/>
    <x v="0"/>
    <s v="NY-00130"/>
    <s v="COMMACK"/>
    <n v="11725"/>
    <s v="SUFFOLK"/>
    <s v="NY"/>
    <n v="360096"/>
    <n v="341260"/>
    <n v="18836"/>
    <n v="230300"/>
    <n v="400"/>
    <n v="2400"/>
  </r>
  <r>
    <n v="13365"/>
    <n v="13366"/>
    <x v="0"/>
    <s v="NY-00130"/>
    <s v="CONGERS"/>
    <n v="10920"/>
    <s v="ROCKLAND"/>
    <s v="NY"/>
    <n v="69450"/>
    <n v="50375"/>
    <n v="19075"/>
    <n v="0"/>
    <n v="0"/>
    <n v="0"/>
  </r>
  <r>
    <n v="13365"/>
    <n v="13366"/>
    <x v="0"/>
    <s v="NY-00130"/>
    <s v="COPIAGUE"/>
    <n v="11702"/>
    <s v="SUFFOLK"/>
    <s v="NY"/>
    <n v="217787"/>
    <n v="145637"/>
    <n v="72150"/>
    <n v="545700"/>
    <n v="145700"/>
    <n v="72100"/>
  </r>
  <r>
    <n v="13365"/>
    <n v="13366"/>
    <x v="0"/>
    <s v="NY-00130"/>
    <s v="COPIAGUE"/>
    <n v="11726"/>
    <s v="SUFFOLK"/>
    <s v="NY"/>
    <n v="1412884"/>
    <n v="622874"/>
    <n v="790010"/>
    <n v="846000"/>
    <n v="172400"/>
    <n v="479800"/>
  </r>
  <r>
    <n v="13365"/>
    <n v="13366"/>
    <x v="0"/>
    <s v="NY-00130"/>
    <s v="CORAM"/>
    <n v="11727"/>
    <s v="SUFFOLK"/>
    <s v="NY"/>
    <n v="32866"/>
    <n v="32866"/>
    <n v="0"/>
    <n v="32200"/>
    <n v="32200"/>
    <n v="0"/>
  </r>
  <r>
    <n v="13365"/>
    <n v="13366"/>
    <x v="0"/>
    <s v="NY-00130"/>
    <s v="CORNEILLE ESTATES"/>
    <n v="11782"/>
    <s v="SUFFOLK"/>
    <s v="NY"/>
    <n v="109116"/>
    <n v="100216"/>
    <n v="8900"/>
    <n v="0"/>
    <n v="0"/>
    <n v="0"/>
  </r>
  <r>
    <n v="13365"/>
    <n v="13366"/>
    <x v="0"/>
    <s v="NY-00130"/>
    <s v="CORONA"/>
    <n v="11368"/>
    <s v="QUEENS"/>
    <s v="NY"/>
    <n v="138040"/>
    <n v="138040"/>
    <n v="0"/>
    <n v="0"/>
    <n v="0"/>
    <n v="0"/>
  </r>
  <r>
    <n v="13365"/>
    <n v="13366"/>
    <x v="0"/>
    <s v="NY-00130"/>
    <s v="CUTCHOGUE"/>
    <n v="11215"/>
    <s v="SUFFOLK"/>
    <s v="NY"/>
    <n v="76442"/>
    <n v="74942"/>
    <n v="1500"/>
    <n v="0"/>
    <n v="0"/>
    <n v="0"/>
  </r>
  <r>
    <n v="13365"/>
    <n v="13366"/>
    <x v="0"/>
    <s v="NY-00130"/>
    <s v="CUTCHOGUE"/>
    <n v="11935"/>
    <s v="SUFFOLK"/>
    <s v="NY"/>
    <n v="0"/>
    <n v="0"/>
    <n v="0"/>
    <n v="29600"/>
    <n v="0"/>
    <n v="0"/>
  </r>
  <r>
    <n v="13365"/>
    <n v="13366"/>
    <x v="0"/>
    <s v="NY-00130"/>
    <s v="DAVIS PARK"/>
    <n v="11772"/>
    <s v="SUFFOLK"/>
    <s v="NY"/>
    <n v="370105"/>
    <n v="343875"/>
    <n v="26230"/>
    <n v="104900"/>
    <n v="73100"/>
    <n v="25500"/>
  </r>
  <r>
    <n v="13365"/>
    <n v="13366"/>
    <x v="0"/>
    <s v="NY-00130"/>
    <s v="DEER PARK"/>
    <n v="11729"/>
    <s v="SUFFOLK"/>
    <s v="NY"/>
    <n v="191524"/>
    <n v="144642"/>
    <n v="46882"/>
    <n v="132500"/>
    <n v="0"/>
    <n v="16300"/>
  </r>
  <r>
    <n v="13365"/>
    <n v="13366"/>
    <x v="0"/>
    <s v="NY-00130"/>
    <s v="DIX HILLS"/>
    <n v="11746"/>
    <s v="SUFFOLK"/>
    <s v="NY"/>
    <n v="83350"/>
    <n v="0"/>
    <n v="83350"/>
    <n v="103400"/>
    <n v="0"/>
    <n v="83400"/>
  </r>
  <r>
    <n v="13365"/>
    <n v="13366"/>
    <x v="0"/>
    <s v="NY-00130"/>
    <s v="E SETAUKET"/>
    <n v="11733"/>
    <s v="SUFFOLK"/>
    <s v="NY"/>
    <n v="50954"/>
    <n v="50404"/>
    <n v="550"/>
    <n v="51000"/>
    <n v="50500"/>
    <n v="500"/>
  </r>
  <r>
    <n v="13365"/>
    <n v="13366"/>
    <x v="0"/>
    <s v="NY-00130"/>
    <s v="E. ATLANTIC BEACH"/>
    <n v="11561"/>
    <s v="NASSAU"/>
    <s v="NY"/>
    <n v="52254"/>
    <n v="51304"/>
    <n v="950"/>
    <n v="0"/>
    <n v="0"/>
    <n v="0"/>
  </r>
  <r>
    <n v="13365"/>
    <n v="13366"/>
    <x v="0"/>
    <s v="NY-00130"/>
    <s v="EAST ATLANTIC BEACH"/>
    <n v="11510"/>
    <s v="NASSAU"/>
    <s v="NY"/>
    <n v="60662"/>
    <n v="50362"/>
    <n v="10300"/>
    <n v="42600"/>
    <n v="32500"/>
    <n v="5300"/>
  </r>
  <r>
    <n v="13365"/>
    <n v="13366"/>
    <x v="0"/>
    <s v="NY-00130"/>
    <s v="EAST ATLANTIC BEACH"/>
    <n v="11561"/>
    <s v="NASSAU"/>
    <s v="NY"/>
    <n v="730880"/>
    <n v="620730"/>
    <n v="110150"/>
    <n v="271200"/>
    <n v="208100"/>
    <n v="50300"/>
  </r>
  <r>
    <n v="13365"/>
    <n v="13366"/>
    <x v="0"/>
    <s v="NY-00130"/>
    <s v="EAST ELMHURST"/>
    <n v="11369"/>
    <s v="QUEENS"/>
    <s v="NY"/>
    <n v="13195"/>
    <n v="13195"/>
    <n v="0"/>
    <n v="0"/>
    <n v="0"/>
    <n v="0"/>
  </r>
  <r>
    <n v="13365"/>
    <n v="13366"/>
    <x v="0"/>
    <s v="NY-00130"/>
    <s v="EAST ELMHURST"/>
    <n v="11370"/>
    <s v="QUEENS"/>
    <s v="NY"/>
    <n v="19660"/>
    <n v="0"/>
    <n v="19660"/>
    <n v="293600"/>
    <n v="0"/>
    <n v="2700"/>
  </r>
  <r>
    <n v="13365"/>
    <n v="13366"/>
    <x v="0"/>
    <s v="NY-00130"/>
    <s v="EAST HAMPTON"/>
    <n v="11937"/>
    <s v="SUFFOLK"/>
    <s v="NY"/>
    <n v="46772"/>
    <n v="40767"/>
    <n v="6005"/>
    <n v="30100"/>
    <n v="24100"/>
    <n v="6000"/>
  </r>
  <r>
    <n v="13365"/>
    <n v="13366"/>
    <x v="0"/>
    <s v="NY-00130"/>
    <s v="EAST ISLIP"/>
    <n v="11730"/>
    <s v="SUFFOLK"/>
    <s v="NY"/>
    <n v="0"/>
    <n v="0"/>
    <n v="0"/>
    <n v="41200"/>
    <n v="0"/>
    <n v="0"/>
  </r>
  <r>
    <n v="13365"/>
    <n v="13366"/>
    <x v="0"/>
    <s v="NY-00130"/>
    <s v="EAST MARION"/>
    <n v="11939"/>
    <s v="SUFFOLK"/>
    <s v="NY"/>
    <n v="155459"/>
    <n v="136234"/>
    <n v="19225"/>
    <n v="155500"/>
    <n v="136300"/>
    <n v="19200"/>
  </r>
  <r>
    <n v="13365"/>
    <n v="13366"/>
    <x v="0"/>
    <s v="NY-00130"/>
    <s v="EAST MEADOW"/>
    <n v="11554"/>
    <s v="NASSAU"/>
    <s v="NY"/>
    <n v="11440"/>
    <n v="725"/>
    <n v="10715"/>
    <n v="5200"/>
    <n v="0"/>
    <n v="5200"/>
  </r>
  <r>
    <n v="13365"/>
    <n v="13366"/>
    <x v="0"/>
    <s v="NY-00130"/>
    <s v="EAST MORICHES"/>
    <n v="11940"/>
    <s v="SUFFOLK"/>
    <s v="NY"/>
    <n v="646920"/>
    <n v="150128"/>
    <n v="496792"/>
    <n v="225500"/>
    <n v="58400"/>
    <n v="167100"/>
  </r>
  <r>
    <n v="13365"/>
    <n v="13366"/>
    <x v="0"/>
    <s v="NY-00130"/>
    <s v="EAST NORTHPORT"/>
    <n v="11731"/>
    <s v="SUFFOLK"/>
    <s v="NY"/>
    <n v="9442"/>
    <n v="0"/>
    <n v="9442"/>
    <n v="138800"/>
    <n v="0"/>
    <n v="0"/>
  </r>
  <r>
    <n v="13365"/>
    <n v="13366"/>
    <x v="0"/>
    <s v="NY-00130"/>
    <s v="EAST PATCHOGUE"/>
    <n v="11772"/>
    <s v="SUFFOLK"/>
    <s v="NY"/>
    <n v="436387"/>
    <n v="124013"/>
    <n v="312374"/>
    <n v="61600"/>
    <n v="0"/>
    <n v="36500"/>
  </r>
  <r>
    <n v="13365"/>
    <n v="13366"/>
    <x v="0"/>
    <s v="NY-00130"/>
    <s v="EAST QUOGUE"/>
    <n v="11942"/>
    <s v="SUFFOLK"/>
    <s v="NY"/>
    <n v="9473"/>
    <n v="0"/>
    <n v="9473"/>
    <n v="10000"/>
    <n v="0"/>
    <n v="0"/>
  </r>
  <r>
    <n v="13365"/>
    <n v="13366"/>
    <x v="0"/>
    <s v="NY-00130"/>
    <s v="EAST QUOUGE"/>
    <n v="11942"/>
    <s v="SUFFOLK"/>
    <s v="NY"/>
    <n v="8577"/>
    <n v="8077"/>
    <n v="500"/>
    <n v="34300"/>
    <n v="8100"/>
    <n v="500"/>
  </r>
  <r>
    <n v="13365"/>
    <n v="13366"/>
    <x v="0"/>
    <s v="NY-00130"/>
    <s v="EAST ROCKAWAY"/>
    <n v="11518"/>
    <s v="NASSAU"/>
    <s v="NY"/>
    <n v="8291352"/>
    <n v="6349522"/>
    <n v="1941830"/>
    <n v="1640000"/>
    <n v="1169700"/>
    <n v="261900"/>
  </r>
  <r>
    <n v="13365"/>
    <n v="13366"/>
    <x v="0"/>
    <s v="NY-00130"/>
    <s v="EASTPORT"/>
    <n v="11941"/>
    <s v="SUFFOLK"/>
    <s v="NY"/>
    <n v="2935"/>
    <n v="2935"/>
    <n v="0"/>
    <n v="1600"/>
    <n v="0"/>
    <n v="0"/>
  </r>
  <r>
    <n v="13365"/>
    <n v="13366"/>
    <x v="0"/>
    <s v="NY-00130"/>
    <s v="EDGEMERE"/>
    <n v="11691"/>
    <s v="QUEENS"/>
    <s v="NY"/>
    <n v="3316985"/>
    <n v="2732862"/>
    <n v="584123"/>
    <n v="2000000"/>
    <n v="2000000"/>
    <n v="0"/>
  </r>
  <r>
    <n v="13365"/>
    <n v="13366"/>
    <x v="0"/>
    <s v="NY-00130"/>
    <s v="ELMHURST"/>
    <n v="11373"/>
    <s v="QUEENS"/>
    <s v="NY"/>
    <n v="17308"/>
    <n v="9788"/>
    <n v="7520"/>
    <n v="0"/>
    <n v="0"/>
    <n v="0"/>
  </r>
  <r>
    <n v="13365"/>
    <n v="13366"/>
    <x v="0"/>
    <s v="NY-00130"/>
    <s v="ELMONT"/>
    <n v="11003"/>
    <s v="NASSAU"/>
    <s v="NY"/>
    <n v="107416"/>
    <n v="0"/>
    <n v="107416"/>
    <n v="220900"/>
    <n v="0"/>
    <n v="97900"/>
  </r>
  <r>
    <n v="13365"/>
    <n v="13366"/>
    <x v="0"/>
    <s v="NY-00130"/>
    <s v="ELMSFORD"/>
    <n v="10523"/>
    <s v="WESTCHESTER"/>
    <s v="NY"/>
    <n v="0"/>
    <n v="0"/>
    <n v="0"/>
    <n v="16400"/>
    <n v="0"/>
    <n v="0"/>
  </r>
  <r>
    <n v="13365"/>
    <n v="13366"/>
    <x v="0"/>
    <s v="NY-00130"/>
    <s v="ENGLEWOOD"/>
    <n v="7631"/>
    <s v="BERGEN"/>
    <s v="NJ"/>
    <n v="0"/>
    <n v="0"/>
    <n v="0"/>
    <n v="20000"/>
    <n v="0"/>
    <n v="0"/>
  </r>
  <r>
    <n v="13365"/>
    <n v="13366"/>
    <x v="0"/>
    <s v="NY-00130"/>
    <s v="FAR AROCKAWAY"/>
    <n v="11692"/>
    <s v="QUEENS"/>
    <s v="NY"/>
    <n v="80417"/>
    <n v="78367"/>
    <n v="2050"/>
    <n v="0"/>
    <n v="0"/>
    <n v="0"/>
  </r>
  <r>
    <n v="13365"/>
    <n v="13366"/>
    <x v="0"/>
    <s v="NY-00130"/>
    <s v="FAR ROCAKWAY"/>
    <n v="11691"/>
    <s v="QUEENS"/>
    <s v="NY"/>
    <n v="61552"/>
    <n v="59777"/>
    <n v="1775"/>
    <n v="62000"/>
    <n v="57800"/>
    <n v="1800"/>
  </r>
  <r>
    <n v="13365"/>
    <n v="13366"/>
    <x v="0"/>
    <s v="NY-00130"/>
    <s v="FAR ROCKAWAY"/>
    <n v="11691"/>
    <s v="NEW YORK"/>
    <s v="NY"/>
    <n v="15050"/>
    <n v="7250"/>
    <n v="7800"/>
    <n v="0"/>
    <n v="0"/>
    <n v="0"/>
  </r>
  <r>
    <n v="13365"/>
    <n v="13366"/>
    <x v="0"/>
    <s v="NY-00130"/>
    <s v="FAR ROCKAWAY"/>
    <n v="11691"/>
    <s v="QUEENS"/>
    <s v="NY"/>
    <n v="14911555"/>
    <n v="11125538"/>
    <n v="3786017"/>
    <n v="3766200"/>
    <n v="2149100"/>
    <n v="1256400"/>
  </r>
  <r>
    <n v="13365"/>
    <n v="13366"/>
    <x v="0"/>
    <s v="NY-00130"/>
    <s v="FAR ROCKAWAY"/>
    <n v="11692"/>
    <s v="QUEENS"/>
    <s v="NY"/>
    <n v="1625773"/>
    <n v="1032813"/>
    <n v="592960"/>
    <n v="448100"/>
    <n v="80900"/>
    <n v="324700"/>
  </r>
  <r>
    <n v="13365"/>
    <n v="13366"/>
    <x v="0"/>
    <s v="NY-00130"/>
    <s v="FAR ROCKAWAY"/>
    <n v="11693"/>
    <s v="QUEENS"/>
    <s v="NY"/>
    <n v="2567013"/>
    <n v="1949151"/>
    <n v="617862"/>
    <n v="0"/>
    <n v="0"/>
    <n v="0"/>
  </r>
  <r>
    <n v="13365"/>
    <n v="13366"/>
    <x v="0"/>
    <s v="NY-00130"/>
    <s v="FAR ROCKAWAY"/>
    <n v="11694"/>
    <s v="QUEENS"/>
    <s v="NY"/>
    <n v="462350"/>
    <n v="287584"/>
    <n v="174766"/>
    <n v="77900"/>
    <n v="39600"/>
    <n v="33300"/>
  </r>
  <r>
    <n v="13365"/>
    <n v="13366"/>
    <x v="0"/>
    <s v="NY-00130"/>
    <s v="FAR ROCKCAWAY"/>
    <n v="11691"/>
    <s v="QUEENS"/>
    <s v="NY"/>
    <n v="5746"/>
    <n v="2146"/>
    <n v="3600"/>
    <n v="0"/>
    <n v="0"/>
    <n v="0"/>
  </r>
  <r>
    <n v="13365"/>
    <n v="13366"/>
    <x v="0"/>
    <s v="NY-00130"/>
    <s v="FAR ROCKWAY"/>
    <n v="11692"/>
    <s v="QUEENS"/>
    <s v="NY"/>
    <n v="72259"/>
    <n v="70109"/>
    <n v="2150"/>
    <n v="0"/>
    <n v="0"/>
    <n v="0"/>
  </r>
  <r>
    <n v="13365"/>
    <n v="13366"/>
    <x v="0"/>
    <s v="NY-00130"/>
    <s v="FARMINGDALE"/>
    <n v="11725"/>
    <s v="NASSAU"/>
    <s v="NY"/>
    <n v="30466"/>
    <n v="27066"/>
    <n v="3400"/>
    <n v="30500"/>
    <n v="27100"/>
    <n v="3400"/>
  </r>
  <r>
    <n v="13365"/>
    <n v="13366"/>
    <x v="0"/>
    <s v="NY-00130"/>
    <s v="FARMINGDALE"/>
    <n v="11735"/>
    <s v="NASSAU"/>
    <s v="NY"/>
    <n v="529347"/>
    <n v="132052"/>
    <n v="397295"/>
    <n v="396600"/>
    <n v="0"/>
    <n v="285700"/>
  </r>
  <r>
    <n v="13365"/>
    <n v="13366"/>
    <x v="0"/>
    <s v="NY-00130"/>
    <s v="FARMINGDALE"/>
    <n v="11735"/>
    <s v="SUFFOLK"/>
    <s v="NY"/>
    <n v="42625"/>
    <n v="39875"/>
    <n v="2750"/>
    <n v="26900"/>
    <n v="26100"/>
    <n v="800"/>
  </r>
  <r>
    <n v="13365"/>
    <n v="13366"/>
    <x v="0"/>
    <s v="NY-00130"/>
    <s v="FARMINGVILLE"/>
    <n v="11738"/>
    <s v="SUFFOLK"/>
    <s v="NY"/>
    <n v="11125"/>
    <n v="0"/>
    <n v="11125"/>
    <n v="18500"/>
    <n v="0"/>
    <n v="0"/>
  </r>
  <r>
    <n v="13365"/>
    <n v="13366"/>
    <x v="0"/>
    <s v="NY-00130"/>
    <s v="FIRE ISLAND PINES"/>
    <n v="11782"/>
    <s v="SUFFOLK"/>
    <s v="NY"/>
    <n v="286003"/>
    <n v="282243"/>
    <n v="3760"/>
    <n v="22400"/>
    <n v="20900"/>
    <n v="1500"/>
  </r>
  <r>
    <n v="13365"/>
    <n v="13366"/>
    <x v="0"/>
    <s v="NY-00130"/>
    <s v="FISHERS ISLAND"/>
    <n v="6390"/>
    <s v="SUFFOLK"/>
    <s v="NY"/>
    <n v="29100"/>
    <n v="0"/>
    <n v="29100"/>
    <n v="75200"/>
    <n v="0"/>
    <n v="29100"/>
  </r>
  <r>
    <n v="13365"/>
    <n v="13366"/>
    <x v="0"/>
    <s v="NY-00130"/>
    <s v="FLANDERS"/>
    <n v="11901"/>
    <s v="SUFFOLK"/>
    <s v="NY"/>
    <n v="17495"/>
    <n v="15875"/>
    <n v="1620"/>
    <n v="0"/>
    <n v="0"/>
    <n v="0"/>
  </r>
  <r>
    <n v="13365"/>
    <n v="13366"/>
    <x v="0"/>
    <s v="NY-00130"/>
    <s v="FLORAL PARK"/>
    <n v="11001"/>
    <s v="NASSAU"/>
    <s v="NY"/>
    <n v="158670"/>
    <n v="28841"/>
    <n v="129829"/>
    <n v="637100"/>
    <n v="28900"/>
    <n v="14000"/>
  </r>
  <r>
    <n v="13365"/>
    <n v="13366"/>
    <x v="0"/>
    <s v="NY-00130"/>
    <s v="FLORAL PARK"/>
    <n v="11004"/>
    <s v="QUEENS"/>
    <s v="NY"/>
    <n v="13542"/>
    <n v="6540"/>
    <n v="7002"/>
    <n v="0"/>
    <n v="0"/>
    <n v="0"/>
  </r>
  <r>
    <n v="13365"/>
    <n v="13366"/>
    <x v="0"/>
    <s v="NY-00130"/>
    <s v="FLUSHING"/>
    <n v="11354"/>
    <s v="QUEENS"/>
    <s v="NY"/>
    <n v="621524"/>
    <n v="96993"/>
    <n v="524531"/>
    <n v="6700"/>
    <n v="0"/>
    <n v="1700"/>
  </r>
  <r>
    <n v="13365"/>
    <n v="13366"/>
    <x v="0"/>
    <s v="NY-00130"/>
    <s v="FLUSHING"/>
    <n v="11355"/>
    <s v="QUEENS"/>
    <s v="NY"/>
    <n v="420942"/>
    <n v="285009"/>
    <n v="135933"/>
    <n v="3800"/>
    <n v="200"/>
    <n v="3600"/>
  </r>
  <r>
    <n v="13365"/>
    <n v="13366"/>
    <x v="0"/>
    <s v="NY-00130"/>
    <s v="FLUSHING"/>
    <n v="11358"/>
    <s v="QUEENS"/>
    <s v="NY"/>
    <n v="38811"/>
    <n v="8011"/>
    <n v="30800"/>
    <n v="14000"/>
    <n v="0"/>
    <n v="14000"/>
  </r>
  <r>
    <n v="13365"/>
    <n v="13366"/>
    <x v="0"/>
    <s v="NY-00130"/>
    <s v="FLUSHING"/>
    <n v="11366"/>
    <s v="QUEENS"/>
    <s v="NY"/>
    <n v="8535"/>
    <n v="0"/>
    <n v="8535"/>
    <n v="0"/>
    <n v="0"/>
    <n v="0"/>
  </r>
  <r>
    <n v="13365"/>
    <n v="13366"/>
    <x v="0"/>
    <s v="NY-00130"/>
    <s v="FOREST HILLS"/>
    <n v="11375"/>
    <s v="QUEENS"/>
    <s v="NY"/>
    <n v="57045"/>
    <n v="44045"/>
    <n v="13000"/>
    <n v="68200"/>
    <n v="3500"/>
    <n v="7000"/>
  </r>
  <r>
    <n v="13365"/>
    <n v="13366"/>
    <x v="0"/>
    <s v="NY-00130"/>
    <s v="FORT LEE"/>
    <n v="7024"/>
    <s v="BERGEN"/>
    <s v="NJ"/>
    <n v="0"/>
    <n v="0"/>
    <n v="0"/>
    <n v="98900"/>
    <n v="0"/>
    <n v="0"/>
  </r>
  <r>
    <n v="13365"/>
    <n v="13366"/>
    <x v="0"/>
    <s v="NY-00130"/>
    <s v="FORT SALONGA"/>
    <n v="11768"/>
    <s v="SUFFOLK"/>
    <s v="NY"/>
    <n v="0"/>
    <n v="0"/>
    <n v="0"/>
    <n v="12600"/>
    <n v="0"/>
    <n v="0"/>
  </r>
  <r>
    <n v="13365"/>
    <n v="13366"/>
    <x v="0"/>
    <s v="NY-00130"/>
    <s v="FORT TILDEN"/>
    <n v="11695"/>
    <s v="QUEENS"/>
    <s v="NY"/>
    <n v="522525"/>
    <n v="499875"/>
    <n v="22650"/>
    <n v="522600"/>
    <n v="499900"/>
    <n v="22700"/>
  </r>
  <r>
    <n v="13365"/>
    <n v="13366"/>
    <x v="0"/>
    <s v="NY-00130"/>
    <s v="FORT TOTTEN"/>
    <n v="15913"/>
    <s v="QUEENS"/>
    <s v="NY"/>
    <n v="28940"/>
    <n v="28940"/>
    <n v="0"/>
    <n v="0"/>
    <n v="0"/>
    <n v="0"/>
  </r>
  <r>
    <n v="13365"/>
    <n v="13366"/>
    <x v="0"/>
    <s v="NY-00130"/>
    <s v="FRANKLIN SQ"/>
    <n v="11010"/>
    <s v="NASSAU"/>
    <s v="NY"/>
    <n v="60217"/>
    <n v="3712"/>
    <n v="56505"/>
    <n v="0"/>
    <n v="0"/>
    <n v="0"/>
  </r>
  <r>
    <n v="13365"/>
    <n v="13366"/>
    <x v="0"/>
    <s v="NY-00130"/>
    <s v="FRANKLIN SQUARE"/>
    <n v="11010"/>
    <s v="NASSAU"/>
    <s v="NY"/>
    <n v="18300"/>
    <n v="0"/>
    <n v="18300"/>
    <n v="51200"/>
    <n v="0"/>
    <n v="0"/>
  </r>
  <r>
    <n v="13365"/>
    <n v="13366"/>
    <x v="0"/>
    <s v="NY-00130"/>
    <s v="FREEPORT"/>
    <n v="11152"/>
    <s v="NASSAU"/>
    <s v="NY"/>
    <n v="60227"/>
    <n v="10331"/>
    <n v="49896"/>
    <n v="0"/>
    <n v="0"/>
    <n v="0"/>
  </r>
  <r>
    <n v="13365"/>
    <n v="13366"/>
    <x v="0"/>
    <s v="NY-00130"/>
    <s v="FREEPORT"/>
    <n v="11520"/>
    <s v="NASSAU"/>
    <s v="NY"/>
    <n v="25984847"/>
    <n v="13412051"/>
    <n v="12572796"/>
    <n v="5786800"/>
    <n v="1389100"/>
    <n v="3534000"/>
  </r>
  <r>
    <n v="13365"/>
    <n v="13366"/>
    <x v="0"/>
    <s v="NY-00130"/>
    <s v="FREEPORT"/>
    <n v="11530"/>
    <s v="NASSAU"/>
    <s v="NY"/>
    <n v="92038"/>
    <n v="17418"/>
    <n v="74620"/>
    <n v="0"/>
    <n v="0"/>
    <n v="0"/>
  </r>
  <r>
    <n v="13365"/>
    <n v="13366"/>
    <x v="0"/>
    <s v="NY-00130"/>
    <s v="FREEPORT"/>
    <n v="11783"/>
    <s v="NASSAU"/>
    <s v="NY"/>
    <n v="106610"/>
    <n v="17897"/>
    <n v="88713"/>
    <n v="108200"/>
    <n v="0"/>
    <n v="51300"/>
  </r>
  <r>
    <n v="13365"/>
    <n v="13366"/>
    <x v="0"/>
    <s v="NY-00130"/>
    <s v="FREEPORT"/>
    <n v="11520"/>
    <s v="SUFFOLK"/>
    <s v="NY"/>
    <n v="45550"/>
    <n v="13050"/>
    <n v="32500"/>
    <n v="0"/>
    <n v="0"/>
    <n v="0"/>
  </r>
  <r>
    <n v="13365"/>
    <n v="13366"/>
    <x v="0"/>
    <s v="NY-00130"/>
    <s v="FRESH MEADOWS"/>
    <n v="11365"/>
    <s v="QUEENS"/>
    <s v="NY"/>
    <n v="0"/>
    <n v="0"/>
    <n v="0"/>
    <n v="24200"/>
    <n v="0"/>
    <n v="0"/>
  </r>
  <r>
    <n v="13365"/>
    <n v="13366"/>
    <x v="0"/>
    <s v="NY-00130"/>
    <s v="GARDEN CITY"/>
    <n v="11530"/>
    <s v="NASSAU"/>
    <s v="NY"/>
    <n v="156529"/>
    <n v="137329"/>
    <n v="19200"/>
    <n v="42300"/>
    <n v="0"/>
    <n v="0"/>
  </r>
  <r>
    <n v="13365"/>
    <n v="13366"/>
    <x v="0"/>
    <s v="NY-00130"/>
    <s v="GARDEN CITY SOUTH"/>
    <n v="11530"/>
    <s v="NASSAU"/>
    <s v="NY"/>
    <n v="0"/>
    <n v="0"/>
    <n v="0"/>
    <n v="5000"/>
    <n v="0"/>
    <n v="0"/>
  </r>
  <r>
    <n v="13365"/>
    <n v="13366"/>
    <x v="0"/>
    <s v="NY-00130"/>
    <s v="GEORGETOWN"/>
    <n v="6829"/>
    <s v="FAIRFIELD"/>
    <s v="CT"/>
    <n v="0"/>
    <n v="0"/>
    <n v="0"/>
    <n v="32000"/>
    <n v="0"/>
    <n v="0"/>
  </r>
  <r>
    <n v="13365"/>
    <n v="13366"/>
    <x v="0"/>
    <s v="NY-00130"/>
    <s v="GLAN COVE"/>
    <n v="11542"/>
    <s v="NASSAU"/>
    <s v="NY"/>
    <n v="2784"/>
    <n v="2784"/>
    <n v="0"/>
    <n v="0"/>
    <n v="0"/>
    <n v="0"/>
  </r>
  <r>
    <n v="13365"/>
    <n v="13366"/>
    <x v="0"/>
    <s v="NY-00130"/>
    <s v="GLEN COVE"/>
    <n v="11542"/>
    <s v="NASSAU"/>
    <s v="NY"/>
    <n v="136708"/>
    <n v="30453"/>
    <n v="106255"/>
    <n v="37500"/>
    <n v="0"/>
    <n v="0"/>
  </r>
  <r>
    <n v="13365"/>
    <n v="13366"/>
    <x v="0"/>
    <s v="NY-00130"/>
    <s v="GLEN HEAD"/>
    <n v="11545"/>
    <s v="NASSAU"/>
    <s v="NY"/>
    <n v="0"/>
    <n v="0"/>
    <n v="0"/>
    <n v="168300"/>
    <n v="0"/>
    <n v="0"/>
  </r>
  <r>
    <n v="13365"/>
    <n v="13366"/>
    <x v="0"/>
    <s v="NY-00130"/>
    <s v="GRAND VIEW-ON-HUDSON"/>
    <n v="10960"/>
    <s v="ROCKLAND"/>
    <s v="NY"/>
    <n v="195138"/>
    <n v="195138"/>
    <n v="0"/>
    <n v="0"/>
    <n v="0"/>
    <n v="0"/>
  </r>
  <r>
    <n v="13365"/>
    <n v="13366"/>
    <x v="0"/>
    <s v="NY-00130"/>
    <s v="GRANDVIEW"/>
    <n v="10960"/>
    <s v="ROCKLAND"/>
    <s v="NY"/>
    <n v="69545"/>
    <n v="0"/>
    <n v="69545"/>
    <n v="69600"/>
    <n v="0"/>
    <n v="69600"/>
  </r>
  <r>
    <n v="13365"/>
    <n v="13366"/>
    <x v="0"/>
    <s v="NY-00130"/>
    <s v="GREAT NECK"/>
    <n v="11021"/>
    <s v="NASSAU"/>
    <s v="NY"/>
    <n v="11556"/>
    <n v="232"/>
    <n v="11324"/>
    <n v="281400"/>
    <n v="0"/>
    <n v="0"/>
  </r>
  <r>
    <n v="13365"/>
    <n v="13366"/>
    <x v="0"/>
    <s v="NY-00130"/>
    <s v="GREENPORT"/>
    <n v="11944"/>
    <s v="SUFFOLK"/>
    <s v="NY"/>
    <n v="2688073"/>
    <n v="2470894"/>
    <n v="217179"/>
    <n v="1837200"/>
    <n v="1749200"/>
    <n v="88000"/>
  </r>
  <r>
    <n v="13365"/>
    <n v="13366"/>
    <x v="0"/>
    <s v="NY-00130"/>
    <s v="GREENVALE"/>
    <n v="11548"/>
    <s v="NASSAU"/>
    <s v="NY"/>
    <n v="27007"/>
    <n v="0"/>
    <n v="27007"/>
    <n v="0"/>
    <n v="0"/>
    <n v="0"/>
  </r>
  <r>
    <n v="13365"/>
    <n v="13366"/>
    <x v="0"/>
    <s v="NY-00130"/>
    <s v="HACKENSACK"/>
    <n v="7601"/>
    <s v="BERGEN"/>
    <s v="NJ"/>
    <n v="0"/>
    <n v="0"/>
    <n v="0"/>
    <n v="20000"/>
    <n v="0"/>
    <n v="0"/>
  </r>
  <r>
    <n v="13365"/>
    <n v="13366"/>
    <x v="0"/>
    <s v="NY-00130"/>
    <s v="HAMPTON BAYS"/>
    <n v="11946"/>
    <s v="SUFFOLK"/>
    <s v="NY"/>
    <n v="1451084"/>
    <n v="1074101"/>
    <n v="376983"/>
    <n v="326400"/>
    <n v="167100"/>
    <n v="30800"/>
  </r>
  <r>
    <n v="13365"/>
    <n v="13366"/>
    <x v="0"/>
    <s v="NY-00130"/>
    <s v="HARRISON"/>
    <n v="10528"/>
    <s v="WESTCHESTER"/>
    <s v="NY"/>
    <n v="5932"/>
    <n v="4832"/>
    <n v="1100"/>
    <n v="0"/>
    <n v="0"/>
    <n v="0"/>
  </r>
  <r>
    <n v="13365"/>
    <n v="13366"/>
    <x v="0"/>
    <s v="NY-00130"/>
    <s v="HASTINGS ON HUDSON"/>
    <n v="10706"/>
    <s v="WESTCHESTER"/>
    <s v="NY"/>
    <n v="3000"/>
    <n v="0"/>
    <n v="3000"/>
    <n v="0"/>
    <n v="0"/>
    <n v="0"/>
  </r>
  <r>
    <n v="13365"/>
    <n v="13366"/>
    <x v="0"/>
    <s v="NY-00130"/>
    <s v="HAUPPAUGE"/>
    <n v="11788"/>
    <s v="SUFFOLK"/>
    <s v="NY"/>
    <n v="2142102"/>
    <n v="26115"/>
    <n v="2115987"/>
    <n v="238700"/>
    <n v="3500"/>
    <n v="131500"/>
  </r>
  <r>
    <n v="13365"/>
    <n v="13366"/>
    <x v="0"/>
    <s v="NY-00130"/>
    <s v="HAVERSTRAW"/>
    <n v="10927"/>
    <s v="ROCKLAND"/>
    <s v="NY"/>
    <n v="3000"/>
    <n v="0"/>
    <n v="3000"/>
    <n v="0"/>
    <n v="0"/>
    <n v="0"/>
  </r>
  <r>
    <n v="13365"/>
    <n v="13366"/>
    <x v="0"/>
    <s v="NY-00130"/>
    <s v="HEMPSTEAD"/>
    <n v="11550"/>
    <s v="NASSAU"/>
    <s v="NY"/>
    <n v="508544"/>
    <n v="315067"/>
    <n v="193477"/>
    <n v="226700"/>
    <n v="172500"/>
    <n v="1800"/>
  </r>
  <r>
    <n v="13365"/>
    <n v="13366"/>
    <x v="0"/>
    <s v="NY-00130"/>
    <s v="HEWLETT"/>
    <n v="11557"/>
    <s v="NASSAU"/>
    <s v="NY"/>
    <n v="384799"/>
    <n v="157558"/>
    <n v="227241"/>
    <n v="64200"/>
    <n v="0"/>
    <n v="59700"/>
  </r>
  <r>
    <n v="13365"/>
    <n v="13366"/>
    <x v="0"/>
    <s v="NY-00130"/>
    <s v="HICKSVILLE"/>
    <n v="11756"/>
    <s v="NASSAU"/>
    <s v="NY"/>
    <n v="2700"/>
    <n v="0"/>
    <n v="2700"/>
    <n v="0"/>
    <n v="0"/>
    <n v="0"/>
  </r>
  <r>
    <n v="13365"/>
    <n v="13366"/>
    <x v="0"/>
    <s v="NY-00130"/>
    <s v="HICKSVILLE"/>
    <n v="11801"/>
    <s v="NASSAU"/>
    <s v="NY"/>
    <n v="30445"/>
    <n v="0"/>
    <n v="30445"/>
    <n v="652600"/>
    <n v="0"/>
    <n v="2500"/>
  </r>
  <r>
    <n v="13365"/>
    <n v="13366"/>
    <x v="0"/>
    <s v="NY-00130"/>
    <s v="HOBOKEN"/>
    <n v="7030"/>
    <s v="HUDSON"/>
    <s v="NJ"/>
    <n v="7250"/>
    <n v="7250"/>
    <n v="0"/>
    <n v="43100"/>
    <n v="0"/>
    <n v="0"/>
  </r>
  <r>
    <n v="13365"/>
    <n v="13366"/>
    <x v="0"/>
    <s v="NY-00130"/>
    <s v="HOLBROOK"/>
    <n v="11741"/>
    <s v="SUFFOLK"/>
    <s v="NY"/>
    <n v="66005"/>
    <n v="59743"/>
    <n v="6262"/>
    <n v="25000"/>
    <n v="0"/>
    <n v="0"/>
  </r>
  <r>
    <n v="13365"/>
    <n v="13366"/>
    <x v="0"/>
    <s v="NY-00130"/>
    <s v="HOLLIS"/>
    <n v="11423"/>
    <s v="QUEENS"/>
    <s v="NY"/>
    <n v="64702"/>
    <n v="0"/>
    <n v="64702"/>
    <n v="0"/>
    <n v="0"/>
    <n v="0"/>
  </r>
  <r>
    <n v="13365"/>
    <n v="13366"/>
    <x v="0"/>
    <s v="NY-00130"/>
    <s v="HOLTSVILLE"/>
    <n v="11742"/>
    <s v="SUFFOLK"/>
    <s v="NY"/>
    <n v="0"/>
    <n v="0"/>
    <n v="0"/>
    <n v="62500"/>
    <n v="0"/>
    <n v="0"/>
  </r>
  <r>
    <n v="13365"/>
    <n v="13366"/>
    <x v="0"/>
    <s v="NY-00130"/>
    <s v="HOWARD BEACH"/>
    <n v="11414"/>
    <s v="NASSAU"/>
    <s v="NY"/>
    <n v="2550"/>
    <n v="0"/>
    <n v="2550"/>
    <n v="0"/>
    <n v="0"/>
    <n v="0"/>
  </r>
  <r>
    <n v="13365"/>
    <n v="13366"/>
    <x v="0"/>
    <s v="NY-00130"/>
    <s v="HOWARD BEACH"/>
    <n v="11209"/>
    <s v="QUEENS"/>
    <s v="NY"/>
    <n v="1700"/>
    <n v="0"/>
    <n v="1700"/>
    <n v="0"/>
    <n v="0"/>
    <n v="0"/>
  </r>
  <r>
    <n v="13365"/>
    <n v="13366"/>
    <x v="0"/>
    <s v="NY-00130"/>
    <s v="HOWARD BEACH"/>
    <n v="11414"/>
    <s v="QUEENS"/>
    <s v="NY"/>
    <n v="19429142"/>
    <n v="12249050"/>
    <n v="7180092"/>
    <n v="7761500"/>
    <n v="5050500"/>
    <n v="1594500"/>
  </r>
  <r>
    <n v="13365"/>
    <n v="13366"/>
    <x v="0"/>
    <s v="NY-00130"/>
    <s v="HUNTINGTN STA"/>
    <n v="11746"/>
    <s v="SUFFOLK"/>
    <s v="NY"/>
    <n v="26704"/>
    <n v="25954"/>
    <n v="750"/>
    <n v="0"/>
    <n v="0"/>
    <n v="0"/>
  </r>
  <r>
    <n v="13365"/>
    <n v="13366"/>
    <x v="0"/>
    <s v="NY-00130"/>
    <s v="HUNTINGTON"/>
    <n v="11743"/>
    <s v="SUFFOLK"/>
    <s v="NY"/>
    <n v="140257"/>
    <n v="135022"/>
    <n v="5235"/>
    <n v="33100"/>
    <n v="28100"/>
    <n v="0"/>
  </r>
  <r>
    <n v="13365"/>
    <n v="13366"/>
    <x v="0"/>
    <s v="NY-00130"/>
    <s v="HUNTINGTON STATION"/>
    <n v="11746"/>
    <s v="SUFFOLK"/>
    <s v="NY"/>
    <n v="103115"/>
    <n v="47200"/>
    <n v="55915"/>
    <n v="93400"/>
    <n v="0"/>
    <n v="800"/>
  </r>
  <r>
    <n v="13365"/>
    <n v="13366"/>
    <x v="0"/>
    <s v="NY-00130"/>
    <s v="INWOOD"/>
    <n v="11096"/>
    <s v="NASSAU"/>
    <s v="NY"/>
    <n v="5116839"/>
    <n v="1762097"/>
    <n v="3354742"/>
    <n v="1889400"/>
    <n v="397500"/>
    <n v="853100"/>
  </r>
  <r>
    <n v="13365"/>
    <n v="13366"/>
    <x v="0"/>
    <s v="NY-00130"/>
    <s v="INWOOD"/>
    <n v="11598"/>
    <s v="NASSAU"/>
    <s v="NY"/>
    <n v="348554"/>
    <n v="329354"/>
    <n v="19200"/>
    <n v="256100"/>
    <n v="227400"/>
    <n v="19200"/>
  </r>
  <r>
    <n v="13365"/>
    <n v="13366"/>
    <x v="0"/>
    <s v="NY-00130"/>
    <s v="INWOOD"/>
    <n v="11932"/>
    <s v="SUFFOLK"/>
    <s v="NY"/>
    <n v="39762"/>
    <n v="0"/>
    <n v="39762"/>
    <n v="0"/>
    <n v="0"/>
    <n v="0"/>
  </r>
  <r>
    <n v="13365"/>
    <n v="13366"/>
    <x v="0"/>
    <s v="NY-00130"/>
    <s v="IRVINGTON"/>
    <n v="10533"/>
    <s v="WESTCHESTER"/>
    <s v="NY"/>
    <n v="616642"/>
    <n v="149569"/>
    <n v="467073"/>
    <n v="609800"/>
    <n v="121400"/>
    <n v="155000"/>
  </r>
  <r>
    <n v="13365"/>
    <n v="13366"/>
    <x v="0"/>
    <s v="NY-00130"/>
    <s v="ISLAND  PARK"/>
    <n v="11558"/>
    <s v="NASSAU"/>
    <s v="NY"/>
    <n v="418712"/>
    <n v="413712"/>
    <n v="5000"/>
    <n v="0"/>
    <n v="0"/>
    <n v="0"/>
  </r>
  <r>
    <n v="13365"/>
    <n v="13366"/>
    <x v="0"/>
    <s v="NY-00130"/>
    <s v="ISLAND PARK"/>
    <n v="11520"/>
    <s v="NASSAU"/>
    <s v="NY"/>
    <n v="70054"/>
    <n v="0"/>
    <n v="70054"/>
    <n v="0"/>
    <n v="0"/>
    <n v="0"/>
  </r>
  <r>
    <n v="13365"/>
    <n v="13366"/>
    <x v="0"/>
    <s v="NY-00130"/>
    <s v="ISLAND PARK"/>
    <n v="11558"/>
    <s v="NASSAU"/>
    <s v="NY"/>
    <n v="16957216"/>
    <n v="11925250"/>
    <n v="5031966"/>
    <n v="6094400"/>
    <n v="4348500"/>
    <n v="1435000"/>
  </r>
  <r>
    <n v="13365"/>
    <n v="13366"/>
    <x v="0"/>
    <s v="NY-00130"/>
    <s v="ISLAND PARK"/>
    <n v="11561"/>
    <s v="NASSAU"/>
    <s v="NY"/>
    <n v="64758"/>
    <n v="64758"/>
    <n v="0"/>
    <n v="5400"/>
    <n v="5400"/>
    <n v="0"/>
  </r>
  <r>
    <n v="13365"/>
    <n v="13366"/>
    <x v="0"/>
    <s v="NY-00130"/>
    <s v="ISLAND PARK"/>
    <n v="11572"/>
    <s v="NASSAU"/>
    <s v="NY"/>
    <n v="173200"/>
    <n v="122475"/>
    <n v="50725"/>
    <n v="0"/>
    <n v="0"/>
    <n v="0"/>
  </r>
  <r>
    <n v="13365"/>
    <n v="13366"/>
    <x v="0"/>
    <s v="NY-00130"/>
    <s v="ISLANDIA"/>
    <n v="11749"/>
    <s v="SUFFOLK"/>
    <s v="NY"/>
    <n v="235452"/>
    <n v="145212"/>
    <n v="90240"/>
    <n v="446300"/>
    <n v="0"/>
    <n v="90300"/>
  </r>
  <r>
    <n v="13365"/>
    <n v="13366"/>
    <x v="0"/>
    <s v="NY-00130"/>
    <s v="ISLIP"/>
    <n v="11722"/>
    <s v="SUFFOLK"/>
    <s v="NY"/>
    <n v="4900"/>
    <n v="0"/>
    <n v="4900"/>
    <n v="0"/>
    <n v="0"/>
    <n v="0"/>
  </r>
  <r>
    <n v="13365"/>
    <n v="13366"/>
    <x v="0"/>
    <s v="NY-00130"/>
    <s v="JACKSON HEIGHT"/>
    <n v="11377"/>
    <s v="QUEENS"/>
    <s v="NY"/>
    <n v="5212"/>
    <n v="0"/>
    <n v="5212"/>
    <n v="0"/>
    <n v="0"/>
    <n v="0"/>
  </r>
  <r>
    <n v="13365"/>
    <n v="13366"/>
    <x v="0"/>
    <s v="NY-00130"/>
    <s v="JACKSON HTS"/>
    <n v="11372"/>
    <s v="QUEENS"/>
    <s v="NY"/>
    <n v="8239"/>
    <n v="139"/>
    <n v="8100"/>
    <n v="0"/>
    <n v="0"/>
    <n v="0"/>
  </r>
  <r>
    <n v="13365"/>
    <n v="13366"/>
    <x v="0"/>
    <s v="NY-00130"/>
    <s v="JAMACIA"/>
    <n v="11432"/>
    <s v="QUEENS"/>
    <s v="NY"/>
    <n v="1000"/>
    <n v="0"/>
    <n v="1000"/>
    <n v="0"/>
    <n v="0"/>
    <n v="0"/>
  </r>
  <r>
    <n v="13365"/>
    <n v="13366"/>
    <x v="0"/>
    <s v="NY-00130"/>
    <s v="JAMACIA ESTATES"/>
    <n v="11432"/>
    <s v="QUEENS"/>
    <s v="NY"/>
    <n v="146043"/>
    <n v="143043"/>
    <n v="3000"/>
    <n v="0"/>
    <n v="0"/>
    <n v="0"/>
  </r>
  <r>
    <n v="13365"/>
    <n v="13366"/>
    <x v="0"/>
    <s v="NY-00130"/>
    <s v="JAMAICA"/>
    <n v="11422"/>
    <s v="QUEENS"/>
    <s v="NY"/>
    <n v="698784"/>
    <n v="698784"/>
    <n v="0"/>
    <n v="0"/>
    <n v="0"/>
    <n v="0"/>
  </r>
  <r>
    <n v="13365"/>
    <n v="13366"/>
    <x v="0"/>
    <s v="NY-00130"/>
    <s v="JAMAICA"/>
    <n v="11432"/>
    <s v="QUEENS"/>
    <s v="NY"/>
    <n v="138889"/>
    <n v="117797"/>
    <n v="21092"/>
    <n v="48800"/>
    <n v="0"/>
    <n v="0"/>
  </r>
  <r>
    <n v="13365"/>
    <n v="13366"/>
    <x v="0"/>
    <s v="NY-00130"/>
    <s v="JAMAICA"/>
    <n v="11433"/>
    <s v="QUEENS"/>
    <s v="NY"/>
    <n v="22772"/>
    <n v="18647"/>
    <n v="4125"/>
    <n v="0"/>
    <n v="0"/>
    <n v="0"/>
  </r>
  <r>
    <n v="13365"/>
    <n v="13366"/>
    <x v="0"/>
    <s v="NY-00130"/>
    <s v="JAMAICA"/>
    <n v="11434"/>
    <s v="QUEENS"/>
    <s v="NY"/>
    <n v="237487"/>
    <n v="154318"/>
    <n v="83169"/>
    <n v="288400"/>
    <n v="129100"/>
    <n v="49000"/>
  </r>
  <r>
    <n v="13365"/>
    <n v="13366"/>
    <x v="0"/>
    <s v="NY-00130"/>
    <s v="JAMAICA"/>
    <n v="11435"/>
    <s v="QUEENS"/>
    <s v="NY"/>
    <n v="250"/>
    <n v="0"/>
    <n v="250"/>
    <n v="279200"/>
    <n v="0"/>
    <n v="0"/>
  </r>
  <r>
    <n v="13365"/>
    <n v="13366"/>
    <x v="0"/>
    <s v="NY-00130"/>
    <s v="JAMAICA"/>
    <n v="11693"/>
    <s v="QUEENS"/>
    <s v="NY"/>
    <n v="73101"/>
    <n v="71201"/>
    <n v="1900"/>
    <n v="68200"/>
    <n v="66300"/>
    <n v="1900"/>
  </r>
  <r>
    <n v="13365"/>
    <n v="13366"/>
    <x v="0"/>
    <s v="NY-00130"/>
    <s v="JAMESPORT"/>
    <n v="11947"/>
    <s v="SUFFOLK"/>
    <s v="NY"/>
    <n v="93908"/>
    <n v="93908"/>
    <n v="0"/>
    <n v="94000"/>
    <n v="94000"/>
    <n v="0"/>
  </r>
  <r>
    <n v="13365"/>
    <n v="13366"/>
    <x v="0"/>
    <s v="NY-00130"/>
    <s v="JERICHO"/>
    <n v="11753"/>
    <s v="NASSAU"/>
    <s v="NY"/>
    <n v="355757"/>
    <n v="338117"/>
    <n v="17640"/>
    <n v="33600"/>
    <n v="0"/>
    <n v="0"/>
  </r>
  <r>
    <n v="13365"/>
    <n v="13366"/>
    <x v="0"/>
    <s v="NY-00130"/>
    <s v="KEARNY"/>
    <n v="7032"/>
    <s v="HUDSON"/>
    <s v="NJ"/>
    <n v="15250"/>
    <n v="0"/>
    <n v="15250"/>
    <n v="0"/>
    <n v="0"/>
    <n v="0"/>
  </r>
  <r>
    <n v="13365"/>
    <n v="13366"/>
    <x v="0"/>
    <s v="NY-00130"/>
    <s v="KINGS PARK"/>
    <n v="11754"/>
    <s v="SUFFOLK"/>
    <s v="NY"/>
    <n v="7433"/>
    <n v="3683"/>
    <n v="3750"/>
    <n v="0"/>
    <n v="0"/>
    <n v="0"/>
  </r>
  <r>
    <n v="13365"/>
    <n v="13366"/>
    <x v="0"/>
    <s v="NY-00130"/>
    <s v="KINGSTON"/>
    <n v="12401"/>
    <s v="ULSTER"/>
    <s v="NY"/>
    <n v="640206"/>
    <n v="327889"/>
    <n v="312317"/>
    <n v="0"/>
    <n v="0"/>
    <n v="0"/>
  </r>
  <r>
    <n v="13365"/>
    <n v="13366"/>
    <x v="0"/>
    <s v="NY-00130"/>
    <s v="LAKE GROVE"/>
    <n v="11755"/>
    <s v="SUFFOLK"/>
    <s v="NY"/>
    <n v="17000"/>
    <n v="0"/>
    <n v="17000"/>
    <n v="56000"/>
    <n v="0"/>
    <n v="5000"/>
  </r>
  <r>
    <n v="13365"/>
    <n v="13366"/>
    <x v="0"/>
    <s v="NY-00130"/>
    <s v="LAKE HUNTINGTON"/>
    <n v="12752"/>
    <s v="SULLIVAN"/>
    <s v="NY"/>
    <n v="43820"/>
    <n v="43820"/>
    <n v="0"/>
    <n v="0"/>
    <n v="0"/>
    <n v="0"/>
  </r>
  <r>
    <n v="13365"/>
    <n v="13366"/>
    <x v="0"/>
    <s v="NY-00130"/>
    <s v="LAKE RONKONKOMA"/>
    <n v="11779"/>
    <s v="SUFFOLK"/>
    <s v="NY"/>
    <n v="0"/>
    <n v="0"/>
    <n v="0"/>
    <n v="34000"/>
    <n v="0"/>
    <n v="0"/>
  </r>
  <r>
    <n v="13365"/>
    <n v="13366"/>
    <x v="0"/>
    <s v="NY-00130"/>
    <s v="LARCHMONT"/>
    <n v="10538"/>
    <s v="WESTCHESTER"/>
    <s v="NY"/>
    <n v="94484"/>
    <n v="29291"/>
    <n v="65193"/>
    <n v="0"/>
    <n v="0"/>
    <n v="0"/>
  </r>
  <r>
    <n v="13365"/>
    <n v="13366"/>
    <x v="0"/>
    <s v="NY-00130"/>
    <s v="LAURAL"/>
    <n v="11948"/>
    <s v="SUFFOLK"/>
    <s v="NY"/>
    <n v="166492"/>
    <n v="143992"/>
    <n v="22500"/>
    <n v="0"/>
    <n v="0"/>
    <n v="0"/>
  </r>
  <r>
    <n v="13365"/>
    <n v="13366"/>
    <x v="0"/>
    <s v="NY-00130"/>
    <s v="LAURELTON"/>
    <n v="11413"/>
    <s v="QUEENS"/>
    <s v="NY"/>
    <n v="11555"/>
    <n v="0"/>
    <n v="11555"/>
    <n v="3700"/>
    <n v="0"/>
    <n v="3700"/>
  </r>
  <r>
    <n v="13365"/>
    <n v="13366"/>
    <x v="0"/>
    <s v="NY-00130"/>
    <s v="LAWRENCE"/>
    <n v="11559"/>
    <s v="NASSAU"/>
    <s v="NY"/>
    <n v="733396"/>
    <n v="455986"/>
    <n v="277410"/>
    <n v="544500"/>
    <n v="105500"/>
    <n v="230500"/>
  </r>
  <r>
    <n v="13365"/>
    <n v="13366"/>
    <x v="0"/>
    <s v="NY-00130"/>
    <s v="LEVITTOWN"/>
    <n v="11756"/>
    <s v="NASSAU"/>
    <s v="NY"/>
    <n v="154679"/>
    <n v="41689"/>
    <n v="112990"/>
    <n v="137800"/>
    <n v="40400"/>
    <n v="97400"/>
  </r>
  <r>
    <n v="13365"/>
    <n v="13366"/>
    <x v="0"/>
    <s v="NY-00130"/>
    <s v="LI CITY"/>
    <n v="11101"/>
    <s v="QUEENS"/>
    <s v="NY"/>
    <n v="60038"/>
    <n v="29600"/>
    <n v="30438"/>
    <n v="0"/>
    <n v="0"/>
    <n v="0"/>
  </r>
  <r>
    <n v="13365"/>
    <n v="13366"/>
    <x v="0"/>
    <s v="NY-00130"/>
    <s v="LIBERTY"/>
    <n v="12754"/>
    <s v="SULLIVAN"/>
    <s v="NY"/>
    <n v="68879"/>
    <n v="61379"/>
    <n v="7500"/>
    <n v="0"/>
    <n v="0"/>
    <n v="0"/>
  </r>
  <r>
    <n v="13365"/>
    <n v="13366"/>
    <x v="0"/>
    <s v="NY-00130"/>
    <s v="LIC"/>
    <n v="11101"/>
    <s v="QUEENS"/>
    <s v="NY"/>
    <n v="0"/>
    <n v="0"/>
    <n v="0"/>
    <n v="118000"/>
    <n v="0"/>
    <n v="0"/>
  </r>
  <r>
    <n v="13365"/>
    <n v="13366"/>
    <x v="0"/>
    <s v="NY-00130"/>
    <s v="LIDO BEACH"/>
    <n v="11561"/>
    <s v="NASSAU"/>
    <s v="NY"/>
    <n v="7858709"/>
    <n v="7229924"/>
    <n v="628785"/>
    <n v="1345400"/>
    <n v="1046700"/>
    <n v="181300"/>
  </r>
  <r>
    <n v="13365"/>
    <n v="13366"/>
    <x v="0"/>
    <s v="NY-00130"/>
    <s v="LINDENHURST"/>
    <n v="11757"/>
    <s v="SUFFOLK"/>
    <s v="NY"/>
    <n v="4770716"/>
    <n v="3662271"/>
    <n v="1108445"/>
    <n v="1062200"/>
    <n v="840800"/>
    <n v="195400"/>
  </r>
  <r>
    <n v="13365"/>
    <n v="13366"/>
    <x v="0"/>
    <s v="NY-00130"/>
    <s v="LINDENHURST"/>
    <n v="11758"/>
    <s v="SUFFOLK"/>
    <s v="NY"/>
    <n v="97539"/>
    <n v="94939"/>
    <n v="2600"/>
    <n v="0"/>
    <n v="0"/>
    <n v="0"/>
  </r>
  <r>
    <n v="13365"/>
    <n v="13366"/>
    <x v="0"/>
    <s v="NY-00130"/>
    <s v="LINDENHURST"/>
    <n v="11795"/>
    <s v="SUFFOLK"/>
    <s v="NY"/>
    <n v="706065"/>
    <n v="631524"/>
    <n v="74541"/>
    <n v="0"/>
    <n v="0"/>
    <n v="0"/>
  </r>
  <r>
    <n v="13365"/>
    <n v="13366"/>
    <x v="0"/>
    <s v="NY-00130"/>
    <s v="LINDENHURST NY"/>
    <n v="11757"/>
    <s v="SUFFOLK"/>
    <s v="NY"/>
    <n v="85877"/>
    <n v="67672"/>
    <n v="18205"/>
    <n v="0"/>
    <n v="0"/>
    <n v="0"/>
  </r>
  <r>
    <n v="13365"/>
    <n v="13366"/>
    <x v="0"/>
    <s v="NY-00130"/>
    <s v="LITTLE FERRY"/>
    <n v="7643"/>
    <s v="BERGEN"/>
    <s v="NJ"/>
    <n v="57669"/>
    <n v="56669"/>
    <n v="1000"/>
    <n v="0"/>
    <n v="0"/>
    <n v="0"/>
  </r>
  <r>
    <n v="13365"/>
    <n v="13366"/>
    <x v="0"/>
    <s v="NY-00130"/>
    <s v="LITTLE NECK"/>
    <n v="11362"/>
    <s v="QUEENS"/>
    <s v="NY"/>
    <n v="373620"/>
    <n v="318208"/>
    <n v="55412"/>
    <n v="0"/>
    <n v="0"/>
    <n v="0"/>
  </r>
  <r>
    <n v="13365"/>
    <n v="13366"/>
    <x v="0"/>
    <s v="NY-00130"/>
    <s v="LITTLE NECK"/>
    <n v="11363"/>
    <s v="QUEENS"/>
    <s v="NY"/>
    <n v="0"/>
    <n v="0"/>
    <n v="0"/>
    <n v="5000"/>
    <n v="0"/>
    <n v="0"/>
  </r>
  <r>
    <n v="13365"/>
    <n v="13366"/>
    <x v="0"/>
    <s v="NY-00130"/>
    <s v="LLOYD HARBOR"/>
    <n v="11743"/>
    <s v="SUFFOLK"/>
    <s v="NY"/>
    <n v="820031"/>
    <n v="744709"/>
    <n v="75322"/>
    <n v="806100"/>
    <n v="744800"/>
    <n v="61300"/>
  </r>
  <r>
    <n v="13365"/>
    <n v="13366"/>
    <x v="0"/>
    <s v="NY-00130"/>
    <s v="LOCUST VALLEY"/>
    <n v="11560"/>
    <s v="NASSAU"/>
    <s v="NY"/>
    <n v="40512"/>
    <n v="1531"/>
    <n v="38981"/>
    <n v="35900"/>
    <n v="0"/>
    <n v="1000"/>
  </r>
  <r>
    <n v="13365"/>
    <n v="13366"/>
    <x v="0"/>
    <s v="NY-00130"/>
    <s v="LONG  BEACH"/>
    <n v="11561"/>
    <s v="NASSAU"/>
    <s v="NY"/>
    <n v="116668"/>
    <n v="58139"/>
    <n v="58529"/>
    <n v="0"/>
    <n v="0"/>
    <n v="0"/>
  </r>
  <r>
    <n v="13365"/>
    <n v="13366"/>
    <x v="0"/>
    <s v="NY-00130"/>
    <s v="LONG BEACG"/>
    <n v="11793"/>
    <s v="NASSAU"/>
    <s v="NY"/>
    <n v="60340"/>
    <n v="60340"/>
    <n v="0"/>
    <n v="0"/>
    <n v="0"/>
    <n v="0"/>
  </r>
  <r>
    <n v="13365"/>
    <n v="13366"/>
    <x v="0"/>
    <s v="NY-00130"/>
    <s v="LONG BEACH"/>
    <n v="10709"/>
    <s v="NASSAU"/>
    <s v="NY"/>
    <n v="71606"/>
    <n v="69556"/>
    <n v="2050"/>
    <n v="0"/>
    <n v="0"/>
    <n v="0"/>
  </r>
  <r>
    <n v="13365"/>
    <n v="13366"/>
    <x v="0"/>
    <s v="NY-00130"/>
    <s v="LONG BEACH"/>
    <n v="11501"/>
    <s v="NASSAU"/>
    <s v="NY"/>
    <n v="13093"/>
    <n v="11093"/>
    <n v="2000"/>
    <n v="19800"/>
    <n v="11100"/>
    <n v="1500"/>
  </r>
  <r>
    <n v="13365"/>
    <n v="13366"/>
    <x v="0"/>
    <s v="NY-00130"/>
    <s v="LONG BEACH"/>
    <n v="11516"/>
    <s v="NASSAU"/>
    <s v="NY"/>
    <n v="67016"/>
    <n v="30701"/>
    <n v="36315"/>
    <n v="0"/>
    <n v="0"/>
    <n v="0"/>
  </r>
  <r>
    <n v="13365"/>
    <n v="13366"/>
    <x v="0"/>
    <s v="NY-00130"/>
    <s v="LONG BEACH"/>
    <n v="11561"/>
    <s v="NASSAU"/>
    <s v="NY"/>
    <n v="58048260"/>
    <n v="40857728"/>
    <n v="17190532"/>
    <n v="15029300"/>
    <n v="8706300"/>
    <n v="3626500"/>
  </r>
  <r>
    <n v="13365"/>
    <n v="13366"/>
    <x v="0"/>
    <s v="NY-00130"/>
    <s v="LONG BEACH"/>
    <n v="11566"/>
    <s v="NASSAU"/>
    <s v="NY"/>
    <n v="106779"/>
    <n v="51479"/>
    <n v="55300"/>
    <n v="55300"/>
    <n v="0"/>
    <n v="55300"/>
  </r>
  <r>
    <n v="13365"/>
    <n v="13366"/>
    <x v="0"/>
    <s v="NY-00130"/>
    <s v="LONG BEACH"/>
    <n v="11596"/>
    <s v="NASSAU"/>
    <s v="NY"/>
    <n v="47196"/>
    <n v="14509"/>
    <n v="32687"/>
    <n v="0"/>
    <n v="0"/>
    <n v="0"/>
  </r>
  <r>
    <n v="13365"/>
    <n v="13366"/>
    <x v="0"/>
    <s v="NY-00130"/>
    <s v="LONG BEACH"/>
    <n v="11561"/>
    <s v="NEW YORK"/>
    <s v="NY"/>
    <n v="2408700"/>
    <n v="2333415"/>
    <n v="75285"/>
    <n v="0"/>
    <n v="0"/>
    <n v="0"/>
  </r>
  <r>
    <n v="13365"/>
    <n v="13366"/>
    <x v="0"/>
    <s v="NY-00130"/>
    <s v="LONG ISLAND CITY"/>
    <n v="11101"/>
    <s v="NEW YORK"/>
    <s v="NY"/>
    <n v="0"/>
    <n v="0"/>
    <n v="0"/>
    <n v="80700"/>
    <n v="0"/>
    <n v="0"/>
  </r>
  <r>
    <n v="13365"/>
    <n v="13366"/>
    <x v="0"/>
    <s v="NY-00130"/>
    <s v="LONG ISLAND CITY"/>
    <n v="11011"/>
    <s v="QUEENS"/>
    <s v="NY"/>
    <n v="10171"/>
    <n v="0"/>
    <n v="10171"/>
    <n v="0"/>
    <n v="0"/>
    <n v="0"/>
  </r>
  <r>
    <n v="13365"/>
    <n v="13366"/>
    <x v="0"/>
    <s v="NY-00130"/>
    <s v="LONG ISLAND CITY"/>
    <n v="11101"/>
    <s v="QUEENS"/>
    <s v="NY"/>
    <n v="8480921"/>
    <n v="3190849"/>
    <n v="5290072"/>
    <n v="2143900"/>
    <n v="215200"/>
    <n v="666000"/>
  </r>
  <r>
    <n v="13365"/>
    <n v="13366"/>
    <x v="0"/>
    <s v="NY-00130"/>
    <s v="LONG ISLAND CITY"/>
    <n v="11103"/>
    <s v="QUEENS"/>
    <s v="NY"/>
    <n v="17217"/>
    <n v="0"/>
    <n v="17217"/>
    <n v="0"/>
    <n v="0"/>
    <n v="0"/>
  </r>
  <r>
    <n v="13365"/>
    <n v="13366"/>
    <x v="0"/>
    <s v="NY-00130"/>
    <s v="LONG ISLAND CITY"/>
    <n v="11106"/>
    <s v="QUEENS"/>
    <s v="NY"/>
    <n v="80170"/>
    <n v="73970"/>
    <n v="6200"/>
    <n v="0"/>
    <n v="0"/>
    <n v="0"/>
  </r>
  <r>
    <n v="13365"/>
    <n v="13366"/>
    <x v="0"/>
    <s v="NY-00130"/>
    <s v="LONGBEACH"/>
    <n v="11561"/>
    <s v="NASSAU"/>
    <s v="NY"/>
    <n v="95788"/>
    <n v="93088"/>
    <n v="2700"/>
    <n v="51400"/>
    <n v="48700"/>
    <n v="2700"/>
  </r>
  <r>
    <n v="13365"/>
    <n v="13366"/>
    <x v="0"/>
    <s v="NY-00130"/>
    <s v="LYNBROOK"/>
    <n v="11563"/>
    <s v="NASSAU"/>
    <s v="NY"/>
    <n v="152530"/>
    <n v="78765"/>
    <n v="73765"/>
    <n v="0"/>
    <n v="0"/>
    <n v="0"/>
  </r>
  <r>
    <n v="13365"/>
    <n v="13366"/>
    <x v="0"/>
    <s v="NY-00130"/>
    <s v="MAHOPAC"/>
    <n v="10541"/>
    <s v="PUTNAM"/>
    <s v="NY"/>
    <n v="1660"/>
    <n v="0"/>
    <n v="1660"/>
    <n v="0"/>
    <n v="0"/>
    <n v="0"/>
  </r>
  <r>
    <n v="13365"/>
    <n v="13366"/>
    <x v="0"/>
    <s v="NY-00130"/>
    <s v="MAMARONECK"/>
    <n v="10543"/>
    <s v="WESTCHESTER"/>
    <s v="NY"/>
    <n v="2458144"/>
    <n v="2102475"/>
    <n v="355669"/>
    <n v="1320200"/>
    <n v="1104000"/>
    <n v="216200"/>
  </r>
  <r>
    <n v="13365"/>
    <n v="13366"/>
    <x v="0"/>
    <s v="NY-00130"/>
    <s v="MANHASSET"/>
    <n v="11030"/>
    <s v="NASSAU"/>
    <s v="NY"/>
    <n v="109162"/>
    <n v="13337"/>
    <n v="95825"/>
    <n v="215600"/>
    <n v="0"/>
    <n v="87500"/>
  </r>
  <r>
    <n v="13365"/>
    <n v="13366"/>
    <x v="0"/>
    <s v="NY-00130"/>
    <s v="MANHATTAN"/>
    <n v="10009"/>
    <s v="BRONX"/>
    <s v="NY"/>
    <n v="52343"/>
    <n v="0"/>
    <n v="52343"/>
    <n v="0"/>
    <n v="0"/>
    <n v="0"/>
  </r>
  <r>
    <n v="13365"/>
    <n v="13366"/>
    <x v="0"/>
    <s v="NY-00130"/>
    <s v="MANHATTAN"/>
    <n v="10002"/>
    <s v="NEW YORK"/>
    <s v="NY"/>
    <n v="0"/>
    <n v="0"/>
    <n v="0"/>
    <n v="9500"/>
    <n v="0"/>
    <n v="0"/>
  </r>
  <r>
    <n v="13365"/>
    <n v="13366"/>
    <x v="0"/>
    <s v="NY-00130"/>
    <s v="MANHATTAN"/>
    <n v="10004"/>
    <s v="NEW YORK"/>
    <s v="NY"/>
    <n v="65490"/>
    <n v="26970"/>
    <n v="38520"/>
    <n v="0"/>
    <n v="0"/>
    <n v="0"/>
  </r>
  <r>
    <n v="13365"/>
    <n v="13366"/>
    <x v="0"/>
    <s v="NY-00130"/>
    <s v="MANHATTAN"/>
    <n v="10013"/>
    <s v="NEW YORK"/>
    <s v="NY"/>
    <n v="365370"/>
    <n v="148744"/>
    <n v="216626"/>
    <n v="226700"/>
    <n v="0"/>
    <n v="197100"/>
  </r>
  <r>
    <n v="13365"/>
    <n v="13366"/>
    <x v="0"/>
    <s v="NY-00130"/>
    <s v="MANHATTAN"/>
    <n v="10038"/>
    <s v="NEW YORK"/>
    <s v="NY"/>
    <n v="802"/>
    <n v="0"/>
    <n v="802"/>
    <n v="0"/>
    <n v="0"/>
    <n v="0"/>
  </r>
  <r>
    <n v="13365"/>
    <n v="13366"/>
    <x v="0"/>
    <s v="NY-00130"/>
    <s v="MASPETH"/>
    <n v="11378"/>
    <s v="QUEENS"/>
    <s v="NY"/>
    <n v="28100"/>
    <n v="0"/>
    <n v="28100"/>
    <n v="70700"/>
    <n v="0"/>
    <n v="0"/>
  </r>
  <r>
    <n v="13365"/>
    <n v="13366"/>
    <x v="0"/>
    <s v="NY-00130"/>
    <s v="MASPETH"/>
    <n v="11385"/>
    <s v="QUEENS"/>
    <s v="NY"/>
    <n v="460076"/>
    <n v="87532"/>
    <n v="372544"/>
    <n v="0"/>
    <n v="0"/>
    <n v="0"/>
  </r>
  <r>
    <n v="13365"/>
    <n v="13366"/>
    <x v="0"/>
    <s v="NY-00130"/>
    <s v="MASSAPEQUA"/>
    <n v="11758"/>
    <s v="NASSAU"/>
    <s v="NY"/>
    <n v="5469179"/>
    <n v="3770449"/>
    <n v="1698730"/>
    <n v="2165400"/>
    <n v="1132900"/>
    <n v="549500"/>
  </r>
  <r>
    <n v="13365"/>
    <n v="13366"/>
    <x v="0"/>
    <s v="NY-00130"/>
    <s v="MASSAPEQUA"/>
    <n v="11783"/>
    <s v="NASSAU"/>
    <s v="NY"/>
    <n v="22313"/>
    <n v="19513"/>
    <n v="2800"/>
    <n v="0"/>
    <n v="0"/>
    <n v="0"/>
  </r>
  <r>
    <n v="13365"/>
    <n v="13366"/>
    <x v="0"/>
    <s v="NY-00130"/>
    <s v="MASSAPEQUA PARK"/>
    <n v="11762"/>
    <s v="NASSAU"/>
    <s v="NY"/>
    <n v="123378"/>
    <n v="12632"/>
    <n v="110746"/>
    <n v="44000"/>
    <n v="0"/>
    <n v="0"/>
  </r>
  <r>
    <n v="13365"/>
    <n v="13366"/>
    <x v="0"/>
    <s v="NY-00130"/>
    <s v="MASTIC"/>
    <n v="11950"/>
    <s v="SUFFOLK"/>
    <s v="NY"/>
    <n v="50816"/>
    <n v="39116"/>
    <n v="11700"/>
    <n v="1900"/>
    <n v="0"/>
    <n v="0"/>
  </r>
  <r>
    <n v="13365"/>
    <n v="13366"/>
    <x v="0"/>
    <s v="NY-00130"/>
    <s v="MASTIC BEACH"/>
    <n v="11951"/>
    <s v="SUFFOLK"/>
    <s v="NY"/>
    <n v="1387527"/>
    <n v="1095019"/>
    <n v="292508"/>
    <n v="407500"/>
    <n v="333400"/>
    <n v="68400"/>
  </r>
  <r>
    <n v="13365"/>
    <n v="13366"/>
    <x v="0"/>
    <s v="NY-00130"/>
    <s v="MATTITUCK"/>
    <n v="11952"/>
    <s v="SUFFOLK"/>
    <s v="NY"/>
    <n v="687182"/>
    <n v="552079"/>
    <n v="135103"/>
    <n v="221300"/>
    <n v="215400"/>
    <n v="5900"/>
  </r>
  <r>
    <n v="13365"/>
    <n v="13366"/>
    <x v="0"/>
    <s v="NY-00130"/>
    <s v="MEDFORD"/>
    <n v="11763"/>
    <s v="SUFFOLK"/>
    <s v="NY"/>
    <n v="47622"/>
    <n v="45900"/>
    <n v="1722"/>
    <n v="0"/>
    <n v="0"/>
    <n v="0"/>
  </r>
  <r>
    <n v="13365"/>
    <n v="13366"/>
    <x v="0"/>
    <s v="NY-00130"/>
    <s v="MELVILLE"/>
    <n v="11747"/>
    <s v="SUFFOLK"/>
    <s v="NY"/>
    <n v="4780"/>
    <n v="0"/>
    <n v="4780"/>
    <n v="280900"/>
    <n v="0"/>
    <n v="4800"/>
  </r>
  <r>
    <n v="13365"/>
    <n v="13366"/>
    <x v="0"/>
    <s v="NY-00130"/>
    <s v="MELVILLE"/>
    <n v="11757"/>
    <s v="SUFFOLK"/>
    <s v="NY"/>
    <n v="0"/>
    <n v="0"/>
    <n v="0"/>
    <n v="63100"/>
    <n v="0"/>
    <n v="0"/>
  </r>
  <r>
    <n v="13365"/>
    <n v="13366"/>
    <x v="0"/>
    <s v="NY-00130"/>
    <s v="MELVILLE"/>
    <n v="11775"/>
    <s v="SUFFOLK"/>
    <s v="NY"/>
    <n v="30847"/>
    <n v="10022"/>
    <n v="20825"/>
    <n v="0"/>
    <n v="0"/>
    <n v="0"/>
  </r>
  <r>
    <n v="13365"/>
    <n v="13366"/>
    <x v="0"/>
    <s v="NY-00130"/>
    <s v="MERRICK"/>
    <n v="11566"/>
    <s v="NASSAU"/>
    <s v="NY"/>
    <n v="7376492"/>
    <n v="5862286"/>
    <n v="1514206"/>
    <n v="4088900"/>
    <n v="3086200"/>
    <n v="835800"/>
  </r>
  <r>
    <n v="13365"/>
    <n v="13366"/>
    <x v="0"/>
    <s v="NY-00130"/>
    <s v="MERRICK"/>
    <n v="11568"/>
    <s v="NASSAU"/>
    <s v="NY"/>
    <n v="151473"/>
    <n v="151473"/>
    <n v="0"/>
    <n v="111500"/>
    <n v="111500"/>
    <n v="0"/>
  </r>
  <r>
    <n v="13365"/>
    <n v="13366"/>
    <x v="0"/>
    <s v="NY-00130"/>
    <s v="MIDDLE ISLAND"/>
    <n v="11953"/>
    <s v="SUFFOLK"/>
    <s v="NY"/>
    <n v="112014"/>
    <n v="75406"/>
    <n v="36608"/>
    <n v="0"/>
    <n v="0"/>
    <n v="0"/>
  </r>
  <r>
    <n v="13365"/>
    <n v="13366"/>
    <x v="0"/>
    <s v="NY-00130"/>
    <s v="MIDDLETOWN"/>
    <n v="10940"/>
    <s v="ORANGE"/>
    <s v="NY"/>
    <n v="11429"/>
    <n v="11429"/>
    <n v="0"/>
    <n v="5500"/>
    <n v="5500"/>
    <n v="0"/>
  </r>
  <r>
    <n v="13365"/>
    <n v="13366"/>
    <x v="0"/>
    <s v="NY-00130"/>
    <s v="MIDDLETOWN"/>
    <n v="10941"/>
    <s v="ORANGE"/>
    <s v="NY"/>
    <n v="7500"/>
    <n v="0"/>
    <n v="7500"/>
    <n v="0"/>
    <n v="0"/>
    <n v="0"/>
  </r>
  <r>
    <n v="13365"/>
    <n v="13366"/>
    <x v="0"/>
    <s v="NY-00130"/>
    <s v="MILLER PLACE"/>
    <n v="11764"/>
    <s v="SUFFOLK"/>
    <s v="NY"/>
    <n v="6008"/>
    <n v="0"/>
    <n v="6008"/>
    <n v="0"/>
    <n v="0"/>
    <n v="0"/>
  </r>
  <r>
    <n v="13365"/>
    <n v="13366"/>
    <x v="0"/>
    <s v="NY-00130"/>
    <s v="MINEOLA"/>
    <n v="11501"/>
    <s v="NASSAU"/>
    <s v="NY"/>
    <n v="138299"/>
    <n v="115449"/>
    <n v="22850"/>
    <n v="139200"/>
    <n v="0"/>
    <n v="0"/>
  </r>
  <r>
    <n v="13365"/>
    <n v="13366"/>
    <x v="0"/>
    <s v="NY-00130"/>
    <s v="MONROE"/>
    <n v="10950"/>
    <s v="ORANGE"/>
    <s v="NY"/>
    <n v="196569"/>
    <n v="195569"/>
    <n v="1000"/>
    <n v="0"/>
    <n v="0"/>
    <n v="0"/>
  </r>
  <r>
    <n v="13365"/>
    <n v="13366"/>
    <x v="0"/>
    <s v="NY-00130"/>
    <s v="MONSEY"/>
    <n v="10952"/>
    <s v="ROCKLAND"/>
    <s v="NY"/>
    <n v="120576"/>
    <n v="11876"/>
    <n v="108700"/>
    <n v="164700"/>
    <n v="0"/>
    <n v="98700"/>
  </r>
  <r>
    <n v="13365"/>
    <n v="13366"/>
    <x v="0"/>
    <s v="NY-00130"/>
    <s v="MONTAUK"/>
    <n v="11954"/>
    <s v="SUFFOLK"/>
    <s v="NY"/>
    <n v="947541"/>
    <n v="902046"/>
    <n v="45495"/>
    <n v="596600"/>
    <n v="463800"/>
    <n v="31200"/>
  </r>
  <r>
    <n v="13365"/>
    <n v="13366"/>
    <x v="0"/>
    <s v="NY-00130"/>
    <s v="MONTGOMERY"/>
    <n v="12549"/>
    <s v="ORANGE"/>
    <s v="NY"/>
    <n v="110"/>
    <n v="0"/>
    <n v="110"/>
    <n v="0"/>
    <n v="0"/>
    <n v="0"/>
  </r>
  <r>
    <n v="13365"/>
    <n v="13366"/>
    <x v="0"/>
    <s v="NY-00130"/>
    <s v="MORICHES"/>
    <n v="11955"/>
    <s v="SUFFOLK"/>
    <s v="NY"/>
    <n v="102723"/>
    <n v="43223"/>
    <n v="59500"/>
    <n v="0"/>
    <n v="0"/>
    <n v="0"/>
  </r>
  <r>
    <n v="13365"/>
    <n v="13366"/>
    <x v="0"/>
    <s v="NY-00130"/>
    <s v="MOUNT KISCO"/>
    <n v="10549"/>
    <s v="WESTCHESTER"/>
    <s v="NY"/>
    <n v="0"/>
    <n v="0"/>
    <n v="0"/>
    <n v="8300"/>
    <n v="0"/>
    <n v="0"/>
  </r>
  <r>
    <n v="13365"/>
    <n v="13366"/>
    <x v="0"/>
    <s v="NY-00130"/>
    <s v="MOUNT VERNON"/>
    <n v="10550"/>
    <s v="WESTCHESTER"/>
    <s v="NY"/>
    <n v="27230"/>
    <n v="25870"/>
    <n v="1360"/>
    <n v="25900"/>
    <n v="25900"/>
    <n v="0"/>
  </r>
  <r>
    <n v="13365"/>
    <n v="13366"/>
    <x v="0"/>
    <s v="NY-00130"/>
    <s v="NANUET"/>
    <n v="10954"/>
    <s v="ROCKLAND"/>
    <s v="NY"/>
    <n v="624593"/>
    <n v="620993"/>
    <n v="3600"/>
    <n v="4100"/>
    <n v="4100"/>
    <n v="0"/>
  </r>
  <r>
    <n v="13365"/>
    <n v="13366"/>
    <x v="0"/>
    <s v="NY-00130"/>
    <s v="NE W YORK"/>
    <n v="10005"/>
    <s v="NEW YORK"/>
    <s v="NY"/>
    <n v="380886"/>
    <n v="184736"/>
    <n v="196150"/>
    <n v="164200"/>
    <n v="0"/>
    <n v="164200"/>
  </r>
  <r>
    <n v="13365"/>
    <n v="13366"/>
    <x v="0"/>
    <s v="NY-00130"/>
    <s v="NE WYORK"/>
    <n v="10013"/>
    <s v="NEW YORK"/>
    <s v="NY"/>
    <n v="5000"/>
    <n v="0"/>
    <n v="5000"/>
    <n v="0"/>
    <n v="0"/>
    <n v="0"/>
  </r>
  <r>
    <n v="13365"/>
    <n v="13366"/>
    <x v="0"/>
    <s v="NY-00130"/>
    <s v="NEPONSIT"/>
    <n v="11694"/>
    <s v="QUEENS"/>
    <s v="NY"/>
    <n v="1701530"/>
    <n v="1331760"/>
    <n v="369770"/>
    <n v="61400"/>
    <n v="49200"/>
    <n v="7000"/>
  </r>
  <r>
    <n v="13365"/>
    <n v="13366"/>
    <x v="0"/>
    <s v="NY-00130"/>
    <s v="NEW  YORK"/>
    <n v="10012"/>
    <s v="NEW YORK"/>
    <s v="NY"/>
    <n v="11431"/>
    <n v="8831"/>
    <n v="2600"/>
    <n v="0"/>
    <n v="0"/>
    <n v="0"/>
  </r>
  <r>
    <n v="13365"/>
    <n v="13366"/>
    <x v="0"/>
    <s v="NY-00130"/>
    <s v="NEW CITY"/>
    <n v="10956"/>
    <s v="ROCKLAND"/>
    <s v="NY"/>
    <n v="59305"/>
    <n v="59305"/>
    <n v="0"/>
    <n v="0"/>
    <n v="0"/>
    <n v="0"/>
  </r>
  <r>
    <n v="13365"/>
    <n v="13366"/>
    <x v="0"/>
    <s v="NY-00130"/>
    <s v="NEW HYDE PARK"/>
    <n v="11040"/>
    <s v="NASSAU"/>
    <s v="NY"/>
    <n v="62787"/>
    <n v="44819"/>
    <n v="17968"/>
    <n v="24100"/>
    <n v="0"/>
    <n v="0"/>
  </r>
  <r>
    <n v="13365"/>
    <n v="13366"/>
    <x v="0"/>
    <s v="NY-00130"/>
    <s v="NEW ORK"/>
    <n v="10002"/>
    <s v="NEW YORK"/>
    <s v="NY"/>
    <n v="8575"/>
    <n v="0"/>
    <n v="8575"/>
    <n v="0"/>
    <n v="0"/>
    <n v="0"/>
  </r>
  <r>
    <n v="13365"/>
    <n v="13366"/>
    <x v="0"/>
    <s v="NY-00130"/>
    <s v="NEW ROCHELLE"/>
    <n v="10801"/>
    <s v="WESTCHESTER"/>
    <s v="NY"/>
    <n v="304298"/>
    <n v="189392"/>
    <n v="114906"/>
    <n v="245300"/>
    <n v="99700"/>
    <n v="69300"/>
  </r>
  <r>
    <n v="13365"/>
    <n v="13366"/>
    <x v="0"/>
    <s v="NY-00130"/>
    <s v="NEW ROCHELLE"/>
    <n v="10803"/>
    <s v="WESTCHESTER"/>
    <s v="NY"/>
    <n v="198650"/>
    <n v="198650"/>
    <n v="0"/>
    <n v="0"/>
    <n v="0"/>
    <n v="0"/>
  </r>
  <r>
    <n v="13365"/>
    <n v="13366"/>
    <x v="0"/>
    <s v="NY-00130"/>
    <s v="NEW ROCHELLE"/>
    <n v="10805"/>
    <s v="WESTCHESTER"/>
    <s v="NY"/>
    <n v="734098"/>
    <n v="720298"/>
    <n v="13800"/>
    <n v="71700"/>
    <n v="70200"/>
    <n v="1500"/>
  </r>
  <r>
    <n v="13365"/>
    <n v="13366"/>
    <x v="0"/>
    <s v="NY-00130"/>
    <s v="NEW SUFFOLK"/>
    <n v="11956"/>
    <s v="SUFFOLK"/>
    <s v="NY"/>
    <n v="1221808"/>
    <n v="1088525"/>
    <n v="133283"/>
    <n v="1435700"/>
    <n v="1072300"/>
    <n v="133300"/>
  </r>
  <r>
    <n v="13365"/>
    <n v="13366"/>
    <x v="0"/>
    <s v="NY-00130"/>
    <s v="NEW Y0RK"/>
    <n v="10038"/>
    <s v="NEW YORK"/>
    <s v="NY"/>
    <n v="4050"/>
    <n v="0"/>
    <n v="4050"/>
    <n v="0"/>
    <n v="0"/>
    <n v="0"/>
  </r>
  <r>
    <n v="13365"/>
    <n v="13366"/>
    <x v="0"/>
    <s v="NY-00130"/>
    <s v="NEW YORK"/>
    <n v="10454"/>
    <s v="BRONX"/>
    <s v="NY"/>
    <n v="240528"/>
    <n v="207241"/>
    <n v="33287"/>
    <n v="21300"/>
    <n v="0"/>
    <n v="21300"/>
  </r>
  <r>
    <n v="13365"/>
    <n v="13366"/>
    <x v="0"/>
    <s v="NY-00130"/>
    <s v="NEW YORK"/>
    <n v="10005"/>
    <s v="KINGS"/>
    <s v="NY"/>
    <n v="307572"/>
    <n v="11426"/>
    <n v="296146"/>
    <n v="600000"/>
    <n v="0"/>
    <n v="254200"/>
  </r>
  <r>
    <n v="13365"/>
    <n v="13366"/>
    <x v="0"/>
    <s v="NY-00130"/>
    <s v="NEW YORK"/>
    <n v="10009"/>
    <s v="KINGS"/>
    <s v="NY"/>
    <n v="61483"/>
    <n v="28143"/>
    <n v="33340"/>
    <n v="0"/>
    <n v="0"/>
    <n v="0"/>
  </r>
  <r>
    <n v="13365"/>
    <n v="13366"/>
    <x v="0"/>
    <s v="NY-00130"/>
    <s v="NEW YORK"/>
    <n v="10014"/>
    <s v="KINGS"/>
    <s v="NY"/>
    <n v="198104"/>
    <n v="37004"/>
    <n v="161100"/>
    <n v="26400"/>
    <n v="0"/>
    <n v="26400"/>
  </r>
  <r>
    <n v="13365"/>
    <n v="13366"/>
    <x v="0"/>
    <s v="NY-00130"/>
    <s v="NEW YORK"/>
    <n v="10038"/>
    <s v="KINGS"/>
    <s v="NY"/>
    <n v="0"/>
    <n v="0"/>
    <n v="0"/>
    <n v="1100"/>
    <n v="0"/>
    <n v="0"/>
  </r>
  <r>
    <n v="13365"/>
    <n v="13366"/>
    <x v="0"/>
    <s v="NY-00130"/>
    <s v="NEW YORK"/>
    <n v="11231"/>
    <s v="KINGS"/>
    <s v="NY"/>
    <n v="49575"/>
    <n v="2645"/>
    <n v="46930"/>
    <n v="0"/>
    <n v="0"/>
    <n v="0"/>
  </r>
  <r>
    <n v="13365"/>
    <n v="13366"/>
    <x v="0"/>
    <s v="NY-00130"/>
    <s v="NEW YORK"/>
    <n v="10001"/>
    <s v="NEW YORK"/>
    <s v="NY"/>
    <n v="2805222"/>
    <n v="1780782"/>
    <n v="1024440"/>
    <n v="1837700"/>
    <n v="306600"/>
    <n v="401700"/>
  </r>
  <r>
    <n v="13365"/>
    <n v="13366"/>
    <x v="0"/>
    <s v="NY-00130"/>
    <s v="NEW YORK"/>
    <n v="10002"/>
    <s v="NEW YORK"/>
    <s v="NY"/>
    <n v="5065497"/>
    <n v="4002646"/>
    <n v="1062851"/>
    <n v="754600"/>
    <n v="52200"/>
    <n v="432600"/>
  </r>
  <r>
    <n v="13365"/>
    <n v="13366"/>
    <x v="0"/>
    <s v="NY-00130"/>
    <s v="NEW YORK"/>
    <n v="10003"/>
    <s v="NEW YORK"/>
    <s v="NY"/>
    <n v="213797"/>
    <n v="59896"/>
    <n v="153901"/>
    <n v="268800"/>
    <n v="2800"/>
    <n v="9200"/>
  </r>
  <r>
    <n v="13365"/>
    <n v="13366"/>
    <x v="0"/>
    <s v="NY-00130"/>
    <s v="NEW YORK"/>
    <n v="10004"/>
    <s v="NEW YORK"/>
    <s v="NY"/>
    <n v="11956602"/>
    <n v="9412961"/>
    <n v="2543641"/>
    <n v="2297600"/>
    <n v="453500"/>
    <n v="571900"/>
  </r>
  <r>
    <n v="13365"/>
    <n v="13366"/>
    <x v="0"/>
    <s v="NY-00130"/>
    <s v="NEW YORK"/>
    <n v="10005"/>
    <s v="NEW YORK"/>
    <s v="NY"/>
    <n v="8195727"/>
    <n v="6898041"/>
    <n v="1297686"/>
    <n v="1555600"/>
    <n v="565400"/>
    <n v="645700"/>
  </r>
  <r>
    <n v="13365"/>
    <n v="13366"/>
    <x v="0"/>
    <s v="NY-00130"/>
    <s v="NEW YORK"/>
    <n v="10006"/>
    <s v="NEW YORK"/>
    <s v="NY"/>
    <n v="3664633"/>
    <n v="1893968"/>
    <n v="1770665"/>
    <n v="416000"/>
    <n v="67600"/>
    <n v="170200"/>
  </r>
  <r>
    <n v="13365"/>
    <n v="13366"/>
    <x v="0"/>
    <s v="NY-00130"/>
    <s v="NEW YORK"/>
    <n v="10007"/>
    <s v="NEW YORK"/>
    <s v="NY"/>
    <n v="2606432"/>
    <n v="2099244"/>
    <n v="507188"/>
    <n v="325900"/>
    <n v="7000"/>
    <n v="4100"/>
  </r>
  <r>
    <n v="13365"/>
    <n v="13366"/>
    <x v="0"/>
    <s v="NY-00130"/>
    <s v="NEW YORK"/>
    <n v="10009"/>
    <s v="NEW YORK"/>
    <s v="NY"/>
    <n v="4850683"/>
    <n v="3511793"/>
    <n v="1338890"/>
    <n v="1434100"/>
    <n v="491200"/>
    <n v="452900"/>
  </r>
  <r>
    <n v="13365"/>
    <n v="13366"/>
    <x v="0"/>
    <s v="NY-00130"/>
    <s v="NEW YORK"/>
    <n v="10010"/>
    <s v="NEW YORK"/>
    <s v="NY"/>
    <n v="1063519"/>
    <n v="859818"/>
    <n v="203701"/>
    <n v="239500"/>
    <n v="30000"/>
    <n v="0"/>
  </r>
  <r>
    <n v="13365"/>
    <n v="13366"/>
    <x v="0"/>
    <s v="NY-00130"/>
    <s v="NEW YORK"/>
    <n v="10011"/>
    <s v="NEW YORK"/>
    <s v="NY"/>
    <n v="3808172"/>
    <n v="2679547"/>
    <n v="1128625"/>
    <n v="1920400"/>
    <n v="816600"/>
    <n v="178900"/>
  </r>
  <r>
    <n v="13365"/>
    <n v="13366"/>
    <x v="0"/>
    <s v="NY-00130"/>
    <s v="NEW YORK"/>
    <n v="10012"/>
    <s v="NEW YORK"/>
    <s v="NY"/>
    <n v="310984"/>
    <n v="100455"/>
    <n v="210529"/>
    <n v="1063800"/>
    <n v="4300"/>
    <n v="45700"/>
  </r>
  <r>
    <n v="13365"/>
    <n v="13366"/>
    <x v="0"/>
    <s v="NY-00130"/>
    <s v="NEW YORK"/>
    <n v="10013"/>
    <s v="NEW YORK"/>
    <s v="NY"/>
    <n v="12533838"/>
    <n v="9851890"/>
    <n v="2681948"/>
    <n v="3302700"/>
    <n v="1097000"/>
    <n v="1165800"/>
  </r>
  <r>
    <n v="13365"/>
    <n v="13366"/>
    <x v="0"/>
    <s v="NY-00130"/>
    <s v="NEW YORK"/>
    <n v="10014"/>
    <s v="NEW YORK"/>
    <s v="NY"/>
    <n v="11567153"/>
    <n v="8632681"/>
    <n v="2934472"/>
    <n v="3239500"/>
    <n v="2187200"/>
    <n v="354000"/>
  </r>
  <r>
    <n v="13365"/>
    <n v="13366"/>
    <x v="0"/>
    <s v="NY-00130"/>
    <s v="NEW YORK"/>
    <n v="10016"/>
    <s v="NEW YORK"/>
    <s v="NY"/>
    <n v="7025864"/>
    <n v="2132396"/>
    <n v="4893468"/>
    <n v="524600"/>
    <n v="30500"/>
    <n v="30400"/>
  </r>
  <r>
    <n v="13365"/>
    <n v="13366"/>
    <x v="0"/>
    <s v="NY-00130"/>
    <s v="NEW YORK"/>
    <n v="10017"/>
    <s v="NEW YORK"/>
    <s v="NY"/>
    <n v="7000"/>
    <n v="0"/>
    <n v="7000"/>
    <n v="64200"/>
    <n v="0"/>
    <n v="0"/>
  </r>
  <r>
    <n v="13365"/>
    <n v="13366"/>
    <x v="0"/>
    <s v="NY-00130"/>
    <s v="NEW YORK"/>
    <n v="10018"/>
    <s v="NEW YORK"/>
    <s v="NY"/>
    <n v="68159"/>
    <n v="8541"/>
    <n v="59618"/>
    <n v="498400"/>
    <n v="0"/>
    <n v="0"/>
  </r>
  <r>
    <n v="13365"/>
    <n v="13366"/>
    <x v="0"/>
    <s v="NY-00130"/>
    <s v="NEW YORK"/>
    <n v="10019"/>
    <s v="NEW YORK"/>
    <s v="NY"/>
    <n v="163388"/>
    <n v="66854"/>
    <n v="96534"/>
    <n v="71500"/>
    <n v="0"/>
    <n v="71500"/>
  </r>
  <r>
    <n v="13365"/>
    <n v="13366"/>
    <x v="0"/>
    <s v="NY-00130"/>
    <s v="NEW YORK"/>
    <n v="10022"/>
    <s v="NEW YORK"/>
    <s v="NY"/>
    <n v="70594"/>
    <n v="0"/>
    <n v="70594"/>
    <n v="22200"/>
    <n v="0"/>
    <n v="0"/>
  </r>
  <r>
    <n v="13365"/>
    <n v="13366"/>
    <x v="0"/>
    <s v="NY-00130"/>
    <s v="NEW YORK"/>
    <n v="10023"/>
    <s v="NEW YORK"/>
    <s v="NY"/>
    <n v="0"/>
    <n v="0"/>
    <n v="0"/>
    <n v="24700"/>
    <n v="0"/>
    <n v="0"/>
  </r>
  <r>
    <n v="13365"/>
    <n v="13366"/>
    <x v="0"/>
    <s v="NY-00130"/>
    <s v="NEW YORK"/>
    <n v="10024"/>
    <s v="NEW YORK"/>
    <s v="NY"/>
    <n v="52975"/>
    <n v="0"/>
    <n v="52975"/>
    <n v="0"/>
    <n v="0"/>
    <n v="0"/>
  </r>
  <r>
    <n v="13365"/>
    <n v="13366"/>
    <x v="0"/>
    <s v="NY-00130"/>
    <s v="NEW YORK"/>
    <n v="10025"/>
    <s v="NEW YORK"/>
    <s v="NY"/>
    <n v="0"/>
    <n v="0"/>
    <n v="0"/>
    <n v="90600"/>
    <n v="0"/>
    <n v="0"/>
  </r>
  <r>
    <n v="13365"/>
    <n v="13366"/>
    <x v="0"/>
    <s v="NY-00130"/>
    <s v="NEW YORK"/>
    <n v="10026"/>
    <s v="NEW YORK"/>
    <s v="NY"/>
    <n v="19980"/>
    <n v="9280"/>
    <n v="10700"/>
    <n v="0"/>
    <n v="0"/>
    <n v="0"/>
  </r>
  <r>
    <n v="13365"/>
    <n v="13366"/>
    <x v="0"/>
    <s v="NY-00130"/>
    <s v="NEW YORK"/>
    <n v="10029"/>
    <s v="NEW YORK"/>
    <s v="NY"/>
    <n v="70995"/>
    <n v="43820"/>
    <n v="27175"/>
    <n v="28900"/>
    <n v="2900"/>
    <n v="19000"/>
  </r>
  <r>
    <n v="13365"/>
    <n v="13366"/>
    <x v="0"/>
    <s v="NY-00130"/>
    <s v="NEW YORK"/>
    <n v="10030"/>
    <s v="NEW YORK"/>
    <s v="NY"/>
    <n v="14406"/>
    <n v="14406"/>
    <n v="0"/>
    <n v="17600"/>
    <n v="14000"/>
    <n v="0"/>
  </r>
  <r>
    <n v="13365"/>
    <n v="13366"/>
    <x v="0"/>
    <s v="NY-00130"/>
    <s v="NEW YORK"/>
    <n v="10031"/>
    <s v="NEW YORK"/>
    <s v="NY"/>
    <n v="22116"/>
    <n v="17116"/>
    <n v="5000"/>
    <n v="0"/>
    <n v="0"/>
    <n v="0"/>
  </r>
  <r>
    <n v="13365"/>
    <n v="13366"/>
    <x v="0"/>
    <s v="NY-00130"/>
    <s v="NEW YORK"/>
    <n v="10032"/>
    <s v="NEW YORK"/>
    <s v="NY"/>
    <n v="1000"/>
    <n v="0"/>
    <n v="1000"/>
    <n v="4500"/>
    <n v="0"/>
    <n v="1000"/>
  </r>
  <r>
    <n v="13365"/>
    <n v="13366"/>
    <x v="0"/>
    <s v="NY-00130"/>
    <s v="NEW YORK"/>
    <n v="10034"/>
    <s v="NEW YORK"/>
    <s v="NY"/>
    <n v="335736"/>
    <n v="219760"/>
    <n v="115976"/>
    <n v="0"/>
    <n v="0"/>
    <n v="0"/>
  </r>
  <r>
    <n v="13365"/>
    <n v="13366"/>
    <x v="0"/>
    <s v="NY-00130"/>
    <s v="NEW YORK"/>
    <n v="10036"/>
    <s v="NEW YORK"/>
    <s v="NY"/>
    <n v="2406154"/>
    <n v="1640018"/>
    <n v="766136"/>
    <n v="841500"/>
    <n v="461500"/>
    <n v="281600"/>
  </r>
  <r>
    <n v="13365"/>
    <n v="13366"/>
    <x v="0"/>
    <s v="NY-00130"/>
    <s v="NEW YORK"/>
    <n v="10037"/>
    <s v="NEW YORK"/>
    <s v="NY"/>
    <n v="281787"/>
    <n v="218436"/>
    <n v="63351"/>
    <n v="0"/>
    <n v="0"/>
    <n v="0"/>
  </r>
  <r>
    <n v="13365"/>
    <n v="13366"/>
    <x v="0"/>
    <s v="NY-00130"/>
    <s v="NEW YORK"/>
    <n v="10038"/>
    <s v="NEW YORK"/>
    <s v="NY"/>
    <n v="10666342"/>
    <n v="5955742"/>
    <n v="4710600"/>
    <n v="4732300"/>
    <n v="933600"/>
    <n v="1944600"/>
  </r>
  <r>
    <n v="13365"/>
    <n v="13366"/>
    <x v="0"/>
    <s v="NY-00130"/>
    <s v="NEW YORK"/>
    <n v="10039"/>
    <s v="NEW YORK"/>
    <s v="NY"/>
    <n v="30164"/>
    <n v="29864"/>
    <n v="300"/>
    <n v="0"/>
    <n v="0"/>
    <n v="0"/>
  </r>
  <r>
    <n v="13365"/>
    <n v="13366"/>
    <x v="0"/>
    <s v="NY-00130"/>
    <s v="NEW YORK"/>
    <n v="10069"/>
    <s v="NEW YORK"/>
    <s v="NY"/>
    <n v="10158"/>
    <n v="2958"/>
    <n v="7200"/>
    <n v="0"/>
    <n v="0"/>
    <n v="0"/>
  </r>
  <r>
    <n v="13365"/>
    <n v="13366"/>
    <x v="0"/>
    <s v="NY-00130"/>
    <s v="NEW YORK"/>
    <n v="10128"/>
    <s v="NEW YORK"/>
    <s v="NY"/>
    <n v="133783"/>
    <n v="104328"/>
    <n v="29455"/>
    <n v="0"/>
    <n v="0"/>
    <n v="0"/>
  </r>
  <r>
    <n v="13365"/>
    <n v="13366"/>
    <x v="0"/>
    <s v="NY-00130"/>
    <s v="NEW YORK"/>
    <n v="10177"/>
    <s v="NEW YORK"/>
    <s v="NY"/>
    <n v="19500"/>
    <n v="0"/>
    <n v="19500"/>
    <n v="0"/>
    <n v="0"/>
    <n v="0"/>
  </r>
  <r>
    <n v="13365"/>
    <n v="13366"/>
    <x v="0"/>
    <s v="NY-00130"/>
    <s v="NEW YORK"/>
    <n v="10270"/>
    <s v="NEW YORK"/>
    <s v="NY"/>
    <n v="279210"/>
    <n v="202710"/>
    <n v="76500"/>
    <n v="141000"/>
    <n v="0"/>
    <n v="76500"/>
  </r>
  <r>
    <n v="13365"/>
    <n v="13366"/>
    <x v="0"/>
    <s v="NY-00130"/>
    <s v="NEW YORK"/>
    <n v="10279"/>
    <s v="NEW YORK"/>
    <s v="NY"/>
    <n v="0"/>
    <n v="0"/>
    <n v="0"/>
    <n v="64100"/>
    <n v="0"/>
    <n v="0"/>
  </r>
  <r>
    <n v="13365"/>
    <n v="13366"/>
    <x v="0"/>
    <s v="NY-00130"/>
    <s v="NEW YORK"/>
    <n v="10280"/>
    <s v="NEW YORK"/>
    <s v="NY"/>
    <n v="269634"/>
    <n v="139440"/>
    <n v="130194"/>
    <n v="147700"/>
    <n v="66600"/>
    <n v="81100"/>
  </r>
  <r>
    <n v="13365"/>
    <n v="13366"/>
    <x v="0"/>
    <s v="NY-00130"/>
    <s v="NEW YORK"/>
    <n v="10301"/>
    <s v="NEW YORK"/>
    <s v="NY"/>
    <n v="710311"/>
    <n v="688724"/>
    <n v="21587"/>
    <n v="0"/>
    <n v="0"/>
    <n v="0"/>
  </r>
  <r>
    <n v="13365"/>
    <n v="13366"/>
    <x v="0"/>
    <s v="NY-00130"/>
    <s v="NEW YORK"/>
    <n v="10583"/>
    <s v="NEW YORK"/>
    <s v="NY"/>
    <n v="18915"/>
    <n v="9135"/>
    <n v="9780"/>
    <n v="66500"/>
    <n v="0"/>
    <n v="9800"/>
  </r>
  <r>
    <n v="13365"/>
    <n v="13366"/>
    <x v="0"/>
    <s v="NY-00130"/>
    <s v="NEW YORK"/>
    <n v="11231"/>
    <s v="NEW YORK"/>
    <s v="NY"/>
    <n v="1023304"/>
    <n v="242005"/>
    <n v="781299"/>
    <n v="471300"/>
    <n v="0"/>
    <n v="471300"/>
  </r>
  <r>
    <n v="13365"/>
    <n v="13366"/>
    <x v="0"/>
    <s v="NY-00130"/>
    <s v="NEW YORK"/>
    <n v="10016"/>
    <s v="QUEENS"/>
    <s v="NY"/>
    <n v="25000"/>
    <n v="0"/>
    <n v="25000"/>
    <n v="0"/>
    <n v="0"/>
    <n v="0"/>
  </r>
  <r>
    <n v="13365"/>
    <n v="13366"/>
    <x v="0"/>
    <s v="NY-00130"/>
    <s v="NEW YORK"/>
    <n v="11414"/>
    <s v="QUEENS"/>
    <s v="NY"/>
    <n v="32791"/>
    <n v="31691"/>
    <n v="1100"/>
    <n v="30800"/>
    <n v="29700"/>
    <n v="1100"/>
  </r>
  <r>
    <n v="13365"/>
    <n v="13366"/>
    <x v="0"/>
    <s v="NY-00130"/>
    <s v="NEW YORK CITY"/>
    <n v="10474"/>
    <s v="BRONX"/>
    <s v="NY"/>
    <n v="1282554"/>
    <n v="1282554"/>
    <n v="0"/>
    <n v="0"/>
    <n v="0"/>
    <n v="0"/>
  </r>
  <r>
    <n v="13365"/>
    <n v="13366"/>
    <x v="0"/>
    <s v="NY-00130"/>
    <s v="NEW YORK CITY"/>
    <n v="10002"/>
    <s v="NEW YORK"/>
    <s v="NY"/>
    <n v="12000"/>
    <n v="0"/>
    <n v="12000"/>
    <n v="48000"/>
    <n v="0"/>
    <n v="12000"/>
  </r>
  <r>
    <n v="13365"/>
    <n v="13366"/>
    <x v="0"/>
    <s v="NY-00130"/>
    <s v="NEW YORK CITY"/>
    <n v="10011"/>
    <s v="NEW YORK"/>
    <s v="NY"/>
    <n v="3707900"/>
    <n v="0"/>
    <n v="3707900"/>
    <n v="0"/>
    <n v="0"/>
    <n v="0"/>
  </r>
  <r>
    <n v="13365"/>
    <n v="13366"/>
    <x v="0"/>
    <s v="NY-00130"/>
    <s v="NEW YORK CITY"/>
    <n v="10012"/>
    <s v="NEW YORK"/>
    <s v="NY"/>
    <n v="12000"/>
    <n v="0"/>
    <n v="12000"/>
    <n v="0"/>
    <n v="0"/>
    <n v="0"/>
  </r>
  <r>
    <n v="13365"/>
    <n v="13366"/>
    <x v="0"/>
    <s v="NY-00130"/>
    <s v="NEW YORK CITY"/>
    <n v="10014"/>
    <s v="NEW YORK"/>
    <s v="NY"/>
    <n v="143070"/>
    <n v="69165"/>
    <n v="73905"/>
    <n v="0"/>
    <n v="0"/>
    <n v="0"/>
  </r>
  <r>
    <n v="13365"/>
    <n v="13366"/>
    <x v="0"/>
    <s v="NY-00130"/>
    <s v="NEW YORK CITY"/>
    <n v="10032"/>
    <s v="NEW YORK"/>
    <s v="NY"/>
    <n v="10336"/>
    <n v="10336"/>
    <n v="0"/>
    <n v="0"/>
    <n v="0"/>
    <n v="0"/>
  </r>
  <r>
    <n v="13365"/>
    <n v="13366"/>
    <x v="0"/>
    <s v="NY-00130"/>
    <s v="NEWBURGH"/>
    <n v="12550"/>
    <s v="ORANGE"/>
    <s v="NY"/>
    <n v="122743"/>
    <n v="117483"/>
    <n v="5260"/>
    <n v="122800"/>
    <n v="117500"/>
    <n v="5300"/>
  </r>
  <r>
    <n v="13365"/>
    <n v="13366"/>
    <x v="0"/>
    <s v="NY-00130"/>
    <s v="NEWYORK"/>
    <n v="10002"/>
    <s v="NEW YORK"/>
    <s v="NY"/>
    <n v="7000"/>
    <n v="0"/>
    <n v="7000"/>
    <n v="0"/>
    <n v="0"/>
    <n v="0"/>
  </r>
  <r>
    <n v="13365"/>
    <n v="13366"/>
    <x v="0"/>
    <s v="NY-00130"/>
    <s v="NEWYORK"/>
    <n v="10010"/>
    <s v="NEW YORK"/>
    <s v="NY"/>
    <n v="154405"/>
    <n v="131670"/>
    <n v="22735"/>
    <n v="0"/>
    <n v="0"/>
    <n v="0"/>
  </r>
  <r>
    <n v="13365"/>
    <n v="13366"/>
    <x v="0"/>
    <s v="NY-00130"/>
    <s v="NORTH BABYLON"/>
    <n v="11703"/>
    <s v="SUFFOLK"/>
    <s v="NY"/>
    <n v="7735"/>
    <n v="0"/>
    <n v="7735"/>
    <n v="0"/>
    <n v="0"/>
    <n v="0"/>
  </r>
  <r>
    <n v="13365"/>
    <n v="13366"/>
    <x v="0"/>
    <s v="NY-00130"/>
    <s v="NORTH BALDWIN"/>
    <n v="11510"/>
    <s v="NASSAU"/>
    <s v="NY"/>
    <n v="7000"/>
    <n v="0"/>
    <n v="7000"/>
    <n v="0"/>
    <n v="0"/>
    <n v="0"/>
  </r>
  <r>
    <n v="13365"/>
    <n v="13366"/>
    <x v="0"/>
    <s v="NY-00130"/>
    <s v="NORTH BELLMORE"/>
    <n v="11710"/>
    <s v="NASSAU"/>
    <s v="NY"/>
    <n v="21790"/>
    <n v="1740"/>
    <n v="20050"/>
    <n v="31000"/>
    <n v="0"/>
    <n v="20000"/>
  </r>
  <r>
    <n v="13365"/>
    <n v="13366"/>
    <x v="0"/>
    <s v="NY-00130"/>
    <s v="NORTH MERRICK"/>
    <n v="11566"/>
    <s v="NASSAU"/>
    <s v="NY"/>
    <n v="0"/>
    <n v="0"/>
    <n v="0"/>
    <n v="16300"/>
    <n v="0"/>
    <n v="0"/>
  </r>
  <r>
    <n v="13365"/>
    <n v="13366"/>
    <x v="0"/>
    <s v="NY-00130"/>
    <s v="NORTH SALEM"/>
    <n v="10560"/>
    <s v="WESTCHESTER"/>
    <s v="NY"/>
    <n v="1000"/>
    <n v="0"/>
    <n v="1000"/>
    <n v="0"/>
    <n v="0"/>
    <n v="0"/>
  </r>
  <r>
    <n v="13365"/>
    <n v="13366"/>
    <x v="0"/>
    <s v="NY-00130"/>
    <s v="NORTH WOODMERE"/>
    <n v="11581"/>
    <s v="NASSAU"/>
    <s v="NY"/>
    <n v="533190"/>
    <n v="68093"/>
    <n v="465097"/>
    <n v="372400"/>
    <n v="14800"/>
    <n v="357600"/>
  </r>
  <r>
    <n v="13365"/>
    <n v="13366"/>
    <x v="0"/>
    <s v="NY-00130"/>
    <s v="NORTHPORT"/>
    <n v="11725"/>
    <s v="SUFFOLK"/>
    <s v="NY"/>
    <n v="51500"/>
    <n v="35449"/>
    <n v="16051"/>
    <n v="0"/>
    <n v="0"/>
    <n v="0"/>
  </r>
  <r>
    <n v="13365"/>
    <n v="13366"/>
    <x v="0"/>
    <s v="NY-00130"/>
    <s v="NORTHPORT"/>
    <n v="11768"/>
    <s v="SUFFOLK"/>
    <s v="NY"/>
    <n v="20291"/>
    <n v="14616"/>
    <n v="5675"/>
    <n v="145000"/>
    <n v="0"/>
    <n v="5700"/>
  </r>
  <r>
    <n v="13365"/>
    <n v="13366"/>
    <x v="0"/>
    <s v="NY-00130"/>
    <s v="NY"/>
    <n v="10001"/>
    <s v="NEW YORK"/>
    <s v="NY"/>
    <n v="124601"/>
    <n v="0"/>
    <n v="124601"/>
    <n v="166500"/>
    <n v="0"/>
    <n v="124700"/>
  </r>
  <r>
    <n v="13365"/>
    <n v="13366"/>
    <x v="0"/>
    <s v="NY-00130"/>
    <s v="NY"/>
    <n v="10002"/>
    <s v="NEW YORK"/>
    <s v="NY"/>
    <n v="8000"/>
    <n v="0"/>
    <n v="8000"/>
    <n v="0"/>
    <n v="0"/>
    <n v="0"/>
  </r>
  <r>
    <n v="13365"/>
    <n v="13366"/>
    <x v="0"/>
    <s v="NY-00130"/>
    <s v="NY"/>
    <n v="10003"/>
    <s v="NEW YORK"/>
    <s v="NY"/>
    <n v="5100"/>
    <n v="0"/>
    <n v="5100"/>
    <n v="68500"/>
    <n v="0"/>
    <n v="5100"/>
  </r>
  <r>
    <n v="13365"/>
    <n v="13366"/>
    <x v="0"/>
    <s v="NY-00130"/>
    <s v="NY"/>
    <n v="10007"/>
    <s v="NEW YORK"/>
    <s v="NY"/>
    <n v="12500"/>
    <n v="0"/>
    <n v="12500"/>
    <n v="144000"/>
    <n v="0"/>
    <n v="0"/>
  </r>
  <r>
    <n v="13365"/>
    <n v="13366"/>
    <x v="0"/>
    <s v="NY-00130"/>
    <s v="NY"/>
    <n v="10014"/>
    <s v="NEW YORK"/>
    <s v="NY"/>
    <n v="2050"/>
    <n v="0"/>
    <n v="2050"/>
    <n v="0"/>
    <n v="0"/>
    <n v="0"/>
  </r>
  <r>
    <n v="13365"/>
    <n v="13366"/>
    <x v="0"/>
    <s v="NY-00130"/>
    <s v="NY"/>
    <n v="10016"/>
    <s v="NEW YORK"/>
    <s v="NY"/>
    <n v="22787"/>
    <n v="10874"/>
    <n v="11913"/>
    <n v="0"/>
    <n v="0"/>
    <n v="0"/>
  </r>
  <r>
    <n v="13365"/>
    <n v="13366"/>
    <x v="0"/>
    <s v="NY-00130"/>
    <s v="NY"/>
    <n v="10036"/>
    <s v="NEW YORK"/>
    <s v="NY"/>
    <n v="29500"/>
    <n v="0"/>
    <n v="29500"/>
    <n v="0"/>
    <n v="0"/>
    <n v="0"/>
  </r>
  <r>
    <n v="13365"/>
    <n v="13366"/>
    <x v="0"/>
    <s v="NY-00130"/>
    <s v="NY"/>
    <n v="10038"/>
    <s v="NEW YORK"/>
    <s v="NY"/>
    <n v="525676"/>
    <n v="461161"/>
    <n v="64515"/>
    <n v="0"/>
    <n v="0"/>
    <n v="0"/>
  </r>
  <r>
    <n v="13365"/>
    <n v="13366"/>
    <x v="0"/>
    <s v="NY-00130"/>
    <s v="NYACK"/>
    <n v="10960"/>
    <s v="ROCKLAND"/>
    <s v="NY"/>
    <n v="2232551"/>
    <n v="2114860"/>
    <n v="117691"/>
    <n v="391200"/>
    <n v="323300"/>
    <n v="67900"/>
  </r>
  <r>
    <n v="13365"/>
    <n v="13366"/>
    <x v="0"/>
    <s v="NY-00130"/>
    <s v="NYC"/>
    <n v="10003"/>
    <s v="NEW YORK"/>
    <s v="NY"/>
    <n v="0"/>
    <n v="0"/>
    <n v="0"/>
    <n v="103800"/>
    <n v="0"/>
    <n v="0"/>
  </r>
  <r>
    <n v="13365"/>
    <n v="13366"/>
    <x v="0"/>
    <s v="NY-00130"/>
    <s v="NYC"/>
    <n v="10029"/>
    <s v="NEW YORK"/>
    <s v="NY"/>
    <n v="203459"/>
    <n v="188459"/>
    <n v="15000"/>
    <n v="0"/>
    <n v="0"/>
    <n v="0"/>
  </r>
  <r>
    <n v="13365"/>
    <n v="13366"/>
    <x v="0"/>
    <s v="NY-00130"/>
    <s v="OAK BEACH"/>
    <n v="11702"/>
    <s v="SUFFOLK"/>
    <s v="NY"/>
    <n v="5500"/>
    <n v="0"/>
    <n v="5500"/>
    <n v="0"/>
    <n v="0"/>
    <n v="0"/>
  </r>
  <r>
    <n v="13365"/>
    <n v="13366"/>
    <x v="0"/>
    <s v="NY-00130"/>
    <s v="OAKDALE"/>
    <n v="11769"/>
    <s v="SUFFOLK"/>
    <s v="NY"/>
    <n v="62360"/>
    <n v="55535"/>
    <n v="6825"/>
    <n v="58100"/>
    <n v="19300"/>
    <n v="600"/>
  </r>
  <r>
    <n v="13365"/>
    <n v="13366"/>
    <x v="0"/>
    <s v="NY-00130"/>
    <s v="OAKLAND GARDENS"/>
    <n v="11364"/>
    <s v="QUEENS"/>
    <s v="NY"/>
    <n v="21961"/>
    <n v="0"/>
    <n v="21961"/>
    <n v="0"/>
    <n v="0"/>
    <n v="0"/>
  </r>
  <r>
    <n v="13365"/>
    <n v="13366"/>
    <x v="0"/>
    <s v="NY-00130"/>
    <s v="OCEAN BAY PARK"/>
    <n v="11770"/>
    <s v="SUFFOLK"/>
    <s v="NY"/>
    <n v="657360"/>
    <n v="634820"/>
    <n v="22540"/>
    <n v="70400"/>
    <n v="70400"/>
    <n v="0"/>
  </r>
  <r>
    <n v="13365"/>
    <n v="13366"/>
    <x v="0"/>
    <s v="NY-00130"/>
    <s v="OCEAN BAY PARK, FIRE ISLAND"/>
    <n v="11770"/>
    <s v="SUFFOLK"/>
    <s v="NY"/>
    <n v="448489"/>
    <n v="414189"/>
    <n v="34300"/>
    <n v="0"/>
    <n v="0"/>
    <n v="0"/>
  </r>
  <r>
    <n v="13365"/>
    <n v="13366"/>
    <x v="0"/>
    <s v="NY-00130"/>
    <s v="OCEAN BEACH"/>
    <n v="11770"/>
    <s v="SUFFOLK"/>
    <s v="NY"/>
    <n v="2245273"/>
    <n v="1563004"/>
    <n v="682269"/>
    <n v="1105500"/>
    <n v="616200"/>
    <n v="264700"/>
  </r>
  <r>
    <n v="13365"/>
    <n v="13366"/>
    <x v="0"/>
    <s v="NY-00130"/>
    <s v="OCEAN SIDE"/>
    <n v="11572"/>
    <s v="NASSAU"/>
    <s v="NY"/>
    <n v="443281"/>
    <n v="66492"/>
    <n v="376789"/>
    <n v="0"/>
    <n v="0"/>
    <n v="0"/>
  </r>
  <r>
    <n v="13365"/>
    <n v="13366"/>
    <x v="0"/>
    <s v="NY-00130"/>
    <s v="OCEANSDE"/>
    <n v="11572"/>
    <s v="NASSAU"/>
    <s v="NY"/>
    <n v="11100"/>
    <n v="0"/>
    <n v="11100"/>
    <n v="0"/>
    <n v="0"/>
    <n v="0"/>
  </r>
  <r>
    <n v="13365"/>
    <n v="13366"/>
    <x v="0"/>
    <s v="NY-00130"/>
    <s v="OCEANSIDE"/>
    <n v="11510"/>
    <s v="NASSAU"/>
    <s v="NY"/>
    <n v="74732"/>
    <n v="43746"/>
    <n v="30986"/>
    <n v="19000"/>
    <n v="8500"/>
    <n v="5500"/>
  </r>
  <r>
    <n v="13365"/>
    <n v="13366"/>
    <x v="0"/>
    <s v="NY-00130"/>
    <s v="OCEANSIDE"/>
    <n v="11518"/>
    <s v="NASSAU"/>
    <s v="NY"/>
    <n v="312467"/>
    <n v="288217"/>
    <n v="24250"/>
    <n v="0"/>
    <n v="0"/>
    <n v="0"/>
  </r>
  <r>
    <n v="13365"/>
    <n v="13366"/>
    <x v="0"/>
    <s v="NY-00130"/>
    <s v="OCEANSIDE"/>
    <n v="11554"/>
    <s v="NASSAU"/>
    <s v="NY"/>
    <n v="219703"/>
    <n v="65253"/>
    <n v="154450"/>
    <n v="332700"/>
    <n v="58000"/>
    <n v="154500"/>
  </r>
  <r>
    <n v="13365"/>
    <n v="13366"/>
    <x v="0"/>
    <s v="NY-00130"/>
    <s v="OCEANSIDE"/>
    <n v="11570"/>
    <s v="NASSAU"/>
    <s v="NY"/>
    <n v="30199"/>
    <n v="10599"/>
    <n v="19600"/>
    <n v="0"/>
    <n v="0"/>
    <n v="0"/>
  </r>
  <r>
    <n v="13365"/>
    <n v="13366"/>
    <x v="0"/>
    <s v="NY-00130"/>
    <s v="OCEANSIDE"/>
    <n v="11572"/>
    <s v="NASSAU"/>
    <s v="NY"/>
    <n v="24271984"/>
    <n v="9328552"/>
    <n v="14943432"/>
    <n v="10829600"/>
    <n v="2341300"/>
    <n v="6297800"/>
  </r>
  <r>
    <n v="13365"/>
    <n v="13366"/>
    <x v="0"/>
    <s v="NY-00130"/>
    <s v="OCEANSIDE NEW YORK"/>
    <n v="11572"/>
    <s v="NASSAU"/>
    <s v="NY"/>
    <n v="204082"/>
    <n v="165757"/>
    <n v="38325"/>
    <n v="0"/>
    <n v="0"/>
    <n v="0"/>
  </r>
  <r>
    <n v="13365"/>
    <n v="13366"/>
    <x v="0"/>
    <s v="NY-00130"/>
    <s v="OLD BETHPAGE"/>
    <n v="11804"/>
    <s v="NASSAU"/>
    <s v="NY"/>
    <n v="303478"/>
    <n v="295854"/>
    <n v="7624"/>
    <n v="0"/>
    <n v="0"/>
    <n v="0"/>
  </r>
  <r>
    <n v="13365"/>
    <n v="13366"/>
    <x v="0"/>
    <s v="NY-00130"/>
    <s v="ORIENT"/>
    <n v="11957"/>
    <s v="SUFFOLK"/>
    <s v="NY"/>
    <n v="119747"/>
    <n v="118687"/>
    <n v="1060"/>
    <n v="0"/>
    <n v="0"/>
    <n v="0"/>
  </r>
  <r>
    <n v="13365"/>
    <n v="13366"/>
    <x v="0"/>
    <s v="NY-00130"/>
    <s v="OSSINING"/>
    <n v="10562"/>
    <s v="WESTCHESTER"/>
    <s v="NY"/>
    <n v="250969"/>
    <n v="244669"/>
    <n v="6300"/>
    <n v="0"/>
    <n v="0"/>
    <n v="0"/>
  </r>
  <r>
    <n v="13365"/>
    <n v="13366"/>
    <x v="0"/>
    <s v="NY-00130"/>
    <s v="OYSTER BAY"/>
    <n v="11771"/>
    <s v="NASSAU"/>
    <s v="NY"/>
    <n v="5000"/>
    <n v="0"/>
    <n v="5000"/>
    <n v="0"/>
    <n v="0"/>
    <n v="0"/>
  </r>
  <r>
    <n v="13365"/>
    <n v="13366"/>
    <x v="0"/>
    <s v="NY-00130"/>
    <s v="OYSTER BAY COVE"/>
    <n v="11771"/>
    <s v="NASSAU"/>
    <s v="NY"/>
    <n v="19861"/>
    <n v="19861"/>
    <n v="0"/>
    <n v="0"/>
    <n v="0"/>
    <n v="0"/>
  </r>
  <r>
    <n v="13365"/>
    <n v="13366"/>
    <x v="0"/>
    <s v="NY-00130"/>
    <s v="OZONE PARK"/>
    <n v="11414"/>
    <s v="QUEENS"/>
    <s v="NY"/>
    <n v="5000"/>
    <n v="0"/>
    <n v="5000"/>
    <n v="0"/>
    <n v="0"/>
    <n v="0"/>
  </r>
  <r>
    <n v="13365"/>
    <n v="13366"/>
    <x v="0"/>
    <s v="NY-00130"/>
    <s v="OZONE PARK"/>
    <n v="11416"/>
    <s v="QUEENS"/>
    <s v="NY"/>
    <n v="80782"/>
    <n v="10875"/>
    <n v="69907"/>
    <n v="63000"/>
    <n v="1000"/>
    <n v="50000"/>
  </r>
  <r>
    <n v="13365"/>
    <n v="13366"/>
    <x v="0"/>
    <s v="NY-00130"/>
    <s v="OZONE PARK"/>
    <n v="11417"/>
    <s v="QUEENS"/>
    <s v="NY"/>
    <n v="57900"/>
    <n v="11761"/>
    <n v="46139"/>
    <n v="9300"/>
    <n v="0"/>
    <n v="9300"/>
  </r>
  <r>
    <n v="13365"/>
    <n v="13366"/>
    <x v="0"/>
    <s v="NY-00130"/>
    <s v="PATCHOGUE"/>
    <n v="11772"/>
    <s v="SUFFOLK"/>
    <s v="NY"/>
    <n v="1996774"/>
    <n v="1597045"/>
    <n v="399729"/>
    <n v="880400"/>
    <n v="709200"/>
    <n v="166200"/>
  </r>
  <r>
    <n v="13365"/>
    <n v="13366"/>
    <x v="0"/>
    <s v="NY-00130"/>
    <s v="PATTERSON"/>
    <n v="12563"/>
    <s v="PUTNAM"/>
    <s v="NY"/>
    <n v="82673"/>
    <n v="82673"/>
    <n v="0"/>
    <n v="0"/>
    <n v="0"/>
    <n v="0"/>
  </r>
  <r>
    <n v="13365"/>
    <n v="13366"/>
    <x v="0"/>
    <s v="NY-00130"/>
    <s v="PEARL RIVER"/>
    <n v="10965"/>
    <s v="ROCKLAND"/>
    <s v="NY"/>
    <n v="486927"/>
    <n v="453795"/>
    <n v="33132"/>
    <n v="73100"/>
    <n v="57600"/>
    <n v="15500"/>
  </r>
  <r>
    <n v="13365"/>
    <n v="13366"/>
    <x v="0"/>
    <s v="NY-00130"/>
    <s v="PEEKSKILL"/>
    <n v="10566"/>
    <s v="WESTCHESTER"/>
    <s v="NY"/>
    <n v="42725"/>
    <n v="0"/>
    <n v="42725"/>
    <n v="0"/>
    <n v="0"/>
    <n v="0"/>
  </r>
  <r>
    <n v="13365"/>
    <n v="13366"/>
    <x v="0"/>
    <s v="NY-00130"/>
    <s v="PEEKSKILL"/>
    <n v="10604"/>
    <s v="WESTCHESTER"/>
    <s v="NY"/>
    <n v="18000"/>
    <n v="0"/>
    <n v="18000"/>
    <n v="0"/>
    <n v="0"/>
    <n v="0"/>
  </r>
  <r>
    <n v="13365"/>
    <n v="13366"/>
    <x v="0"/>
    <s v="NY-00130"/>
    <s v="PIERMONT"/>
    <n v="10968"/>
    <s v="ROCKLAND"/>
    <s v="NY"/>
    <n v="1573160"/>
    <n v="1402015"/>
    <n v="171145"/>
    <n v="397900"/>
    <n v="376100"/>
    <n v="12200"/>
  </r>
  <r>
    <n v="13365"/>
    <n v="13366"/>
    <x v="0"/>
    <s v="NY-00130"/>
    <s v="PINE BUSH"/>
    <n v="12566"/>
    <s v="ULSTER"/>
    <s v="NY"/>
    <n v="74016"/>
    <n v="65666"/>
    <n v="8350"/>
    <n v="0"/>
    <n v="0"/>
    <n v="0"/>
  </r>
  <r>
    <n v="13365"/>
    <n v="13366"/>
    <x v="0"/>
    <s v="NY-00130"/>
    <s v="PLAINVIEW"/>
    <n v="11803"/>
    <s v="NASSAU"/>
    <s v="NY"/>
    <n v="916701"/>
    <n v="100210"/>
    <n v="816491"/>
    <n v="655800"/>
    <n v="0"/>
    <n v="195400"/>
  </r>
  <r>
    <n v="13365"/>
    <n v="13366"/>
    <x v="0"/>
    <s v="NY-00130"/>
    <s v="PLEASANTVILLE"/>
    <n v="10570"/>
    <s v="WESTCHESTER"/>
    <s v="NY"/>
    <n v="22000"/>
    <n v="0"/>
    <n v="22000"/>
    <n v="36500"/>
    <n v="0"/>
    <n v="22000"/>
  </r>
  <r>
    <n v="13365"/>
    <n v="13366"/>
    <x v="0"/>
    <s v="NY-00130"/>
    <s v="POINT LOOKOUT"/>
    <n v="11561"/>
    <s v="NASSAU"/>
    <s v="NY"/>
    <n v="88664"/>
    <n v="23664"/>
    <n v="65000"/>
    <n v="65000"/>
    <n v="0"/>
    <n v="65000"/>
  </r>
  <r>
    <n v="13365"/>
    <n v="13366"/>
    <x v="0"/>
    <s v="NY-00130"/>
    <s v="POINT LOOKOUT"/>
    <n v="11569"/>
    <s v="NASSAU"/>
    <s v="NY"/>
    <n v="1995843"/>
    <n v="1476792"/>
    <n v="519051"/>
    <n v="1472900"/>
    <n v="1030600"/>
    <n v="386100"/>
  </r>
  <r>
    <n v="13365"/>
    <n v="13366"/>
    <x v="0"/>
    <s v="NY-00130"/>
    <s v="POINT O WOODS"/>
    <n v="11706"/>
    <s v="SUFFOLK"/>
    <s v="NY"/>
    <n v="74909"/>
    <n v="73709"/>
    <n v="1200"/>
    <n v="0"/>
    <n v="0"/>
    <n v="0"/>
  </r>
  <r>
    <n v="13365"/>
    <n v="13366"/>
    <x v="0"/>
    <s v="NY-00130"/>
    <s v="POINTLOOK OUT"/>
    <n v="11569"/>
    <s v="NASSAU"/>
    <s v="NY"/>
    <n v="69763"/>
    <n v="45563"/>
    <n v="24200"/>
    <n v="0"/>
    <n v="0"/>
    <n v="0"/>
  </r>
  <r>
    <n v="13365"/>
    <n v="13366"/>
    <x v="0"/>
    <s v="NY-00130"/>
    <s v="POMONA"/>
    <n v="10970"/>
    <s v="ROCKLAND"/>
    <s v="NY"/>
    <n v="7357"/>
    <n v="0"/>
    <n v="7357"/>
    <n v="0"/>
    <n v="0"/>
    <n v="0"/>
  </r>
  <r>
    <n v="13365"/>
    <n v="13366"/>
    <x v="0"/>
    <s v="NY-00130"/>
    <s v="PORT CHESTER"/>
    <n v="10573"/>
    <s v="WESTCHESTER"/>
    <s v="NY"/>
    <n v="328778"/>
    <n v="87849"/>
    <n v="240929"/>
    <n v="65100"/>
    <n v="28800"/>
    <n v="7300"/>
  </r>
  <r>
    <n v="13365"/>
    <n v="13366"/>
    <x v="0"/>
    <s v="NY-00130"/>
    <s v="PORT JEFFERSON"/>
    <n v="11777"/>
    <s v="SUFFOLK"/>
    <s v="NY"/>
    <n v="130011"/>
    <n v="32231"/>
    <n v="97780"/>
    <n v="94700"/>
    <n v="18000"/>
    <n v="51700"/>
  </r>
  <r>
    <n v="13365"/>
    <n v="13366"/>
    <x v="0"/>
    <s v="NY-00130"/>
    <s v="PORT JEFFERSON STATION"/>
    <n v="11776"/>
    <s v="SUFFOLK"/>
    <s v="NY"/>
    <n v="40784"/>
    <n v="11964"/>
    <n v="28820"/>
    <n v="27300"/>
    <n v="5500"/>
    <n v="21800"/>
  </r>
  <r>
    <n v="13365"/>
    <n v="13366"/>
    <x v="0"/>
    <s v="NY-00130"/>
    <s v="PORT WASHINGTON"/>
    <n v="11050"/>
    <s v="NASSAU"/>
    <s v="NY"/>
    <n v="1151263"/>
    <n v="1010496"/>
    <n v="140767"/>
    <n v="302100"/>
    <n v="200"/>
    <n v="57200"/>
  </r>
  <r>
    <n v="13365"/>
    <n v="13366"/>
    <x v="0"/>
    <s v="NY-00130"/>
    <s v="POUND RIDGE"/>
    <n v="10576"/>
    <s v="WESTCHESTER"/>
    <s v="NY"/>
    <n v="81147"/>
    <n v="81147"/>
    <n v="0"/>
    <n v="0"/>
    <n v="0"/>
    <n v="0"/>
  </r>
  <r>
    <n v="13365"/>
    <n v="13366"/>
    <x v="0"/>
    <s v="NY-00130"/>
    <s v="QNS NY"/>
    <n v="11691"/>
    <s v="QUEENS"/>
    <s v="NY"/>
    <n v="3500"/>
    <n v="0"/>
    <n v="3500"/>
    <n v="0"/>
    <n v="0"/>
    <n v="0"/>
  </r>
  <r>
    <n v="13365"/>
    <n v="13366"/>
    <x v="0"/>
    <s v="NY-00130"/>
    <s v="QUEENS"/>
    <n v="11694"/>
    <s v="QUEENS"/>
    <s v="NY"/>
    <n v="819789"/>
    <n v="819389"/>
    <n v="400"/>
    <n v="16200"/>
    <n v="0"/>
    <n v="0"/>
  </r>
  <r>
    <n v="13365"/>
    <n v="13366"/>
    <x v="0"/>
    <s v="NY-00130"/>
    <s v="QUEENS VILLAGE"/>
    <n v="11427"/>
    <s v="QUEENS"/>
    <s v="NY"/>
    <n v="76468"/>
    <n v="53218"/>
    <n v="23250"/>
    <n v="0"/>
    <n v="0"/>
    <n v="0"/>
  </r>
  <r>
    <n v="13365"/>
    <n v="13366"/>
    <x v="0"/>
    <s v="NY-00130"/>
    <s v="QUEENS VILLAGE"/>
    <n v="11429"/>
    <s v="QUEENS"/>
    <s v="NY"/>
    <n v="44625"/>
    <n v="35525"/>
    <n v="9100"/>
    <n v="8700"/>
    <n v="2200"/>
    <n v="1500"/>
  </r>
  <r>
    <n v="13365"/>
    <n v="13366"/>
    <x v="0"/>
    <s v="NY-00130"/>
    <s v="QUOGUE"/>
    <n v="11959"/>
    <s v="SUFFOLK"/>
    <s v="NY"/>
    <n v="365929"/>
    <n v="308079"/>
    <n v="57850"/>
    <n v="0"/>
    <n v="0"/>
    <n v="0"/>
  </r>
  <r>
    <n v="13365"/>
    <n v="13366"/>
    <x v="0"/>
    <s v="NY-00130"/>
    <s v="REGO PARK"/>
    <n v="11374"/>
    <s v="QUEENS"/>
    <s v="NY"/>
    <n v="3000"/>
    <n v="0"/>
    <n v="3000"/>
    <n v="0"/>
    <n v="0"/>
    <n v="0"/>
  </r>
  <r>
    <n v="13365"/>
    <n v="13366"/>
    <x v="0"/>
    <s v="NY-00130"/>
    <s v="REMSENBURG"/>
    <n v="11960"/>
    <s v="SUFFOLK"/>
    <s v="NY"/>
    <n v="289455"/>
    <n v="270455"/>
    <n v="19000"/>
    <n v="53200"/>
    <n v="7700"/>
    <n v="19000"/>
  </r>
  <r>
    <n v="13365"/>
    <n v="13366"/>
    <x v="0"/>
    <s v="NY-00130"/>
    <s v="RICHMOND"/>
    <n v="10305"/>
    <s v="RICHMOND"/>
    <s v="NY"/>
    <n v="15452"/>
    <n v="0"/>
    <n v="15452"/>
    <n v="0"/>
    <n v="0"/>
    <n v="0"/>
  </r>
  <r>
    <n v="13365"/>
    <n v="13366"/>
    <x v="0"/>
    <s v="NY-00130"/>
    <s v="RICHMOND HILL"/>
    <n v="11418"/>
    <s v="QUEENS"/>
    <s v="NY"/>
    <n v="37267"/>
    <n v="31552"/>
    <n v="5715"/>
    <n v="90900"/>
    <n v="31600"/>
    <n v="5700"/>
  </r>
  <r>
    <n v="13365"/>
    <n v="13366"/>
    <x v="0"/>
    <s v="NY-00130"/>
    <s v="RIDGE"/>
    <n v="11961"/>
    <s v="SUFFOLK"/>
    <s v="NY"/>
    <n v="0"/>
    <n v="0"/>
    <n v="0"/>
    <n v="12300"/>
    <n v="0"/>
    <n v="0"/>
  </r>
  <r>
    <n v="13365"/>
    <n v="13366"/>
    <x v="0"/>
    <s v="NY-00130"/>
    <s v="RIDGEWOOD"/>
    <n v="11385"/>
    <s v="QUEENS"/>
    <s v="NY"/>
    <n v="78354"/>
    <n v="12369"/>
    <n v="65985"/>
    <n v="114700"/>
    <n v="12400"/>
    <n v="56500"/>
  </r>
  <r>
    <n v="13365"/>
    <n v="13366"/>
    <x v="0"/>
    <s v="NY-00130"/>
    <s v="RIVERHEAD"/>
    <n v="11901"/>
    <s v="SUFFOLK"/>
    <s v="NY"/>
    <n v="1628780"/>
    <n v="864925"/>
    <n v="763855"/>
    <n v="1274600"/>
    <n v="342800"/>
    <n v="724600"/>
  </r>
  <r>
    <n v="13365"/>
    <n v="13366"/>
    <x v="0"/>
    <s v="NY-00130"/>
    <s v="ROBBINS REST"/>
    <n v="11770"/>
    <s v="SUFFOLK"/>
    <s v="NY"/>
    <n v="41670"/>
    <n v="40950"/>
    <n v="720"/>
    <n v="0"/>
    <n v="0"/>
    <n v="0"/>
  </r>
  <r>
    <n v="13365"/>
    <n v="13366"/>
    <x v="0"/>
    <s v="NY-00130"/>
    <s v="ROBBINS REST, FIRE ISLAND"/>
    <n v="11770"/>
    <s v="SUFFOLK"/>
    <s v="NY"/>
    <n v="248572"/>
    <n v="227322"/>
    <n v="21250"/>
    <n v="0"/>
    <n v="0"/>
    <n v="0"/>
  </r>
  <r>
    <n v="13365"/>
    <n v="13366"/>
    <x v="0"/>
    <s v="NY-00130"/>
    <s v="ROCKAWAY"/>
    <n v="11693"/>
    <s v="QUEENS"/>
    <s v="NY"/>
    <n v="192806"/>
    <n v="142806"/>
    <n v="50000"/>
    <n v="0"/>
    <n v="0"/>
    <n v="0"/>
  </r>
  <r>
    <n v="13365"/>
    <n v="13366"/>
    <x v="0"/>
    <s v="NY-00130"/>
    <s v="ROCKAWAY"/>
    <n v="11694"/>
    <s v="QUEENS"/>
    <s v="NY"/>
    <n v="1154296"/>
    <n v="960901"/>
    <n v="193395"/>
    <n v="492500"/>
    <n v="327400"/>
    <n v="128400"/>
  </r>
  <r>
    <n v="13365"/>
    <n v="13366"/>
    <x v="0"/>
    <s v="NY-00130"/>
    <s v="ROCKAWAY"/>
    <n v="11743"/>
    <s v="QUEENS"/>
    <s v="NY"/>
    <n v="25000"/>
    <n v="0"/>
    <n v="25000"/>
    <n v="0"/>
    <n v="0"/>
    <n v="0"/>
  </r>
  <r>
    <n v="13365"/>
    <n v="13366"/>
    <x v="0"/>
    <s v="NY-00130"/>
    <s v="ROCKAWAY BEAC"/>
    <n v="11693"/>
    <s v="QUEENS"/>
    <s v="NY"/>
    <n v="653765"/>
    <n v="522785"/>
    <n v="130980"/>
    <n v="0"/>
    <n v="0"/>
    <n v="0"/>
  </r>
  <r>
    <n v="13365"/>
    <n v="13366"/>
    <x v="0"/>
    <s v="NY-00130"/>
    <s v="ROCKAWAY BEACH"/>
    <n v="11693"/>
    <s v="KINGS"/>
    <s v="NY"/>
    <n v="12405"/>
    <n v="0"/>
    <n v="12405"/>
    <n v="0"/>
    <n v="0"/>
    <n v="0"/>
  </r>
  <r>
    <n v="13365"/>
    <n v="13366"/>
    <x v="0"/>
    <s v="NY-00130"/>
    <s v="ROCKAWAY BEACH"/>
    <n v="11230"/>
    <s v="QUEENS"/>
    <s v="NY"/>
    <n v="436491"/>
    <n v="436491"/>
    <n v="0"/>
    <n v="436500"/>
    <n v="436500"/>
    <n v="0"/>
  </r>
  <r>
    <n v="13365"/>
    <n v="13366"/>
    <x v="0"/>
    <s v="NY-00130"/>
    <s v="ROCKAWAY BEACH"/>
    <n v="11692"/>
    <s v="QUEENS"/>
    <s v="NY"/>
    <n v="30125"/>
    <n v="0"/>
    <n v="30125"/>
    <n v="0"/>
    <n v="0"/>
    <n v="0"/>
  </r>
  <r>
    <n v="13365"/>
    <n v="13366"/>
    <x v="0"/>
    <s v="NY-00130"/>
    <s v="ROCKAWAY BEACH"/>
    <n v="11693"/>
    <s v="QUEENS"/>
    <s v="NY"/>
    <n v="34762753"/>
    <n v="17421389"/>
    <n v="17341364"/>
    <n v="17847400"/>
    <n v="2885100"/>
    <n v="11351900"/>
  </r>
  <r>
    <n v="13365"/>
    <n v="13366"/>
    <x v="0"/>
    <s v="NY-00130"/>
    <s v="ROCKAWAY BEACH"/>
    <n v="11694"/>
    <s v="QUEENS"/>
    <s v="NY"/>
    <n v="2555930"/>
    <n v="980580"/>
    <n v="1575350"/>
    <n v="1088300"/>
    <n v="485900"/>
    <n v="593100"/>
  </r>
  <r>
    <n v="13365"/>
    <n v="13366"/>
    <x v="0"/>
    <s v="NY-00130"/>
    <s v="ROCKAWAY PARK"/>
    <n v="11209"/>
    <s v="QUEENS"/>
    <s v="NY"/>
    <n v="24375"/>
    <n v="20130"/>
    <n v="4245"/>
    <n v="0"/>
    <n v="0"/>
    <n v="0"/>
  </r>
  <r>
    <n v="13365"/>
    <n v="13366"/>
    <x v="0"/>
    <s v="NY-00130"/>
    <s v="ROCKAWAY PARK"/>
    <n v="11693"/>
    <s v="QUEENS"/>
    <s v="NY"/>
    <n v="94322"/>
    <n v="56762"/>
    <n v="37560"/>
    <n v="29700"/>
    <n v="29700"/>
    <n v="0"/>
  </r>
  <r>
    <n v="13365"/>
    <n v="13366"/>
    <x v="0"/>
    <s v="NY-00130"/>
    <s v="ROCKAWAY PARK"/>
    <n v="11694"/>
    <s v="QUEENS"/>
    <s v="NY"/>
    <n v="28871639"/>
    <n v="20494692"/>
    <n v="8376947"/>
    <n v="9750200"/>
    <n v="6295500"/>
    <n v="2269600"/>
  </r>
  <r>
    <n v="13365"/>
    <n v="13366"/>
    <x v="0"/>
    <s v="NY-00130"/>
    <s v="ROCKAWAY PARKWAY"/>
    <n v="11694"/>
    <s v="QUEENS"/>
    <s v="NY"/>
    <n v="17009"/>
    <n v="3126"/>
    <n v="13883"/>
    <n v="0"/>
    <n v="0"/>
    <n v="0"/>
  </r>
  <r>
    <n v="13365"/>
    <n v="13366"/>
    <x v="0"/>
    <s v="NY-00130"/>
    <s v="ROCKAWAY POINT"/>
    <n v="11697"/>
    <s v="NEW YORK"/>
    <s v="NY"/>
    <n v="7350"/>
    <n v="0"/>
    <n v="7350"/>
    <n v="7400"/>
    <n v="0"/>
    <n v="7400"/>
  </r>
  <r>
    <n v="13365"/>
    <n v="13366"/>
    <x v="0"/>
    <s v="NY-00130"/>
    <s v="ROCKAWAY POINT"/>
    <n v="11695"/>
    <s v="QUEENS"/>
    <s v="NY"/>
    <n v="173977"/>
    <n v="167272"/>
    <n v="6705"/>
    <n v="0"/>
    <n v="0"/>
    <n v="0"/>
  </r>
  <r>
    <n v="13365"/>
    <n v="13366"/>
    <x v="0"/>
    <s v="NY-00130"/>
    <s v="ROCKAWAY POINT"/>
    <n v="11697"/>
    <s v="QUEENS"/>
    <s v="NY"/>
    <n v="3317437"/>
    <n v="2030514"/>
    <n v="1286923"/>
    <n v="267300"/>
    <n v="0"/>
    <n v="98900"/>
  </r>
  <r>
    <n v="13365"/>
    <n v="13366"/>
    <x v="0"/>
    <s v="NY-00130"/>
    <s v="ROCKVILLE CENTRE"/>
    <n v="11570"/>
    <s v="NASSAU"/>
    <s v="NY"/>
    <n v="0"/>
    <n v="0"/>
    <n v="0"/>
    <n v="4000"/>
    <n v="0"/>
    <n v="0"/>
  </r>
  <r>
    <n v="13365"/>
    <n v="13366"/>
    <x v="0"/>
    <s v="NY-00130"/>
    <s v="ROCKWAY BEACH"/>
    <n v="11693"/>
    <s v="QUEENS"/>
    <s v="NY"/>
    <n v="327945"/>
    <n v="261730"/>
    <n v="66215"/>
    <n v="0"/>
    <n v="0"/>
    <n v="0"/>
  </r>
  <r>
    <n v="13365"/>
    <n v="13366"/>
    <x v="0"/>
    <s v="NY-00130"/>
    <s v="ROCKY POINT"/>
    <n v="11778"/>
    <s v="SUFFOLK"/>
    <s v="NY"/>
    <n v="65320"/>
    <n v="63970"/>
    <n v="1350"/>
    <n v="43000"/>
    <n v="40700"/>
    <n v="1300"/>
  </r>
  <r>
    <n v="13365"/>
    <n v="13366"/>
    <x v="0"/>
    <s v="NY-00130"/>
    <s v="RONKONKOMA"/>
    <n v="11779"/>
    <s v="SUFFOLK"/>
    <s v="NY"/>
    <n v="235832"/>
    <n v="235832"/>
    <n v="0"/>
    <n v="17200"/>
    <n v="0"/>
    <n v="0"/>
  </r>
  <r>
    <n v="13365"/>
    <n v="13366"/>
    <x v="0"/>
    <s v="NY-00130"/>
    <s v="ROOSEVELT"/>
    <n v="11575"/>
    <s v="NASSAU"/>
    <s v="NY"/>
    <n v="484262"/>
    <n v="457428"/>
    <n v="26834"/>
    <n v="0"/>
    <n v="0"/>
    <n v="0"/>
  </r>
  <r>
    <n v="13365"/>
    <n v="13366"/>
    <x v="0"/>
    <s v="NY-00130"/>
    <s v="ROOSEVELT ISLAND"/>
    <n v="10044"/>
    <s v="NEW YORK"/>
    <s v="NY"/>
    <n v="800220"/>
    <n v="800220"/>
    <n v="0"/>
    <n v="805200"/>
    <n v="777700"/>
    <n v="0"/>
  </r>
  <r>
    <n v="13365"/>
    <n v="13366"/>
    <x v="0"/>
    <s v="NY-00130"/>
    <s v="ROSEDALE"/>
    <n v="11510"/>
    <s v="NASSAU"/>
    <s v="NY"/>
    <n v="138389"/>
    <n v="0"/>
    <n v="138389"/>
    <n v="0"/>
    <n v="0"/>
    <n v="0"/>
  </r>
  <r>
    <n v="13365"/>
    <n v="13366"/>
    <x v="0"/>
    <s v="NY-00130"/>
    <s v="ROSEDALE"/>
    <n v="11422"/>
    <s v="NEW YORK"/>
    <s v="NY"/>
    <n v="9517"/>
    <n v="0"/>
    <n v="9517"/>
    <n v="0"/>
    <n v="0"/>
    <n v="0"/>
  </r>
  <r>
    <n v="13365"/>
    <n v="13366"/>
    <x v="0"/>
    <s v="NY-00130"/>
    <s v="ROSEDALE"/>
    <n v="11413"/>
    <s v="QUEENS"/>
    <s v="NY"/>
    <n v="13175"/>
    <n v="13175"/>
    <n v="0"/>
    <n v="12000"/>
    <n v="12000"/>
    <n v="0"/>
  </r>
  <r>
    <n v="13365"/>
    <n v="13366"/>
    <x v="0"/>
    <s v="NY-00130"/>
    <s v="ROSEDALE"/>
    <n v="11422"/>
    <s v="QUEENS"/>
    <s v="NY"/>
    <n v="1253329"/>
    <n v="984575"/>
    <n v="268754"/>
    <n v="376200"/>
    <n v="229000"/>
    <n v="70400"/>
  </r>
  <r>
    <n v="13365"/>
    <n v="13366"/>
    <x v="0"/>
    <s v="NY-00130"/>
    <s v="ROSLYN"/>
    <n v="11576"/>
    <s v="NASSAU"/>
    <s v="NY"/>
    <n v="117492"/>
    <n v="82976"/>
    <n v="34516"/>
    <n v="0"/>
    <n v="0"/>
    <n v="0"/>
  </r>
  <r>
    <n v="13365"/>
    <n v="13366"/>
    <x v="0"/>
    <s v="NY-00130"/>
    <s v="ROSLYN HEIGHTS"/>
    <n v="11577"/>
    <s v="NASSAU"/>
    <s v="NY"/>
    <n v="318222"/>
    <n v="281104"/>
    <n v="37118"/>
    <n v="126300"/>
    <n v="126300"/>
    <n v="0"/>
  </r>
  <r>
    <n v="13365"/>
    <n v="13366"/>
    <x v="0"/>
    <s v="NY-00130"/>
    <s v="RYE"/>
    <n v="10580"/>
    <s v="WESTCHESTER"/>
    <s v="NY"/>
    <n v="4341057"/>
    <n v="4205096"/>
    <n v="135961"/>
    <n v="317500"/>
    <n v="317500"/>
    <n v="0"/>
  </r>
  <r>
    <n v="13365"/>
    <n v="13366"/>
    <x v="0"/>
    <s v="NY-00130"/>
    <s v="S.I."/>
    <n v="10309"/>
    <s v="RICHMOND"/>
    <s v="NY"/>
    <n v="256497"/>
    <n v="216877"/>
    <n v="39620"/>
    <n v="0"/>
    <n v="0"/>
    <n v="0"/>
  </r>
  <r>
    <n v="13365"/>
    <n v="13366"/>
    <x v="0"/>
    <s v="NY-00130"/>
    <s v="SAG HARBOR"/>
    <n v="11963"/>
    <s v="SUFFOLK"/>
    <s v="NY"/>
    <n v="98447"/>
    <n v="63194"/>
    <n v="35253"/>
    <n v="148800"/>
    <n v="51200"/>
    <n v="28200"/>
  </r>
  <r>
    <n v="13365"/>
    <n v="13366"/>
    <x v="0"/>
    <s v="NY-00130"/>
    <s v="SAGAPONACK"/>
    <n v="11962"/>
    <s v="SUFFOLK"/>
    <s v="NY"/>
    <n v="166705"/>
    <n v="148355"/>
    <n v="18350"/>
    <n v="83300"/>
    <n v="65000"/>
    <n v="18300"/>
  </r>
  <r>
    <n v="13365"/>
    <n v="13366"/>
    <x v="0"/>
    <s v="NY-00130"/>
    <s v="SAINT ALBANS"/>
    <n v="11412"/>
    <s v="QUEENS"/>
    <s v="NY"/>
    <n v="100156"/>
    <n v="81931"/>
    <n v="18225"/>
    <n v="91000"/>
    <n v="3200"/>
    <n v="4300"/>
  </r>
  <r>
    <n v="13365"/>
    <n v="13366"/>
    <x v="0"/>
    <s v="NY-00130"/>
    <s v="SAINT ALBANS"/>
    <n v="11413"/>
    <s v="QUEENS"/>
    <s v="NY"/>
    <n v="94216"/>
    <n v="94216"/>
    <n v="0"/>
    <n v="0"/>
    <n v="0"/>
    <n v="0"/>
  </r>
  <r>
    <n v="13365"/>
    <n v="13366"/>
    <x v="0"/>
    <s v="NY-00130"/>
    <s v="SAINT JAMES"/>
    <n v="11780"/>
    <s v="SUFFOLK"/>
    <s v="NY"/>
    <n v="67016"/>
    <n v="3231"/>
    <n v="63785"/>
    <n v="0"/>
    <n v="0"/>
    <n v="0"/>
  </r>
  <r>
    <n v="13365"/>
    <n v="13366"/>
    <x v="0"/>
    <s v="NY-00130"/>
    <s v="SALTAIRE"/>
    <n v="11706"/>
    <s v="SUFFOLK"/>
    <s v="NY"/>
    <n v="4674"/>
    <n v="0"/>
    <n v="4674"/>
    <n v="0"/>
    <n v="0"/>
    <n v="0"/>
  </r>
  <r>
    <n v="13365"/>
    <n v="13366"/>
    <x v="0"/>
    <s v="NY-00130"/>
    <s v="SAME"/>
    <n v="11510"/>
    <s v="NASSAU"/>
    <s v="NY"/>
    <n v="21569"/>
    <n v="0"/>
    <n v="21569"/>
    <n v="0"/>
    <n v="0"/>
    <n v="0"/>
  </r>
  <r>
    <n v="13365"/>
    <n v="13366"/>
    <x v="0"/>
    <s v="NY-00130"/>
    <s v="SAYVILLE"/>
    <n v="11782"/>
    <s v="SUFFOLK"/>
    <s v="NY"/>
    <n v="934216"/>
    <n v="689329"/>
    <n v="244887"/>
    <n v="626300"/>
    <n v="460600"/>
    <n v="135300"/>
  </r>
  <r>
    <n v="13365"/>
    <n v="13366"/>
    <x v="0"/>
    <s v="NY-00130"/>
    <s v="SEAFORD"/>
    <n v="11758"/>
    <s v="NASSAU"/>
    <s v="NY"/>
    <n v="42794"/>
    <n v="42794"/>
    <n v="0"/>
    <n v="0"/>
    <n v="0"/>
    <n v="0"/>
  </r>
  <r>
    <n v="13365"/>
    <n v="13366"/>
    <x v="0"/>
    <s v="NY-00130"/>
    <s v="SEAFORD"/>
    <n v="11783"/>
    <s v="NASSAU"/>
    <s v="NY"/>
    <n v="4603236"/>
    <n v="2617023"/>
    <n v="1986213"/>
    <n v="1978000"/>
    <n v="944100"/>
    <n v="826200"/>
  </r>
  <r>
    <n v="13365"/>
    <n v="13366"/>
    <x v="0"/>
    <s v="NY-00130"/>
    <s v="SEAVIEW"/>
    <n v="11770"/>
    <s v="SUFFOLK"/>
    <s v="NY"/>
    <n v="175416"/>
    <n v="129826"/>
    <n v="45590"/>
    <n v="166800"/>
    <n v="129900"/>
    <n v="36900"/>
  </r>
  <r>
    <n v="13365"/>
    <n v="13366"/>
    <x v="0"/>
    <s v="NY-00130"/>
    <s v="SEAVIEW, FIRE ISLAND"/>
    <n v="11770"/>
    <s v="SUFFOLK"/>
    <s v="NY"/>
    <n v="1667011"/>
    <n v="1580476"/>
    <n v="86535"/>
    <n v="1587200"/>
    <n v="1570600"/>
    <n v="16600"/>
  </r>
  <r>
    <n v="13365"/>
    <n v="13366"/>
    <x v="0"/>
    <s v="NY-00130"/>
    <s v="SELDEN"/>
    <n v="11784"/>
    <s v="SUFFOLK"/>
    <s v="NY"/>
    <n v="23896"/>
    <n v="23896"/>
    <n v="0"/>
    <n v="42800"/>
    <n v="0"/>
    <n v="0"/>
  </r>
  <r>
    <n v="13365"/>
    <n v="13366"/>
    <x v="0"/>
    <s v="NY-00130"/>
    <s v="SHELTER ISLAND"/>
    <n v="11964"/>
    <s v="SUFFOLK"/>
    <s v="NY"/>
    <n v="420462"/>
    <n v="245457"/>
    <n v="175005"/>
    <n v="138400"/>
    <n v="126100"/>
    <n v="12300"/>
  </r>
  <r>
    <n v="13365"/>
    <n v="13366"/>
    <x v="0"/>
    <s v="NY-00130"/>
    <s v="SHELTER ISLAND HEIGHTS"/>
    <n v="11965"/>
    <s v="SUFFOLK"/>
    <s v="NY"/>
    <n v="65018"/>
    <n v="65018"/>
    <n v="0"/>
    <n v="0"/>
    <n v="0"/>
    <n v="0"/>
  </r>
  <r>
    <n v="13365"/>
    <n v="13366"/>
    <x v="0"/>
    <s v="NY-00130"/>
    <s v="SHELTER ISLAND HGTS"/>
    <n v="11965"/>
    <s v="SUFFOLK"/>
    <s v="NY"/>
    <n v="703163"/>
    <n v="703163"/>
    <n v="0"/>
    <n v="703200"/>
    <n v="703200"/>
    <n v="0"/>
  </r>
  <r>
    <n v="13365"/>
    <n v="13366"/>
    <x v="0"/>
    <s v="NY-00130"/>
    <s v="SHIRELY"/>
    <n v="11967"/>
    <s v="SUFFOLK"/>
    <s v="NY"/>
    <n v="6575"/>
    <n v="0"/>
    <n v="6575"/>
    <n v="0"/>
    <n v="0"/>
    <n v="0"/>
  </r>
  <r>
    <n v="13365"/>
    <n v="13366"/>
    <x v="0"/>
    <s v="NY-00130"/>
    <s v="SHIRLEY"/>
    <n v="11967"/>
    <s v="SUFFOLK"/>
    <s v="NY"/>
    <n v="18241"/>
    <n v="18241"/>
    <n v="0"/>
    <n v="0"/>
    <n v="0"/>
    <n v="0"/>
  </r>
  <r>
    <n v="13365"/>
    <n v="13366"/>
    <x v="0"/>
    <s v="NY-00130"/>
    <s v="SHOKAN"/>
    <n v="12481"/>
    <s v="ULSTER"/>
    <s v="NY"/>
    <n v="997302"/>
    <n v="212050"/>
    <n v="785252"/>
    <n v="418300"/>
    <n v="0"/>
    <n v="418300"/>
  </r>
  <r>
    <n v="13365"/>
    <n v="13366"/>
    <x v="0"/>
    <s v="NY-00130"/>
    <s v="SOUND BEACH"/>
    <n v="11789"/>
    <s v="SUFFOLK"/>
    <s v="NY"/>
    <n v="201515"/>
    <n v="201515"/>
    <n v="0"/>
    <n v="215300"/>
    <n v="201500"/>
    <n v="0"/>
  </r>
  <r>
    <n v="13365"/>
    <n v="13366"/>
    <x v="0"/>
    <s v="NY-00130"/>
    <s v="SOUTH BROOKLYN"/>
    <n v="11231"/>
    <s v="KINGS"/>
    <s v="NY"/>
    <n v="196207"/>
    <n v="189832"/>
    <n v="6375"/>
    <n v="0"/>
    <n v="0"/>
    <n v="0"/>
  </r>
  <r>
    <n v="13365"/>
    <n v="13366"/>
    <x v="0"/>
    <s v="NY-00130"/>
    <s v="SOUTH OYSTER BAY"/>
    <n v="11783"/>
    <s v="NASSAU"/>
    <s v="NY"/>
    <n v="226571"/>
    <n v="215121"/>
    <n v="11450"/>
    <n v="0"/>
    <n v="0"/>
    <n v="0"/>
  </r>
  <r>
    <n v="13365"/>
    <n v="13366"/>
    <x v="0"/>
    <s v="NY-00130"/>
    <s v="SOUTH OZONE PARK"/>
    <n v="11420"/>
    <s v="QUEENS"/>
    <s v="NY"/>
    <n v="117664"/>
    <n v="112864"/>
    <n v="4800"/>
    <n v="50800"/>
    <n v="50800"/>
    <n v="0"/>
  </r>
  <r>
    <n v="13365"/>
    <n v="13366"/>
    <x v="0"/>
    <s v="NY-00130"/>
    <s v="SOUTH SALEM"/>
    <n v="10590"/>
    <s v="WESTCHESTER"/>
    <s v="NY"/>
    <n v="2191"/>
    <n v="0"/>
    <n v="2191"/>
    <n v="0"/>
    <n v="0"/>
    <n v="0"/>
  </r>
  <r>
    <n v="13365"/>
    <n v="13366"/>
    <x v="0"/>
    <s v="NY-00130"/>
    <s v="SOUTHAMPTON"/>
    <n v="11968"/>
    <s v="SUFFOLK"/>
    <s v="NY"/>
    <n v="546435"/>
    <n v="430120"/>
    <n v="116315"/>
    <n v="556300"/>
    <n v="332800"/>
    <n v="91300"/>
  </r>
  <r>
    <n v="13365"/>
    <n v="13366"/>
    <x v="0"/>
    <s v="NY-00130"/>
    <s v="SOUTHOLD"/>
    <n v="11971"/>
    <s v="SUFFOLK"/>
    <s v="NY"/>
    <n v="2971206"/>
    <n v="2081695"/>
    <n v="889511"/>
    <n v="847300"/>
    <n v="707400"/>
    <n v="139900"/>
  </r>
  <r>
    <n v="13365"/>
    <n v="13366"/>
    <x v="0"/>
    <s v="NY-00130"/>
    <s v="SPRING FIELD"/>
    <n v="11422"/>
    <s v="QUEENS"/>
    <s v="NY"/>
    <n v="68800"/>
    <n v="48725"/>
    <n v="20075"/>
    <n v="0"/>
    <n v="0"/>
    <n v="0"/>
  </r>
  <r>
    <n v="13365"/>
    <n v="13366"/>
    <x v="0"/>
    <s v="NY-00130"/>
    <s v="SPRING VALLEY"/>
    <n v="10977"/>
    <s v="ROCKLAND"/>
    <s v="NY"/>
    <n v="241262"/>
    <n v="215972"/>
    <n v="25290"/>
    <n v="13900"/>
    <n v="4500"/>
    <n v="0"/>
  </r>
  <r>
    <n v="13365"/>
    <n v="13366"/>
    <x v="0"/>
    <s v="NY-00130"/>
    <s v="SPRINGFIELD GARDENS"/>
    <n v="11413"/>
    <s v="QUEENS"/>
    <s v="NY"/>
    <n v="2425"/>
    <n v="725"/>
    <n v="1700"/>
    <n v="0"/>
    <n v="0"/>
    <n v="0"/>
  </r>
  <r>
    <n v="13365"/>
    <n v="13366"/>
    <x v="0"/>
    <s v="NY-00130"/>
    <s v="SPRINGFIELD-GARDENS"/>
    <n v="11413"/>
    <s v="QUEENS"/>
    <s v="NY"/>
    <n v="52942"/>
    <n v="51342"/>
    <n v="1600"/>
    <n v="0"/>
    <n v="0"/>
    <n v="0"/>
  </r>
  <r>
    <n v="13365"/>
    <n v="13366"/>
    <x v="0"/>
    <s v="NY-00130"/>
    <s v="STAEN ISLAND"/>
    <n v="10306"/>
    <s v="RICHMOND"/>
    <s v="NY"/>
    <n v="74534"/>
    <n v="72034"/>
    <n v="2500"/>
    <n v="0"/>
    <n v="0"/>
    <n v="0"/>
  </r>
  <r>
    <n v="13365"/>
    <n v="13366"/>
    <x v="0"/>
    <s v="NY-00130"/>
    <s v="STATE ISLAND"/>
    <n v="10303"/>
    <s v="RICHMOND"/>
    <s v="NY"/>
    <n v="2442338"/>
    <n v="60423"/>
    <n v="2381915"/>
    <n v="0"/>
    <n v="0"/>
    <n v="0"/>
  </r>
  <r>
    <n v="13365"/>
    <n v="13366"/>
    <x v="0"/>
    <s v="NY-00130"/>
    <s v="STATEN ISALND"/>
    <n v="10309"/>
    <s v="RICHMOND"/>
    <s v="NY"/>
    <n v="44810"/>
    <n v="43160"/>
    <n v="1650"/>
    <n v="47500"/>
    <n v="43200"/>
    <n v="1700"/>
  </r>
  <r>
    <n v="13365"/>
    <n v="13366"/>
    <x v="0"/>
    <s v="NY-00130"/>
    <s v="STATEN ISLAND"/>
    <n v="10303"/>
    <s v="NEW YORK"/>
    <s v="NY"/>
    <n v="15563"/>
    <n v="4888"/>
    <n v="10675"/>
    <n v="0"/>
    <n v="0"/>
    <n v="0"/>
  </r>
  <r>
    <n v="13365"/>
    <n v="13366"/>
    <x v="0"/>
    <s v="NY-00130"/>
    <s v="STATEN ISLAND"/>
    <n v="10310"/>
    <s v="NEW YORK"/>
    <s v="NY"/>
    <n v="60511"/>
    <n v="48656"/>
    <n v="11855"/>
    <n v="0"/>
    <n v="0"/>
    <n v="0"/>
  </r>
  <r>
    <n v="13365"/>
    <n v="13366"/>
    <x v="0"/>
    <s v="NY-00130"/>
    <s v="STATEN ISLAND"/>
    <n v="10103"/>
    <s v="RICHMOND"/>
    <s v="NY"/>
    <n v="27850"/>
    <n v="0"/>
    <n v="27850"/>
    <n v="0"/>
    <n v="0"/>
    <n v="0"/>
  </r>
  <r>
    <n v="13365"/>
    <n v="13366"/>
    <x v="0"/>
    <s v="NY-00130"/>
    <s v="STATEN ISLAND"/>
    <n v="10301"/>
    <s v="RICHMOND"/>
    <s v="NY"/>
    <n v="925016"/>
    <n v="797851"/>
    <n v="127165"/>
    <n v="157200"/>
    <n v="112900"/>
    <n v="29300"/>
  </r>
  <r>
    <n v="13365"/>
    <n v="13366"/>
    <x v="0"/>
    <s v="NY-00130"/>
    <s v="STATEN ISLAND"/>
    <n v="10302"/>
    <s v="RICHMOND"/>
    <s v="NY"/>
    <n v="1964015"/>
    <n v="1039215"/>
    <n v="924800"/>
    <n v="242400"/>
    <n v="48600"/>
    <n v="74900"/>
  </r>
  <r>
    <n v="13365"/>
    <n v="13366"/>
    <x v="0"/>
    <s v="NY-00130"/>
    <s v="STATEN ISLAND"/>
    <n v="10303"/>
    <s v="RICHMOND"/>
    <s v="NY"/>
    <n v="6015311"/>
    <n v="2216880"/>
    <n v="3798431"/>
    <n v="2093400"/>
    <n v="418200"/>
    <n v="1657000"/>
  </r>
  <r>
    <n v="13365"/>
    <n v="13366"/>
    <x v="0"/>
    <s v="NY-00130"/>
    <s v="STATEN ISLAND"/>
    <n v="10304"/>
    <s v="RICHMOND"/>
    <s v="NY"/>
    <n v="2892274"/>
    <n v="2033879"/>
    <n v="858395"/>
    <n v="986200"/>
    <n v="735000"/>
    <n v="140400"/>
  </r>
  <r>
    <n v="13365"/>
    <n v="13366"/>
    <x v="0"/>
    <s v="NY-00130"/>
    <s v="STATEN ISLAND"/>
    <n v="10305"/>
    <s v="RICHMOND"/>
    <s v="NY"/>
    <n v="13474000"/>
    <n v="9239496"/>
    <n v="4234504"/>
    <n v="5245000"/>
    <n v="3429500"/>
    <n v="1399600"/>
  </r>
  <r>
    <n v="13365"/>
    <n v="13366"/>
    <x v="0"/>
    <s v="NY-00130"/>
    <s v="STATEN ISLAND"/>
    <n v="10306"/>
    <s v="RICHMOND"/>
    <s v="NY"/>
    <n v="27937623"/>
    <n v="20928493"/>
    <n v="7009130"/>
    <n v="7452700"/>
    <n v="4772100"/>
    <n v="1850800"/>
  </r>
  <r>
    <n v="13365"/>
    <n v="13366"/>
    <x v="0"/>
    <s v="NY-00130"/>
    <s v="STATEN ISLAND"/>
    <n v="10307"/>
    <s v="RICHMOND"/>
    <s v="NY"/>
    <n v="5035599"/>
    <n v="1655746"/>
    <n v="3379853"/>
    <n v="451400"/>
    <n v="74900"/>
    <n v="290300"/>
  </r>
  <r>
    <n v="13365"/>
    <n v="13366"/>
    <x v="0"/>
    <s v="NY-00130"/>
    <s v="STATEN ISLAND"/>
    <n v="10308"/>
    <s v="RICHMOND"/>
    <s v="NY"/>
    <n v="8816354"/>
    <n v="7249271"/>
    <n v="1567083"/>
    <n v="3049900"/>
    <n v="2205900"/>
    <n v="808000"/>
  </r>
  <r>
    <n v="13365"/>
    <n v="13366"/>
    <x v="0"/>
    <s v="NY-00130"/>
    <s v="STATEN ISLAND"/>
    <n v="10309"/>
    <s v="RICHMOND"/>
    <s v="NY"/>
    <n v="4445038"/>
    <n v="2402982"/>
    <n v="2042056"/>
    <n v="1930800"/>
    <n v="933700"/>
    <n v="693000"/>
  </r>
  <r>
    <n v="13365"/>
    <n v="13366"/>
    <x v="0"/>
    <s v="NY-00130"/>
    <s v="STATEN ISLAND"/>
    <n v="10310"/>
    <s v="RICHMOND"/>
    <s v="NY"/>
    <n v="1209440"/>
    <n v="471792"/>
    <n v="737648"/>
    <n v="468500"/>
    <n v="90600"/>
    <n v="97500"/>
  </r>
  <r>
    <n v="13365"/>
    <n v="13366"/>
    <x v="0"/>
    <s v="NY-00130"/>
    <s v="STATEN ISLAND"/>
    <n v="10312"/>
    <s v="RICHMOND"/>
    <s v="NY"/>
    <n v="2838893"/>
    <n v="2491724"/>
    <n v="347169"/>
    <n v="521600"/>
    <n v="431200"/>
    <n v="52100"/>
  </r>
  <r>
    <n v="13365"/>
    <n v="13366"/>
    <x v="0"/>
    <s v="NY-00130"/>
    <s v="STATEN ISLAND"/>
    <n v="10314"/>
    <s v="RICHMOND"/>
    <s v="NY"/>
    <n v="1794180"/>
    <n v="958739"/>
    <n v="835441"/>
    <n v="180400"/>
    <n v="105000"/>
    <n v="2200"/>
  </r>
  <r>
    <n v="13365"/>
    <n v="13366"/>
    <x v="0"/>
    <s v="NY-00130"/>
    <s v="STEWART MANOR"/>
    <n v="11530"/>
    <s v="NASSAU"/>
    <s v="NY"/>
    <n v="55117"/>
    <n v="18670"/>
    <n v="36447"/>
    <n v="0"/>
    <n v="0"/>
    <n v="0"/>
  </r>
  <r>
    <n v="13365"/>
    <n v="13366"/>
    <x v="0"/>
    <s v="NY-00130"/>
    <s v="STONY BROOK"/>
    <n v="11790"/>
    <s v="SUFFOLK"/>
    <s v="NY"/>
    <n v="118409"/>
    <n v="114359"/>
    <n v="4050"/>
    <n v="169000"/>
    <n v="108600"/>
    <n v="1200"/>
  </r>
  <r>
    <n v="13365"/>
    <n v="13366"/>
    <x v="0"/>
    <s v="NY-00130"/>
    <s v="STONY POINT"/>
    <n v="10980"/>
    <s v="ROCKLAND"/>
    <s v="NY"/>
    <n v="1051232"/>
    <n v="676647"/>
    <n v="374585"/>
    <n v="92800"/>
    <n v="88600"/>
    <n v="2800"/>
  </r>
  <r>
    <n v="13365"/>
    <n v="13366"/>
    <x v="0"/>
    <s v="NY-00130"/>
    <s v="SUFFERN"/>
    <n v="10901"/>
    <s v="ROCKLAND"/>
    <s v="NY"/>
    <n v="15891"/>
    <n v="15891"/>
    <n v="0"/>
    <n v="0"/>
    <n v="0"/>
    <n v="0"/>
  </r>
  <r>
    <n v="13365"/>
    <n v="13366"/>
    <x v="0"/>
    <s v="NY-00130"/>
    <s v="SYOSSET"/>
    <n v="11791"/>
    <s v="NASSAU"/>
    <s v="NY"/>
    <n v="49314"/>
    <n v="29314"/>
    <n v="20000"/>
    <n v="43600"/>
    <n v="0"/>
    <n v="0"/>
  </r>
  <r>
    <n v="13365"/>
    <n v="13366"/>
    <x v="0"/>
    <s v="NY-00130"/>
    <s v="TANNERSVILLE"/>
    <n v="12485"/>
    <s v="GREENE"/>
    <s v="NY"/>
    <n v="0"/>
    <n v="0"/>
    <n v="0"/>
    <n v="45200"/>
    <n v="0"/>
    <n v="0"/>
  </r>
  <r>
    <n v="13365"/>
    <n v="13366"/>
    <x v="0"/>
    <s v="NY-00130"/>
    <s v="TARRYTOWN"/>
    <n v="10591"/>
    <s v="WESTCHESTER"/>
    <s v="NY"/>
    <n v="257785"/>
    <n v="216551"/>
    <n v="41234"/>
    <n v="0"/>
    <n v="0"/>
    <n v="0"/>
  </r>
  <r>
    <n v="13365"/>
    <n v="13366"/>
    <x v="0"/>
    <s v="NY-00130"/>
    <s v="UNIONDALE"/>
    <n v="11553"/>
    <s v="NASSAU"/>
    <s v="NY"/>
    <n v="3087"/>
    <n v="87"/>
    <n v="3000"/>
    <n v="0"/>
    <n v="0"/>
    <n v="0"/>
  </r>
  <r>
    <n v="13365"/>
    <n v="13366"/>
    <x v="0"/>
    <s v="NY-00130"/>
    <s v="VALLEY COTTAGE"/>
    <n v="10989"/>
    <s v="ROCKLAND"/>
    <s v="NY"/>
    <n v="37795"/>
    <n v="37795"/>
    <n v="0"/>
    <n v="0"/>
    <n v="0"/>
    <n v="0"/>
  </r>
  <r>
    <n v="13365"/>
    <n v="13366"/>
    <x v="0"/>
    <s v="NY-00130"/>
    <s v="VALLEY STREAM"/>
    <n v="11580"/>
    <s v="NASSAU"/>
    <s v="NY"/>
    <n v="10412"/>
    <n v="2436"/>
    <n v="7976"/>
    <n v="99400"/>
    <n v="0"/>
    <n v="0"/>
  </r>
  <r>
    <n v="13365"/>
    <n v="13366"/>
    <x v="0"/>
    <s v="NY-00130"/>
    <s v="VALLEY STREAM"/>
    <n v="11581"/>
    <s v="NASSAU"/>
    <s v="NY"/>
    <n v="2478280"/>
    <n v="590077"/>
    <n v="1888203"/>
    <n v="587800"/>
    <n v="53800"/>
    <n v="360100"/>
  </r>
  <r>
    <n v="13365"/>
    <n v="13366"/>
    <x v="0"/>
    <s v="NY-00130"/>
    <s v="VALLEY STREAM,"/>
    <n v="11518"/>
    <s v="NASSAU"/>
    <s v="NY"/>
    <n v="25600"/>
    <n v="0"/>
    <n v="25600"/>
    <n v="0"/>
    <n v="0"/>
    <n v="0"/>
  </r>
  <r>
    <n v="13365"/>
    <n v="13366"/>
    <x v="0"/>
    <s v="NY-00130"/>
    <s v="VERPLANCK"/>
    <n v="10596"/>
    <s v="WESTCHESTER"/>
    <s v="NY"/>
    <n v="36238"/>
    <n v="16603"/>
    <n v="19635"/>
    <n v="0"/>
    <n v="0"/>
    <n v="0"/>
  </r>
  <r>
    <n v="13365"/>
    <n v="13366"/>
    <x v="0"/>
    <s v="NY-00130"/>
    <s v="W. NYACK"/>
    <n v="10994"/>
    <s v="ROCKLAND"/>
    <s v="NY"/>
    <n v="21519"/>
    <n v="21519"/>
    <n v="0"/>
    <n v="0"/>
    <n v="0"/>
    <n v="0"/>
  </r>
  <r>
    <n v="13365"/>
    <n v="13366"/>
    <x v="0"/>
    <s v="NY-00130"/>
    <s v="WADING RIVER"/>
    <n v="11792"/>
    <s v="SUFFOLK"/>
    <s v="NY"/>
    <n v="307420"/>
    <n v="307420"/>
    <n v="0"/>
    <n v="117600"/>
    <n v="0"/>
    <n v="0"/>
  </r>
  <r>
    <n v="13365"/>
    <n v="13366"/>
    <x v="0"/>
    <s v="NY-00130"/>
    <s v="WAINSCOTT"/>
    <n v="11975"/>
    <s v="SUFFOLK"/>
    <s v="NY"/>
    <n v="16500"/>
    <n v="0"/>
    <n v="16500"/>
    <n v="66000"/>
    <n v="0"/>
    <n v="16500"/>
  </r>
  <r>
    <n v="13365"/>
    <n v="13366"/>
    <x v="0"/>
    <s v="NY-00130"/>
    <s v="WANTAGH"/>
    <n v="11793"/>
    <s v="NASSAU"/>
    <s v="NY"/>
    <n v="1364612"/>
    <n v="419496"/>
    <n v="945116"/>
    <n v="41500"/>
    <n v="9000"/>
    <n v="21500"/>
  </r>
  <r>
    <n v="13365"/>
    <n v="13366"/>
    <x v="0"/>
    <s v="NY-00130"/>
    <s v="WATER MILL"/>
    <n v="11976"/>
    <s v="SUFFOLK"/>
    <s v="NY"/>
    <n v="11199"/>
    <n v="0"/>
    <n v="11199"/>
    <n v="11200"/>
    <n v="0"/>
    <n v="11200"/>
  </r>
  <r>
    <n v="13365"/>
    <n v="13366"/>
    <x v="0"/>
    <s v="NY-00130"/>
    <s v="WEST BABYLON"/>
    <n v="11704"/>
    <s v="SUFFOLK"/>
    <s v="NY"/>
    <n v="225146"/>
    <n v="95858"/>
    <n v="129288"/>
    <n v="460000"/>
    <n v="5200"/>
    <n v="110000"/>
  </r>
  <r>
    <n v="13365"/>
    <n v="13366"/>
    <x v="0"/>
    <s v="NY-00130"/>
    <s v="WEST HAVERSTRAW"/>
    <n v="10993"/>
    <s v="ROCKLAND"/>
    <s v="NY"/>
    <n v="25513"/>
    <n v="24713"/>
    <n v="800"/>
    <n v="19000"/>
    <n v="14000"/>
    <n v="0"/>
  </r>
  <r>
    <n v="13365"/>
    <n v="13366"/>
    <x v="0"/>
    <s v="NY-00130"/>
    <s v="WEST HEMPSTEAD"/>
    <n v="11552"/>
    <s v="NASSAU"/>
    <s v="NY"/>
    <n v="95980"/>
    <n v="1305"/>
    <n v="94675"/>
    <n v="238900"/>
    <n v="1400"/>
    <n v="92000"/>
  </r>
  <r>
    <n v="13365"/>
    <n v="13366"/>
    <x v="0"/>
    <s v="NY-00130"/>
    <s v="WEST ISLIP"/>
    <n v="11795"/>
    <s v="SUFFOLK"/>
    <s v="NY"/>
    <n v="1392068"/>
    <n v="1110688"/>
    <n v="281380"/>
    <n v="62100"/>
    <n v="23900"/>
    <n v="23300"/>
  </r>
  <r>
    <n v="13365"/>
    <n v="13366"/>
    <x v="0"/>
    <s v="NY-00130"/>
    <s v="WEST NYACK"/>
    <n v="10994"/>
    <s v="ROCKLAND"/>
    <s v="NY"/>
    <n v="287835"/>
    <n v="38280"/>
    <n v="249555"/>
    <n v="651100"/>
    <n v="38300"/>
    <n v="242800"/>
  </r>
  <r>
    <n v="13365"/>
    <n v="13366"/>
    <x v="0"/>
    <s v="NY-00130"/>
    <s v="WEST SAYVILLE"/>
    <n v="11796"/>
    <s v="SUFFOLK"/>
    <s v="NY"/>
    <n v="1012445"/>
    <n v="852317"/>
    <n v="160128"/>
    <n v="0"/>
    <n v="0"/>
    <n v="0"/>
  </r>
  <r>
    <n v="13365"/>
    <n v="13366"/>
    <x v="0"/>
    <s v="NY-00130"/>
    <s v="WESTBURY"/>
    <n v="11590"/>
    <s v="NASSAU"/>
    <s v="NY"/>
    <n v="134906"/>
    <n v="53000"/>
    <n v="81906"/>
    <n v="198400"/>
    <n v="51600"/>
    <n v="80900"/>
  </r>
  <r>
    <n v="13365"/>
    <n v="13366"/>
    <x v="0"/>
    <s v="NY-00130"/>
    <s v="WESTHAMPTON"/>
    <n v="11978"/>
    <s v="SUFFOLK"/>
    <s v="NY"/>
    <n v="35279"/>
    <n v="35279"/>
    <n v="0"/>
    <n v="0"/>
    <n v="0"/>
    <n v="0"/>
  </r>
  <r>
    <n v="13365"/>
    <n v="13366"/>
    <x v="0"/>
    <s v="NY-00130"/>
    <s v="WESTHAMPTON BEACH"/>
    <n v="11978"/>
    <s v="SUFFOLK"/>
    <s v="NY"/>
    <n v="525542"/>
    <n v="457146"/>
    <n v="68396"/>
    <n v="155900"/>
    <n v="96600"/>
    <n v="59300"/>
  </r>
  <r>
    <n v="13365"/>
    <n v="13366"/>
    <x v="0"/>
    <s v="NY-00130"/>
    <s v="WHEATLEY HEIGHTS"/>
    <n v="11798"/>
    <s v="SUFFOLK"/>
    <s v="NY"/>
    <n v="33115"/>
    <n v="31015"/>
    <n v="2100"/>
    <n v="0"/>
    <n v="0"/>
    <n v="0"/>
  </r>
  <r>
    <n v="13365"/>
    <n v="13366"/>
    <x v="0"/>
    <s v="NY-00130"/>
    <s v="WHITE PLAINS"/>
    <n v="10601"/>
    <s v="WESTCHESTER"/>
    <s v="NY"/>
    <n v="0"/>
    <n v="0"/>
    <n v="0"/>
    <n v="257800"/>
    <n v="0"/>
    <n v="0"/>
  </r>
  <r>
    <n v="13365"/>
    <n v="13366"/>
    <x v="0"/>
    <s v="NY-00130"/>
    <s v="WHITE PLAINS"/>
    <n v="10605"/>
    <s v="WESTCHESTER"/>
    <s v="NY"/>
    <n v="22215"/>
    <n v="0"/>
    <n v="22215"/>
    <n v="72300"/>
    <n v="0"/>
    <n v="22300"/>
  </r>
  <r>
    <n v="13365"/>
    <n v="13366"/>
    <x v="0"/>
    <s v="NY-00130"/>
    <s v="WHITE PLAINS"/>
    <n v="10606"/>
    <s v="WESTCHESTER"/>
    <s v="NY"/>
    <n v="53335"/>
    <n v="13652"/>
    <n v="39683"/>
    <n v="14000"/>
    <n v="0"/>
    <n v="14000"/>
  </r>
  <r>
    <n v="13365"/>
    <n v="13366"/>
    <x v="0"/>
    <s v="NY-00130"/>
    <s v="WHITE PLAINS"/>
    <n v="10607"/>
    <s v="WESTCHESTER"/>
    <s v="NY"/>
    <n v="16716"/>
    <n v="0"/>
    <n v="16716"/>
    <n v="0"/>
    <n v="0"/>
    <n v="0"/>
  </r>
  <r>
    <n v="13365"/>
    <n v="13366"/>
    <x v="0"/>
    <s v="NY-00130"/>
    <s v="WHITESTONE"/>
    <n v="11357"/>
    <s v="QUEENS"/>
    <s v="NY"/>
    <n v="59936"/>
    <n v="44020"/>
    <n v="15916"/>
    <n v="46800"/>
    <n v="9600"/>
    <n v="0"/>
  </r>
  <r>
    <n v="13365"/>
    <n v="13366"/>
    <x v="0"/>
    <s v="NY-00130"/>
    <s v="WOODBOURNE"/>
    <n v="12788"/>
    <s v="SULLIVAN"/>
    <s v="NY"/>
    <n v="725896"/>
    <n v="707296"/>
    <n v="18600"/>
    <n v="0"/>
    <n v="0"/>
    <n v="0"/>
  </r>
  <r>
    <n v="13365"/>
    <n v="13366"/>
    <x v="0"/>
    <s v="NY-00130"/>
    <s v="WOODBURY"/>
    <n v="11797"/>
    <s v="NASSAU"/>
    <s v="NY"/>
    <n v="63669"/>
    <n v="53169"/>
    <n v="10500"/>
    <n v="10500"/>
    <n v="0"/>
    <n v="10500"/>
  </r>
  <r>
    <n v="13365"/>
    <n v="13366"/>
    <x v="0"/>
    <s v="NY-00130"/>
    <s v="WOODHAVEN"/>
    <n v="11421"/>
    <s v="QUEENS"/>
    <s v="NY"/>
    <n v="27900"/>
    <n v="27900"/>
    <n v="0"/>
    <n v="15900"/>
    <n v="0"/>
    <n v="0"/>
  </r>
  <r>
    <n v="13365"/>
    <n v="13366"/>
    <x v="0"/>
    <s v="NY-00130"/>
    <s v="WOODMERE"/>
    <n v="11598"/>
    <s v="NASSAU"/>
    <s v="NY"/>
    <n v="472152"/>
    <n v="180082"/>
    <n v="292070"/>
    <n v="27000"/>
    <n v="10400"/>
    <n v="16600"/>
  </r>
  <r>
    <n v="13365"/>
    <n v="13366"/>
    <x v="0"/>
    <s v="NY-00130"/>
    <s v="WOODSIDE"/>
    <n v="11377"/>
    <s v="QUEENS"/>
    <s v="NY"/>
    <n v="58262"/>
    <n v="13062"/>
    <n v="45200"/>
    <n v="13100"/>
    <n v="13100"/>
    <n v="0"/>
  </r>
  <r>
    <n v="13365"/>
    <n v="13366"/>
    <x v="0"/>
    <s v="NY-00130"/>
    <s v="WOODSTOCK"/>
    <n v="12498"/>
    <s v="ULSTER"/>
    <s v="NY"/>
    <n v="56800"/>
    <n v="0"/>
    <n v="56800"/>
    <n v="0"/>
    <n v="0"/>
    <n v="0"/>
  </r>
  <r>
    <n v="13365"/>
    <n v="13366"/>
    <x v="0"/>
    <s v="NY-00130"/>
    <s v="WYANDANCH"/>
    <n v="11798"/>
    <s v="SUFFOLK"/>
    <s v="NY"/>
    <n v="129183"/>
    <n v="86189"/>
    <n v="42994"/>
    <n v="57300"/>
    <n v="56500"/>
    <n v="800"/>
  </r>
  <r>
    <n v="13365"/>
    <n v="13366"/>
    <x v="0"/>
    <s v="NY-00130"/>
    <s v="YAPHANK"/>
    <n v="11980"/>
    <s v="SUFFOLK"/>
    <s v="NY"/>
    <n v="49982"/>
    <n v="49982"/>
    <n v="0"/>
    <n v="41400"/>
    <n v="38700"/>
    <n v="0"/>
  </r>
  <r>
    <n v="13365"/>
    <n v="13366"/>
    <x v="0"/>
    <s v="NY-00130"/>
    <s v="YONKERS"/>
    <n v="10701"/>
    <s v="WESTCHESTER"/>
    <s v="NY"/>
    <n v="145903"/>
    <n v="140453"/>
    <n v="5450"/>
    <n v="26100"/>
    <n v="20900"/>
    <n v="2300"/>
  </r>
  <r>
    <n v="13365"/>
    <n v="13366"/>
    <x v="0"/>
    <s v="NY-00130"/>
    <s v="YONKERS"/>
    <n v="10704"/>
    <s v="WESTCHESTER"/>
    <s v="NY"/>
    <n v="44170"/>
    <n v="16675"/>
    <n v="27495"/>
    <n v="20100"/>
    <n v="7100"/>
    <n v="3500"/>
  </r>
  <r>
    <n v="13365"/>
    <n v="13366"/>
    <x v="0"/>
    <s v="NY-00130"/>
    <s v="YONKERS"/>
    <n v="10705"/>
    <s v="WESTCHESTER"/>
    <s v="NY"/>
    <n v="5200"/>
    <n v="0"/>
    <n v="5200"/>
    <n v="12400"/>
    <n v="0"/>
    <n v="0"/>
  </r>
  <r>
    <n v="13367"/>
    <n v="13368"/>
    <x v="1"/>
    <s v="NJ-00033"/>
    <s v="ABERDEEN"/>
    <n v="7747"/>
    <s v="MONMOUTH"/>
    <s v="NJ"/>
    <n v="4849"/>
    <n v="0"/>
    <n v="4849"/>
    <n v="0"/>
    <n v="0"/>
    <n v="0"/>
  </r>
  <r>
    <n v="13367"/>
    <n v="13368"/>
    <x v="1"/>
    <s v="NJ-00033"/>
    <s v="ABSECON"/>
    <n v="8201"/>
    <s v="ATLANTIC"/>
    <s v="NJ"/>
    <n v="621729"/>
    <n v="422803"/>
    <n v="198926"/>
    <n v="16700"/>
    <n v="0"/>
    <n v="16700"/>
  </r>
  <r>
    <n v="13367"/>
    <n v="13368"/>
    <x v="1"/>
    <s v="NJ-00033"/>
    <s v="AC"/>
    <n v="8401"/>
    <s v="ATLANTIC"/>
    <s v="NJ"/>
    <n v="36701"/>
    <n v="14881"/>
    <n v="21820"/>
    <n v="0"/>
    <n v="0"/>
    <n v="0"/>
  </r>
  <r>
    <n v="13367"/>
    <n v="13368"/>
    <x v="1"/>
    <s v="NJ-00033"/>
    <s v="ALLENTOWN"/>
    <n v="8501"/>
    <s v="MONMOUTH"/>
    <s v="NJ"/>
    <n v="4925"/>
    <n v="0"/>
    <n v="4925"/>
    <n v="0"/>
    <n v="0"/>
    <n v="0"/>
  </r>
  <r>
    <n v="13367"/>
    <n v="13368"/>
    <x v="1"/>
    <s v="NJ-00033"/>
    <s v="ALPHA"/>
    <n v="8865"/>
    <s v="WARREN"/>
    <s v="NJ"/>
    <n v="280085"/>
    <n v="280085"/>
    <n v="0"/>
    <n v="133500"/>
    <n v="133500"/>
    <n v="0"/>
  </r>
  <r>
    <n v="13367"/>
    <n v="13368"/>
    <x v="1"/>
    <s v="NJ-00033"/>
    <s v="ARVERNE"/>
    <n v="11692"/>
    <s v="QUEENS"/>
    <s v="NY"/>
    <n v="50184"/>
    <n v="48584"/>
    <n v="1600"/>
    <n v="0"/>
    <n v="0"/>
    <n v="0"/>
  </r>
  <r>
    <n v="13367"/>
    <n v="13368"/>
    <x v="1"/>
    <s v="NJ-00033"/>
    <s v="ASBURY PARK"/>
    <n v="7712"/>
    <s v="MONMOUTH"/>
    <s v="NJ"/>
    <n v="2520493"/>
    <n v="1231986"/>
    <n v="1288507"/>
    <n v="1682100"/>
    <n v="631300"/>
    <n v="1050800"/>
  </r>
  <r>
    <n v="13367"/>
    <n v="13368"/>
    <x v="1"/>
    <s v="NJ-00033"/>
    <s v="ASBURY PARK"/>
    <n v="7715"/>
    <s v="MONMOUTH"/>
    <s v="NJ"/>
    <n v="342313"/>
    <n v="342313"/>
    <n v="0"/>
    <n v="300000"/>
    <n v="300000"/>
    <n v="0"/>
  </r>
  <r>
    <n v="13367"/>
    <n v="13368"/>
    <x v="1"/>
    <s v="NJ-00033"/>
    <s v="ASBURY PARK"/>
    <n v="7719"/>
    <s v="MONMOUTH"/>
    <s v="NJ"/>
    <n v="2839"/>
    <n v="0"/>
    <n v="2839"/>
    <n v="0"/>
    <n v="0"/>
    <n v="0"/>
  </r>
  <r>
    <n v="13367"/>
    <n v="13368"/>
    <x v="1"/>
    <s v="NJ-00033"/>
    <s v="ASBURY PARK"/>
    <n v="7728"/>
    <s v="MONMOUTH"/>
    <s v="NJ"/>
    <n v="27420"/>
    <n v="21620"/>
    <n v="5800"/>
    <n v="14000"/>
    <n v="14000"/>
    <n v="0"/>
  </r>
  <r>
    <n v="13367"/>
    <n v="13368"/>
    <x v="1"/>
    <s v="NJ-00033"/>
    <s v="ASBURY PARK"/>
    <n v="7762"/>
    <s v="MONMOUTH"/>
    <s v="NJ"/>
    <n v="25390"/>
    <n v="0"/>
    <n v="25390"/>
    <n v="0"/>
    <n v="0"/>
    <n v="0"/>
  </r>
  <r>
    <n v="13367"/>
    <n v="13368"/>
    <x v="1"/>
    <s v="NJ-00033"/>
    <s v="ASBURY PARK"/>
    <n v="8739"/>
    <s v="MONMOUTH"/>
    <s v="NJ"/>
    <n v="239444"/>
    <n v="104392"/>
    <n v="135052"/>
    <n v="529500"/>
    <n v="104400"/>
    <n v="125100"/>
  </r>
  <r>
    <n v="13367"/>
    <n v="13368"/>
    <x v="1"/>
    <s v="NJ-00033"/>
    <s v="ATLANTIC"/>
    <n v="8401"/>
    <s v="ATLANTIC"/>
    <s v="NJ"/>
    <n v="26170"/>
    <n v="0"/>
    <n v="26170"/>
    <n v="0"/>
    <n v="0"/>
    <n v="0"/>
  </r>
  <r>
    <n v="13367"/>
    <n v="13368"/>
    <x v="1"/>
    <s v="NJ-00033"/>
    <s v="ATLANTIC CITY"/>
    <n v="8002"/>
    <s v="ATLANTIC"/>
    <s v="NJ"/>
    <n v="109080"/>
    <n v="106130"/>
    <n v="2950"/>
    <n v="0"/>
    <n v="0"/>
    <n v="0"/>
  </r>
  <r>
    <n v="13367"/>
    <n v="13368"/>
    <x v="1"/>
    <s v="NJ-00033"/>
    <s v="ATLANTIC CITY"/>
    <n v="8221"/>
    <s v="ATLANTIC"/>
    <s v="NJ"/>
    <n v="0"/>
    <n v="0"/>
    <n v="0"/>
    <n v="34600"/>
    <n v="0"/>
    <n v="0"/>
  </r>
  <r>
    <n v="13367"/>
    <n v="13368"/>
    <x v="1"/>
    <s v="NJ-00033"/>
    <s v="ATLANTIC CITY"/>
    <n v="8225"/>
    <s v="ATLANTIC"/>
    <s v="NJ"/>
    <n v="68526"/>
    <n v="60726"/>
    <n v="7800"/>
    <n v="0"/>
    <n v="0"/>
    <n v="0"/>
  </r>
  <r>
    <n v="13367"/>
    <n v="13368"/>
    <x v="1"/>
    <s v="NJ-00033"/>
    <s v="ATLANTIC CITY"/>
    <n v="8232"/>
    <s v="ATLANTIC"/>
    <s v="NJ"/>
    <n v="12598"/>
    <n v="0"/>
    <n v="12598"/>
    <n v="0"/>
    <n v="0"/>
    <n v="0"/>
  </r>
  <r>
    <n v="13367"/>
    <n v="13368"/>
    <x v="1"/>
    <s v="NJ-00033"/>
    <s v="ATLANTIC CITY"/>
    <n v="8234"/>
    <s v="ATLANTIC"/>
    <s v="NJ"/>
    <n v="86679"/>
    <n v="82991"/>
    <n v="3688"/>
    <n v="0"/>
    <n v="0"/>
    <n v="0"/>
  </r>
  <r>
    <n v="13367"/>
    <n v="13368"/>
    <x v="1"/>
    <s v="NJ-00033"/>
    <s v="ATLANTIC CITY"/>
    <n v="8401"/>
    <s v="ATLANTIC"/>
    <s v="NJ"/>
    <n v="16754698"/>
    <n v="13181891"/>
    <n v="3572807"/>
    <n v="4808700"/>
    <n v="2953200"/>
    <n v="796700"/>
  </r>
  <r>
    <n v="13367"/>
    <n v="13368"/>
    <x v="1"/>
    <s v="NJ-00033"/>
    <s v="ATLANTIC CITY"/>
    <n v="8402"/>
    <s v="ATLANTIC"/>
    <s v="NJ"/>
    <n v="438341"/>
    <n v="381076"/>
    <n v="57265"/>
    <n v="0"/>
    <n v="0"/>
    <n v="0"/>
  </r>
  <r>
    <n v="13367"/>
    <n v="13368"/>
    <x v="1"/>
    <s v="NJ-00033"/>
    <s v="ATLANTIC CITY"/>
    <n v="8404"/>
    <s v="ATLANTIC"/>
    <s v="NJ"/>
    <n v="130010"/>
    <n v="128410"/>
    <n v="1600"/>
    <n v="0"/>
    <n v="0"/>
    <n v="0"/>
  </r>
  <r>
    <n v="13367"/>
    <n v="13368"/>
    <x v="1"/>
    <s v="NJ-00033"/>
    <s v="ATLANTIC HIGHLANDS"/>
    <n v="7716"/>
    <s v="MONMOUTH"/>
    <s v="NJ"/>
    <n v="1431541"/>
    <n v="464139"/>
    <n v="967402"/>
    <n v="501500"/>
    <n v="92300"/>
    <n v="291600"/>
  </r>
  <r>
    <n v="13367"/>
    <n v="13368"/>
    <x v="1"/>
    <s v="NJ-00033"/>
    <s v="ATLANTIC HIGHLANDS"/>
    <n v="7716"/>
    <s v="OCEAN"/>
    <s v="NJ"/>
    <n v="51616"/>
    <n v="28398"/>
    <n v="23218"/>
    <n v="14000"/>
    <n v="0"/>
    <n v="14000"/>
  </r>
  <r>
    <n v="13367"/>
    <n v="13368"/>
    <x v="1"/>
    <s v="NJ-00033"/>
    <s v="AVALON"/>
    <n v="8202"/>
    <s v="CAPE MAY"/>
    <s v="NJ"/>
    <n v="2950757"/>
    <n v="1766263"/>
    <n v="1184494"/>
    <n v="205800"/>
    <n v="72900"/>
    <n v="132900"/>
  </r>
  <r>
    <n v="13367"/>
    <n v="13368"/>
    <x v="1"/>
    <s v="NJ-00033"/>
    <s v="AVENEL"/>
    <n v="7001"/>
    <s v="MIDDLESEX"/>
    <s v="NJ"/>
    <n v="6540089"/>
    <n v="908346"/>
    <n v="5631743"/>
    <n v="245200"/>
    <n v="1400"/>
    <n v="185600"/>
  </r>
  <r>
    <n v="13367"/>
    <n v="13368"/>
    <x v="1"/>
    <s v="NJ-00033"/>
    <s v="AVON"/>
    <n v="7717"/>
    <s v="MONMOUTH"/>
    <s v="NJ"/>
    <n v="71578"/>
    <n v="53953"/>
    <n v="17625"/>
    <n v="0"/>
    <n v="0"/>
    <n v="0"/>
  </r>
  <r>
    <n v="13367"/>
    <n v="13368"/>
    <x v="1"/>
    <s v="NJ-00033"/>
    <s v="AVON BY SEA"/>
    <n v="7717"/>
    <s v="MONMOUTH"/>
    <s v="NJ"/>
    <n v="20767"/>
    <n v="20767"/>
    <n v="0"/>
    <n v="0"/>
    <n v="0"/>
    <n v="0"/>
  </r>
  <r>
    <n v="13367"/>
    <n v="13368"/>
    <x v="1"/>
    <s v="NJ-00033"/>
    <s v="AVON BY THE SEA"/>
    <n v="7717"/>
    <s v="MONMOUTH"/>
    <s v="NJ"/>
    <n v="417482"/>
    <n v="409357"/>
    <n v="8125"/>
    <n v="286300"/>
    <n v="286300"/>
    <n v="0"/>
  </r>
  <r>
    <n v="13367"/>
    <n v="13368"/>
    <x v="1"/>
    <s v="NJ-00033"/>
    <s v="AVON BY THE SEA"/>
    <n v="8736"/>
    <s v="MONMOUTH"/>
    <s v="NJ"/>
    <n v="39938"/>
    <n v="16938"/>
    <n v="23000"/>
    <n v="0"/>
    <n v="0"/>
    <n v="0"/>
  </r>
  <r>
    <n v="13367"/>
    <n v="13368"/>
    <x v="1"/>
    <s v="NJ-00033"/>
    <s v="BARNEGAT"/>
    <n v="8005"/>
    <s v="OCEAN"/>
    <s v="NJ"/>
    <n v="1769061"/>
    <n v="1729901"/>
    <n v="39160"/>
    <n v="1508700"/>
    <n v="1488200"/>
    <n v="14200"/>
  </r>
  <r>
    <n v="13367"/>
    <n v="13368"/>
    <x v="1"/>
    <s v="NJ-00033"/>
    <s v="BARNEGAT LIGHT"/>
    <n v="8006"/>
    <s v="OCEAN"/>
    <s v="NJ"/>
    <n v="179645"/>
    <n v="128840"/>
    <n v="50805"/>
    <n v="29100"/>
    <n v="21500"/>
    <n v="0"/>
  </r>
  <r>
    <n v="13367"/>
    <n v="13368"/>
    <x v="1"/>
    <s v="NJ-00033"/>
    <s v="BASKING RIDGE"/>
    <n v="7920"/>
    <s v="SOMERSET"/>
    <s v="NJ"/>
    <n v="22605"/>
    <n v="0"/>
    <n v="22605"/>
    <n v="0"/>
    <n v="0"/>
    <n v="0"/>
  </r>
  <r>
    <n v="13367"/>
    <n v="13368"/>
    <x v="1"/>
    <s v="NJ-00033"/>
    <s v="BAY HEAD"/>
    <n v="8742"/>
    <s v="OCEAN"/>
    <s v="NJ"/>
    <n v="4511007"/>
    <n v="2994301"/>
    <n v="1516706"/>
    <n v="2126000"/>
    <n v="1072500"/>
    <n v="690000"/>
  </r>
  <r>
    <n v="13367"/>
    <n v="13368"/>
    <x v="1"/>
    <s v="NJ-00033"/>
    <s v="BAYONNE"/>
    <n v="7002"/>
    <s v="HUDSON"/>
    <s v="NJ"/>
    <n v="4806607"/>
    <n v="2934867"/>
    <n v="1871740"/>
    <n v="797500"/>
    <n v="447200"/>
    <n v="242600"/>
  </r>
  <r>
    <n v="13367"/>
    <n v="13368"/>
    <x v="1"/>
    <s v="NJ-00033"/>
    <s v="BAYONNE"/>
    <n v="8540"/>
    <s v="HUDSON"/>
    <s v="NJ"/>
    <n v="4010"/>
    <n v="4010"/>
    <n v="0"/>
    <n v="0"/>
    <n v="0"/>
    <n v="0"/>
  </r>
  <r>
    <n v="13367"/>
    <n v="13368"/>
    <x v="1"/>
    <s v="NJ-00033"/>
    <s v="BAYVIILE"/>
    <n v="8721"/>
    <s v="OCEAN"/>
    <s v="NJ"/>
    <n v="831529"/>
    <n v="456448"/>
    <n v="375081"/>
    <n v="0"/>
    <n v="0"/>
    <n v="0"/>
  </r>
  <r>
    <n v="13367"/>
    <n v="13368"/>
    <x v="1"/>
    <s v="NJ-00033"/>
    <s v="BAYVILLE"/>
    <n v="8721"/>
    <s v="OCEAN"/>
    <s v="NJ"/>
    <n v="4560959"/>
    <n v="3957416"/>
    <n v="603543"/>
    <n v="1352400"/>
    <n v="1264500"/>
    <n v="11100"/>
  </r>
  <r>
    <n v="13367"/>
    <n v="13368"/>
    <x v="1"/>
    <s v="NJ-00033"/>
    <s v="BEAC HAVEN GARDENS"/>
    <n v="8008"/>
    <s v="OCEAN"/>
    <s v="NJ"/>
    <n v="29283"/>
    <n v="8802"/>
    <n v="20481"/>
    <n v="0"/>
    <n v="0"/>
    <n v="0"/>
  </r>
  <r>
    <n v="13367"/>
    <n v="13368"/>
    <x v="1"/>
    <s v="NJ-00033"/>
    <s v="BEACH HAVEN"/>
    <n v="8002"/>
    <s v="OCEAN"/>
    <s v="NJ"/>
    <n v="778"/>
    <n v="778"/>
    <n v="0"/>
    <n v="0"/>
    <n v="0"/>
    <n v="0"/>
  </r>
  <r>
    <n v="13367"/>
    <n v="13368"/>
    <x v="1"/>
    <s v="NJ-00033"/>
    <s v="BEACH HAVEN"/>
    <n v="8008"/>
    <s v="OCEAN"/>
    <s v="NJ"/>
    <n v="11846676"/>
    <n v="8670575"/>
    <n v="3176101"/>
    <n v="4012700"/>
    <n v="2207700"/>
    <n v="1074700"/>
  </r>
  <r>
    <n v="13367"/>
    <n v="13368"/>
    <x v="1"/>
    <s v="NJ-00033"/>
    <s v="BEACH HAVEN"/>
    <n v="8087"/>
    <s v="OCEAN"/>
    <s v="NJ"/>
    <n v="20397"/>
    <n v="3437"/>
    <n v="16960"/>
    <n v="13400"/>
    <n v="0"/>
    <n v="13400"/>
  </r>
  <r>
    <n v="13367"/>
    <n v="13368"/>
    <x v="1"/>
    <s v="NJ-00033"/>
    <s v="BEACH HAVEN CREST"/>
    <n v="8008"/>
    <s v="OCEAN"/>
    <s v="NJ"/>
    <n v="148234"/>
    <n v="112999"/>
    <n v="35235"/>
    <n v="0"/>
    <n v="0"/>
    <n v="0"/>
  </r>
  <r>
    <n v="13367"/>
    <n v="13368"/>
    <x v="1"/>
    <s v="NJ-00033"/>
    <s v="BEACH HAVEN GARDEN"/>
    <n v="8008"/>
    <s v="OCEAN"/>
    <s v="NJ"/>
    <n v="68899"/>
    <n v="51299"/>
    <n v="17600"/>
    <n v="0"/>
    <n v="0"/>
    <n v="0"/>
  </r>
  <r>
    <n v="13367"/>
    <n v="13368"/>
    <x v="1"/>
    <s v="NJ-00033"/>
    <s v="BEACH HAVEN GARDENS"/>
    <n v="8008"/>
    <s v="OCEAN"/>
    <s v="NJ"/>
    <n v="1151735"/>
    <n v="727149"/>
    <n v="424586"/>
    <n v="273800"/>
    <n v="187100"/>
    <n v="86700"/>
  </r>
  <r>
    <n v="13367"/>
    <n v="13368"/>
    <x v="1"/>
    <s v="NJ-00033"/>
    <s v="BEACH HAVEN PARK"/>
    <n v="8008"/>
    <s v="OCEAN"/>
    <s v="NJ"/>
    <n v="65395"/>
    <n v="50930"/>
    <n v="14465"/>
    <n v="45400"/>
    <n v="36000"/>
    <n v="9400"/>
  </r>
  <r>
    <n v="13367"/>
    <n v="13368"/>
    <x v="1"/>
    <s v="NJ-00033"/>
    <s v="BEACH HAVEN TERRACE"/>
    <n v="8008"/>
    <s v="OCEAN"/>
    <s v="NJ"/>
    <n v="419596"/>
    <n v="373113"/>
    <n v="46483"/>
    <n v="54800"/>
    <n v="39800"/>
    <n v="15000"/>
  </r>
  <r>
    <n v="13367"/>
    <n v="13368"/>
    <x v="1"/>
    <s v="NJ-00033"/>
    <s v="BEACH HAVEN WEST"/>
    <n v="8050"/>
    <s v="OCEAN"/>
    <s v="NJ"/>
    <n v="85567"/>
    <n v="79710"/>
    <n v="5857"/>
    <n v="28800"/>
    <n v="28800"/>
    <n v="0"/>
  </r>
  <r>
    <n v="13367"/>
    <n v="13368"/>
    <x v="1"/>
    <s v="NJ-00033"/>
    <s v="BEACHWOOD"/>
    <n v="8722"/>
    <s v="OCEAN"/>
    <s v="NJ"/>
    <n v="8739"/>
    <n v="8739"/>
    <n v="0"/>
    <n v="0"/>
    <n v="0"/>
    <n v="0"/>
  </r>
  <r>
    <n v="13367"/>
    <n v="13368"/>
    <x v="1"/>
    <s v="NJ-00033"/>
    <s v="BEACHWOOD AVE"/>
    <n v="8722"/>
    <s v="OCEAN"/>
    <s v="NJ"/>
    <n v="36644"/>
    <n v="35544"/>
    <n v="1100"/>
    <n v="0"/>
    <n v="0"/>
    <n v="0"/>
  </r>
  <r>
    <n v="13367"/>
    <n v="13368"/>
    <x v="1"/>
    <s v="NJ-00033"/>
    <s v="BELFORD"/>
    <n v="7718"/>
    <s v="MONMOUTH"/>
    <s v="NJ"/>
    <n v="800694"/>
    <n v="569493"/>
    <n v="231201"/>
    <n v="91200"/>
    <n v="12000"/>
    <n v="31500"/>
  </r>
  <r>
    <n v="13367"/>
    <n v="13368"/>
    <x v="1"/>
    <s v="NJ-00033"/>
    <s v="BELLEVILLE"/>
    <n v="7109"/>
    <s v="ESSEX"/>
    <s v="NJ"/>
    <n v="581125"/>
    <n v="69874"/>
    <n v="511251"/>
    <n v="112900"/>
    <n v="9500"/>
    <n v="1100"/>
  </r>
  <r>
    <n v="13367"/>
    <n v="13368"/>
    <x v="1"/>
    <s v="NJ-00033"/>
    <s v="BELLEVILLE"/>
    <n v="7109"/>
    <s v="HUDSON"/>
    <s v="NJ"/>
    <n v="44500"/>
    <n v="0"/>
    <n v="44500"/>
    <n v="39400"/>
    <n v="10500"/>
    <n v="0"/>
  </r>
  <r>
    <n v="13367"/>
    <n v="13368"/>
    <x v="1"/>
    <s v="NJ-00033"/>
    <s v="BELLEVILLE"/>
    <n v="7109"/>
    <s v="PASSAIC"/>
    <s v="NJ"/>
    <n v="15000"/>
    <n v="0"/>
    <n v="15000"/>
    <n v="0"/>
    <n v="0"/>
    <n v="0"/>
  </r>
  <r>
    <n v="13367"/>
    <n v="13368"/>
    <x v="1"/>
    <s v="NJ-00033"/>
    <s v="BELMAR"/>
    <n v="7719"/>
    <s v="MONMOUTH"/>
    <s v="NJ"/>
    <n v="10812003"/>
    <n v="9185026"/>
    <n v="1626977"/>
    <n v="2208900"/>
    <n v="1252000"/>
    <n v="629900"/>
  </r>
  <r>
    <n v="13367"/>
    <n v="13368"/>
    <x v="1"/>
    <s v="NJ-00033"/>
    <s v="BELMAR"/>
    <n v="7719"/>
    <s v="OCEAN"/>
    <s v="NJ"/>
    <n v="15844"/>
    <n v="8544"/>
    <n v="7300"/>
    <n v="0"/>
    <n v="0"/>
    <n v="0"/>
  </r>
  <r>
    <n v="13367"/>
    <n v="13368"/>
    <x v="1"/>
    <s v="NJ-00033"/>
    <s v="BELMAR BORO"/>
    <n v="7719"/>
    <s v="MONMOUTH"/>
    <s v="NJ"/>
    <n v="0"/>
    <n v="0"/>
    <n v="0"/>
    <n v="39700"/>
    <n v="0"/>
    <n v="0"/>
  </r>
  <r>
    <n v="13367"/>
    <n v="13368"/>
    <x v="1"/>
    <s v="NJ-00033"/>
    <s v="BELVIDERE"/>
    <n v="7823"/>
    <s v="WARREN"/>
    <s v="NJ"/>
    <n v="53814"/>
    <n v="53814"/>
    <n v="0"/>
    <n v="0"/>
    <n v="0"/>
    <n v="0"/>
  </r>
  <r>
    <n v="13367"/>
    <n v="13368"/>
    <x v="1"/>
    <s v="NJ-00033"/>
    <s v="BERGENFIELD"/>
    <n v="7621"/>
    <s v="BERGEN"/>
    <s v="NJ"/>
    <n v="43852"/>
    <n v="0"/>
    <n v="43852"/>
    <n v="0"/>
    <n v="0"/>
    <n v="0"/>
  </r>
  <r>
    <n v="13367"/>
    <n v="13368"/>
    <x v="1"/>
    <s v="NJ-00033"/>
    <s v="BERKELEY HEIGHTS"/>
    <n v="7922"/>
    <s v="UNION"/>
    <s v="NJ"/>
    <n v="18420"/>
    <n v="18420"/>
    <n v="0"/>
    <n v="0"/>
    <n v="0"/>
    <n v="0"/>
  </r>
  <r>
    <n v="13367"/>
    <n v="13368"/>
    <x v="1"/>
    <s v="NJ-00033"/>
    <s v="BERKELEY MEADOWS"/>
    <n v="7922"/>
    <s v="UNION"/>
    <s v="NJ"/>
    <n v="79154"/>
    <n v="79154"/>
    <n v="0"/>
    <n v="0"/>
    <n v="0"/>
    <n v="0"/>
  </r>
  <r>
    <n v="13367"/>
    <n v="13368"/>
    <x v="1"/>
    <s v="NJ-00033"/>
    <s v="BERNARDSVILLE"/>
    <n v="7924"/>
    <s v="SOMERSET"/>
    <s v="NJ"/>
    <n v="177844"/>
    <n v="177844"/>
    <n v="0"/>
    <n v="26000"/>
    <n v="0"/>
    <n v="0"/>
  </r>
  <r>
    <n v="13367"/>
    <n v="13368"/>
    <x v="1"/>
    <s v="NJ-00033"/>
    <s v="BIRGATINE"/>
    <n v="8203"/>
    <s v="ATLANTIC"/>
    <s v="NJ"/>
    <n v="111409"/>
    <n v="107409"/>
    <n v="4000"/>
    <n v="0"/>
    <n v="0"/>
    <n v="0"/>
  </r>
  <r>
    <n v="13367"/>
    <n v="13368"/>
    <x v="1"/>
    <s v="NJ-00033"/>
    <s v="BLOOMFIELD"/>
    <n v="7003"/>
    <s v="ESSEX"/>
    <s v="NJ"/>
    <n v="158884"/>
    <n v="144643"/>
    <n v="14241"/>
    <n v="113300"/>
    <n v="0"/>
    <n v="9800"/>
  </r>
  <r>
    <n v="13367"/>
    <n v="13368"/>
    <x v="1"/>
    <s v="NJ-00033"/>
    <s v="BOONTON"/>
    <n v="7005"/>
    <s v="MORRIS"/>
    <s v="NJ"/>
    <n v="26180"/>
    <n v="0"/>
    <n v="26180"/>
    <n v="0"/>
    <n v="0"/>
    <n v="0"/>
  </r>
  <r>
    <n v="13367"/>
    <n v="13368"/>
    <x v="1"/>
    <s v="NJ-00033"/>
    <s v="BORDENTOWN"/>
    <n v="8505"/>
    <s v="BURLINGTON"/>
    <s v="NJ"/>
    <n v="0"/>
    <n v="0"/>
    <n v="0"/>
    <n v="37500"/>
    <n v="0"/>
    <n v="0"/>
  </r>
  <r>
    <n v="13367"/>
    <n v="13368"/>
    <x v="1"/>
    <s v="NJ-00033"/>
    <s v="BOUND BROOK"/>
    <n v="8805"/>
    <s v="SOMERSET"/>
    <s v="NJ"/>
    <n v="49157"/>
    <n v="49157"/>
    <n v="0"/>
    <n v="106100"/>
    <n v="28800"/>
    <n v="0"/>
  </r>
  <r>
    <n v="13367"/>
    <n v="13368"/>
    <x v="1"/>
    <s v="NJ-00033"/>
    <s v="BRADLEY BEACH"/>
    <n v="7720"/>
    <s v="MONMOUTH"/>
    <s v="NJ"/>
    <n v="743600"/>
    <n v="611049"/>
    <n v="132551"/>
    <n v="778700"/>
    <n v="561700"/>
    <n v="119200"/>
  </r>
  <r>
    <n v="13367"/>
    <n v="13368"/>
    <x v="1"/>
    <s v="NJ-00033"/>
    <s v="BRANCHBURG"/>
    <n v="8853"/>
    <s v="SOMERSET"/>
    <s v="NJ"/>
    <n v="40000"/>
    <n v="40000"/>
    <n v="0"/>
    <n v="0"/>
    <n v="0"/>
    <n v="0"/>
  </r>
  <r>
    <n v="13367"/>
    <n v="13368"/>
    <x v="1"/>
    <s v="NJ-00033"/>
    <s v="BRANCHBURG"/>
    <n v="8876"/>
    <s v="SOMERSET"/>
    <s v="NJ"/>
    <n v="499411"/>
    <n v="3724"/>
    <n v="495687"/>
    <n v="0"/>
    <n v="0"/>
    <n v="0"/>
  </r>
  <r>
    <n v="13367"/>
    <n v="13368"/>
    <x v="1"/>
    <s v="NJ-00033"/>
    <s v="BRANT BEACH"/>
    <n v="8008"/>
    <s v="OCEAN"/>
    <s v="NJ"/>
    <n v="1650873"/>
    <n v="1265241"/>
    <n v="385632"/>
    <n v="437200"/>
    <n v="338600"/>
    <n v="98600"/>
  </r>
  <r>
    <n v="13367"/>
    <n v="13368"/>
    <x v="1"/>
    <s v="NJ-00033"/>
    <s v="BRICK"/>
    <n v="8723"/>
    <s v="OCEAN"/>
    <s v="NJ"/>
    <n v="7004768"/>
    <n v="5397090"/>
    <n v="1607678"/>
    <n v="4178000"/>
    <n v="2775000"/>
    <n v="920800"/>
  </r>
  <r>
    <n v="13367"/>
    <n v="13368"/>
    <x v="1"/>
    <s v="NJ-00033"/>
    <s v="BRICK"/>
    <n v="8724"/>
    <s v="OCEAN"/>
    <s v="NJ"/>
    <n v="3215155"/>
    <n v="2019433"/>
    <n v="1195722"/>
    <n v="2425400"/>
    <n v="1525200"/>
    <n v="649300"/>
  </r>
  <r>
    <n v="13367"/>
    <n v="13368"/>
    <x v="1"/>
    <s v="NJ-00033"/>
    <s v="BRICK"/>
    <n v="8738"/>
    <s v="OCEAN"/>
    <s v="NJ"/>
    <n v="94035"/>
    <n v="82235"/>
    <n v="11800"/>
    <n v="0"/>
    <n v="0"/>
    <n v="0"/>
  </r>
  <r>
    <n v="13367"/>
    <n v="13368"/>
    <x v="1"/>
    <s v="NJ-00033"/>
    <s v="BRICK"/>
    <n v="8753"/>
    <s v="OCEAN"/>
    <s v="NJ"/>
    <n v="719877"/>
    <n v="650607"/>
    <n v="69270"/>
    <n v="0"/>
    <n v="0"/>
    <n v="0"/>
  </r>
  <r>
    <n v="13367"/>
    <n v="13368"/>
    <x v="1"/>
    <s v="NJ-00033"/>
    <s v="BRICK TOWN"/>
    <n v="8723"/>
    <s v="OCEAN"/>
    <s v="NJ"/>
    <n v="7475"/>
    <n v="0"/>
    <n v="7475"/>
    <n v="0"/>
    <n v="0"/>
    <n v="0"/>
  </r>
  <r>
    <n v="13367"/>
    <n v="13368"/>
    <x v="1"/>
    <s v="NJ-00033"/>
    <s v="BRICK TOWNSHIP"/>
    <n v="8724"/>
    <s v="OCEAN"/>
    <s v="NJ"/>
    <n v="99070"/>
    <n v="80170"/>
    <n v="18900"/>
    <n v="0"/>
    <n v="0"/>
    <n v="0"/>
  </r>
  <r>
    <n v="13367"/>
    <n v="13368"/>
    <x v="1"/>
    <s v="NJ-00033"/>
    <s v="BRIDGETON"/>
    <n v="8302"/>
    <s v="CUMBERLAND"/>
    <s v="NJ"/>
    <n v="190443"/>
    <n v="157388"/>
    <n v="33055"/>
    <n v="0"/>
    <n v="0"/>
    <n v="0"/>
  </r>
  <r>
    <n v="13367"/>
    <n v="13368"/>
    <x v="1"/>
    <s v="NJ-00033"/>
    <s v="BRIDGEWATER"/>
    <n v="8742"/>
    <s v="OCEAN"/>
    <s v="NJ"/>
    <n v="50872"/>
    <n v="45472"/>
    <n v="5400"/>
    <n v="0"/>
    <n v="0"/>
    <n v="0"/>
  </r>
  <r>
    <n v="13367"/>
    <n v="13368"/>
    <x v="1"/>
    <s v="NJ-00033"/>
    <s v="BRIDGEWATER"/>
    <n v="8807"/>
    <s v="SOMERSET"/>
    <s v="NJ"/>
    <n v="144341"/>
    <n v="79541"/>
    <n v="64800"/>
    <n v="137300"/>
    <n v="0"/>
    <n v="64800"/>
  </r>
  <r>
    <n v="13367"/>
    <n v="13368"/>
    <x v="1"/>
    <s v="NJ-00033"/>
    <s v="BRIELLE"/>
    <n v="7730"/>
    <s v="MONMOUTH"/>
    <s v="NJ"/>
    <n v="3440"/>
    <n v="0"/>
    <n v="3440"/>
    <n v="0"/>
    <n v="0"/>
    <n v="0"/>
  </r>
  <r>
    <n v="13367"/>
    <n v="13368"/>
    <x v="1"/>
    <s v="NJ-00033"/>
    <s v="BRIELLE"/>
    <n v="8730"/>
    <s v="MONMOUTH"/>
    <s v="NJ"/>
    <n v="1103448"/>
    <n v="984851"/>
    <n v="118597"/>
    <n v="539700"/>
    <n v="438400"/>
    <n v="36000"/>
  </r>
  <r>
    <n v="13367"/>
    <n v="13368"/>
    <x v="1"/>
    <s v="NJ-00033"/>
    <s v="BRIGANINE"/>
    <n v="8203"/>
    <s v="ATLANTIC"/>
    <s v="NJ"/>
    <n v="31710"/>
    <n v="22508"/>
    <n v="9202"/>
    <n v="0"/>
    <n v="0"/>
    <n v="0"/>
  </r>
  <r>
    <n v="13367"/>
    <n v="13368"/>
    <x v="1"/>
    <s v="NJ-00033"/>
    <s v="BRIGANTINE"/>
    <n v="8203"/>
    <s v="ATLANTIC"/>
    <s v="NJ"/>
    <n v="5404528"/>
    <n v="4556223"/>
    <n v="848305"/>
    <n v="1273300"/>
    <n v="1108300"/>
    <n v="145100"/>
  </r>
  <r>
    <n v="13367"/>
    <n v="13368"/>
    <x v="1"/>
    <s v="NJ-00033"/>
    <s v="BRIGANTINE"/>
    <n v="8302"/>
    <s v="ATLANTIC"/>
    <s v="NJ"/>
    <n v="208651"/>
    <n v="208651"/>
    <n v="0"/>
    <n v="253000"/>
    <n v="253000"/>
    <n v="0"/>
  </r>
  <r>
    <n v="13367"/>
    <n v="13368"/>
    <x v="1"/>
    <s v="NJ-00033"/>
    <s v="BRIGANTINE"/>
    <n v="8406"/>
    <s v="ATLANTIC"/>
    <s v="NJ"/>
    <n v="182421"/>
    <n v="129611"/>
    <n v="52810"/>
    <n v="0"/>
    <n v="0"/>
    <n v="0"/>
  </r>
  <r>
    <n v="13367"/>
    <n v="13368"/>
    <x v="1"/>
    <s v="NJ-00033"/>
    <s v="BRIGHTON"/>
    <n v="8008"/>
    <s v="OCEAN"/>
    <s v="NJ"/>
    <n v="191238"/>
    <n v="161238"/>
    <n v="30000"/>
    <n v="20000"/>
    <n v="0"/>
    <n v="20000"/>
  </r>
  <r>
    <n v="13367"/>
    <n v="13368"/>
    <x v="1"/>
    <s v="NJ-00033"/>
    <s v="BRIGHTON BEACH"/>
    <n v="8008"/>
    <s v="OCEAN"/>
    <s v="NJ"/>
    <n v="90429"/>
    <n v="76479"/>
    <n v="13950"/>
    <n v="0"/>
    <n v="0"/>
    <n v="0"/>
  </r>
  <r>
    <n v="13367"/>
    <n v="13368"/>
    <x v="1"/>
    <s v="NJ-00033"/>
    <s v="BRINGANTINE"/>
    <n v="8203"/>
    <s v="ATLANTIC"/>
    <s v="NJ"/>
    <n v="32838"/>
    <n v="31763"/>
    <n v="1075"/>
    <n v="0"/>
    <n v="0"/>
    <n v="0"/>
  </r>
  <r>
    <n v="13367"/>
    <n v="13368"/>
    <x v="1"/>
    <s v="NJ-00033"/>
    <s v="BRONX"/>
    <n v="10940"/>
    <s v="BRONX"/>
    <s v="NY"/>
    <n v="0"/>
    <n v="0"/>
    <n v="0"/>
    <n v="4700"/>
    <n v="0"/>
    <n v="0"/>
  </r>
  <r>
    <n v="13367"/>
    <n v="13368"/>
    <x v="1"/>
    <s v="NJ-00033"/>
    <s v="BUDD LAKE"/>
    <n v="7828"/>
    <s v="MORRIS"/>
    <s v="NJ"/>
    <n v="9525"/>
    <n v="0"/>
    <n v="9525"/>
    <n v="22200"/>
    <n v="0"/>
    <n v="0"/>
  </r>
  <r>
    <n v="13367"/>
    <n v="13368"/>
    <x v="1"/>
    <s v="NJ-00033"/>
    <s v="BYRAM TOWNSHIP"/>
    <n v="7821"/>
    <s v="SUSSEX"/>
    <s v="NJ"/>
    <n v="44114"/>
    <n v="42914"/>
    <n v="1200"/>
    <n v="49900"/>
    <n v="43000"/>
    <n v="1200"/>
  </r>
  <r>
    <n v="13367"/>
    <n v="13368"/>
    <x v="1"/>
    <s v="NJ-00033"/>
    <s v="CALIFON"/>
    <n v="7830"/>
    <s v="HUNTERDON"/>
    <s v="NJ"/>
    <n v="134527"/>
    <n v="134527"/>
    <n v="0"/>
    <n v="69900"/>
    <n v="69900"/>
    <n v="0"/>
  </r>
  <r>
    <n v="13367"/>
    <n v="13368"/>
    <x v="1"/>
    <s v="NJ-00033"/>
    <s v="CAMDEN"/>
    <n v="8104"/>
    <s v="CAMDEN"/>
    <s v="NJ"/>
    <n v="600"/>
    <n v="0"/>
    <n v="600"/>
    <n v="0"/>
    <n v="0"/>
    <n v="0"/>
  </r>
  <r>
    <n v="13367"/>
    <n v="13368"/>
    <x v="1"/>
    <s v="NJ-00033"/>
    <s v="CAPE MAY"/>
    <n v="8204"/>
    <s v="CAPE MAY"/>
    <s v="NJ"/>
    <n v="958171"/>
    <n v="896113"/>
    <n v="62058"/>
    <n v="264900"/>
    <n v="61500"/>
    <n v="13300"/>
  </r>
  <r>
    <n v="13367"/>
    <n v="13368"/>
    <x v="1"/>
    <s v="NJ-00033"/>
    <s v="CAPE MAY"/>
    <n v="8230"/>
    <s v="CAPE MAY"/>
    <s v="NJ"/>
    <n v="93582"/>
    <n v="0"/>
    <n v="93582"/>
    <n v="127900"/>
    <n v="0"/>
    <n v="93600"/>
  </r>
  <r>
    <n v="13367"/>
    <n v="13368"/>
    <x v="1"/>
    <s v="NJ-00033"/>
    <s v="CAPE MAY COURT HOUSE"/>
    <n v="8210"/>
    <s v="CAPE MAY"/>
    <s v="NJ"/>
    <n v="142500"/>
    <n v="142500"/>
    <n v="0"/>
    <n v="0"/>
    <n v="0"/>
    <n v="0"/>
  </r>
  <r>
    <n v="13367"/>
    <n v="13368"/>
    <x v="1"/>
    <s v="NJ-00033"/>
    <s v="CAPE MAY POINT"/>
    <n v="8212"/>
    <s v="CAPE MAY"/>
    <s v="NJ"/>
    <n v="21187"/>
    <n v="21187"/>
    <n v="0"/>
    <n v="0"/>
    <n v="0"/>
    <n v="0"/>
  </r>
  <r>
    <n v="13367"/>
    <n v="13368"/>
    <x v="1"/>
    <s v="NJ-00033"/>
    <s v="CARLSTADT"/>
    <n v="7072"/>
    <s v="BERGEN"/>
    <s v="NJ"/>
    <n v="18816248"/>
    <n v="2262647"/>
    <n v="16553601"/>
    <n v="5916700"/>
    <n v="503900"/>
    <n v="4638000"/>
  </r>
  <r>
    <n v="13367"/>
    <n v="13368"/>
    <x v="1"/>
    <s v="NJ-00033"/>
    <s v="CARLSTADT"/>
    <n v="7644"/>
    <s v="BERGEN"/>
    <s v="NJ"/>
    <n v="241842"/>
    <n v="224892"/>
    <n v="16950"/>
    <n v="0"/>
    <n v="0"/>
    <n v="0"/>
  </r>
  <r>
    <n v="13367"/>
    <n v="13368"/>
    <x v="1"/>
    <s v="NJ-00033"/>
    <s v="CARTERET"/>
    <n v="7008"/>
    <s v="MIDDLESEX"/>
    <s v="NJ"/>
    <n v="213943"/>
    <n v="180032"/>
    <n v="33911"/>
    <n v="14600"/>
    <n v="0"/>
    <n v="2000"/>
  </r>
  <r>
    <n v="13367"/>
    <n v="13368"/>
    <x v="1"/>
    <s v="NJ-00033"/>
    <s v="CEDAR RUN"/>
    <n v="8092"/>
    <s v="OCEAN"/>
    <s v="NJ"/>
    <n v="58258"/>
    <n v="17112"/>
    <n v="41146"/>
    <n v="18100"/>
    <n v="17200"/>
    <n v="900"/>
  </r>
  <r>
    <n v="13367"/>
    <n v="13368"/>
    <x v="1"/>
    <s v="NJ-00033"/>
    <s v="CEDARVILLE"/>
    <n v="8311"/>
    <s v="CUMBERLAND"/>
    <s v="NJ"/>
    <n v="46284"/>
    <n v="46284"/>
    <n v="0"/>
    <n v="0"/>
    <n v="0"/>
    <n v="0"/>
  </r>
  <r>
    <n v="13367"/>
    <n v="13368"/>
    <x v="1"/>
    <s v="NJ-00033"/>
    <s v="CHADWICK BEACH"/>
    <n v="8735"/>
    <s v="OCEAN"/>
    <s v="NJ"/>
    <n v="45696"/>
    <n v="42446"/>
    <n v="3250"/>
    <n v="0"/>
    <n v="0"/>
    <n v="0"/>
  </r>
  <r>
    <n v="13367"/>
    <n v="13368"/>
    <x v="1"/>
    <s v="NJ-00033"/>
    <s v="CHATHAM"/>
    <n v="7928"/>
    <s v="BERGEN"/>
    <s v="NJ"/>
    <n v="3000"/>
    <n v="0"/>
    <n v="3000"/>
    <n v="5000"/>
    <n v="0"/>
    <n v="3000"/>
  </r>
  <r>
    <n v="13367"/>
    <n v="13368"/>
    <x v="1"/>
    <s v="NJ-00033"/>
    <s v="CHESTER"/>
    <n v="7930"/>
    <s v="MORRIS"/>
    <s v="NJ"/>
    <n v="35398"/>
    <n v="1198"/>
    <n v="34200"/>
    <n v="99600"/>
    <n v="0"/>
    <n v="0"/>
  </r>
  <r>
    <n v="13367"/>
    <n v="13368"/>
    <x v="1"/>
    <s v="NJ-00033"/>
    <s v="CLIFFSIDE PARK"/>
    <n v="7010"/>
    <s v="BERGEN"/>
    <s v="NJ"/>
    <n v="65000"/>
    <n v="0"/>
    <n v="65000"/>
    <n v="68300"/>
    <n v="0"/>
    <n v="47800"/>
  </r>
  <r>
    <n v="13367"/>
    <n v="13368"/>
    <x v="1"/>
    <s v="NJ-00033"/>
    <s v="CLIFFWOOD"/>
    <n v="7721"/>
    <s v="MONMOUTH"/>
    <s v="NJ"/>
    <n v="18133"/>
    <n v="0"/>
    <n v="18133"/>
    <n v="0"/>
    <n v="0"/>
    <n v="0"/>
  </r>
  <r>
    <n v="13367"/>
    <n v="13368"/>
    <x v="1"/>
    <s v="NJ-00033"/>
    <s v="CLIFFWOOD BEACH"/>
    <n v="7735"/>
    <s v="MONMOUTH"/>
    <s v="NJ"/>
    <n v="0"/>
    <n v="0"/>
    <n v="0"/>
    <n v="19700"/>
    <n v="0"/>
    <n v="0"/>
  </r>
  <r>
    <n v="13367"/>
    <n v="13368"/>
    <x v="1"/>
    <s v="NJ-00033"/>
    <s v="CLIFTON"/>
    <n v="7012"/>
    <s v="PASSAIC"/>
    <s v="NJ"/>
    <n v="0"/>
    <n v="0"/>
    <n v="0"/>
    <n v="24600"/>
    <n v="0"/>
    <n v="0"/>
  </r>
  <r>
    <n v="13367"/>
    <n v="13368"/>
    <x v="1"/>
    <s v="NJ-00033"/>
    <s v="CLIFTON"/>
    <n v="7014"/>
    <s v="PASSAIC"/>
    <s v="NJ"/>
    <n v="207450"/>
    <n v="0"/>
    <n v="207450"/>
    <n v="0"/>
    <n v="0"/>
    <n v="0"/>
  </r>
  <r>
    <n v="13367"/>
    <n v="13368"/>
    <x v="1"/>
    <s v="NJ-00033"/>
    <s v="CLINTON"/>
    <n v="8809"/>
    <s v="HUNTERDON"/>
    <s v="NJ"/>
    <n v="221558"/>
    <n v="179918"/>
    <n v="41640"/>
    <n v="0"/>
    <n v="0"/>
    <n v="0"/>
  </r>
  <r>
    <n v="13367"/>
    <n v="13368"/>
    <x v="1"/>
    <s v="NJ-00033"/>
    <s v="CLOSTER"/>
    <n v="7624"/>
    <s v="BERGEN"/>
    <s v="NJ"/>
    <n v="14119"/>
    <n v="14119"/>
    <n v="0"/>
    <n v="11700"/>
    <n v="11700"/>
    <n v="0"/>
  </r>
  <r>
    <n v="13367"/>
    <n v="13368"/>
    <x v="1"/>
    <s v="NJ-00033"/>
    <s v="COLONIA"/>
    <n v="7067"/>
    <s v="MIDDLESEX"/>
    <s v="NJ"/>
    <n v="150"/>
    <n v="0"/>
    <n v="150"/>
    <n v="0"/>
    <n v="0"/>
    <n v="0"/>
  </r>
  <r>
    <n v="13367"/>
    <n v="13368"/>
    <x v="1"/>
    <s v="NJ-00033"/>
    <s v="COLTS NECK"/>
    <n v="7722"/>
    <s v="MONMOUTH"/>
    <s v="NJ"/>
    <n v="20954"/>
    <n v="20954"/>
    <n v="0"/>
    <n v="136900"/>
    <n v="2400"/>
    <n v="0"/>
  </r>
  <r>
    <n v="13367"/>
    <n v="13368"/>
    <x v="1"/>
    <s v="NJ-00033"/>
    <s v="CRANFORD"/>
    <n v="7016"/>
    <s v="UNION"/>
    <s v="NJ"/>
    <n v="8000"/>
    <n v="0"/>
    <n v="8000"/>
    <n v="29400"/>
    <n v="0"/>
    <n v="0"/>
  </r>
  <r>
    <n v="13367"/>
    <n v="13368"/>
    <x v="1"/>
    <s v="NJ-00033"/>
    <s v="DEAL"/>
    <n v="7723"/>
    <s v="MONMOUTH"/>
    <s v="NJ"/>
    <n v="1841103"/>
    <n v="1841103"/>
    <n v="0"/>
    <n v="817900"/>
    <n v="817900"/>
    <n v="0"/>
  </r>
  <r>
    <n v="13367"/>
    <n v="13368"/>
    <x v="1"/>
    <s v="NJ-00033"/>
    <s v="DEL HAVEN"/>
    <n v="8251"/>
    <s v="CAPE MAY"/>
    <s v="NJ"/>
    <n v="39976"/>
    <n v="39976"/>
    <n v="0"/>
    <n v="0"/>
    <n v="0"/>
    <n v="0"/>
  </r>
  <r>
    <n v="13367"/>
    <n v="13368"/>
    <x v="1"/>
    <s v="NJ-00033"/>
    <s v="DELANCO"/>
    <n v="8075"/>
    <s v="BURLINGTON"/>
    <s v="NJ"/>
    <n v="238688"/>
    <n v="238688"/>
    <n v="0"/>
    <n v="0"/>
    <n v="0"/>
    <n v="0"/>
  </r>
  <r>
    <n v="13367"/>
    <n v="13368"/>
    <x v="1"/>
    <s v="NJ-00033"/>
    <s v="DELAWARE"/>
    <n v="7833"/>
    <s v="WARREN"/>
    <s v="NJ"/>
    <n v="19670"/>
    <n v="12768"/>
    <n v="6902"/>
    <n v="0"/>
    <n v="0"/>
    <n v="0"/>
  </r>
  <r>
    <n v="13367"/>
    <n v="13368"/>
    <x v="1"/>
    <s v="NJ-00033"/>
    <s v="DOVER TOWNSHIP"/>
    <n v="8735"/>
    <s v="OCEAN"/>
    <s v="NJ"/>
    <n v="32575"/>
    <n v="24425"/>
    <n v="8150"/>
    <n v="32600"/>
    <n v="24500"/>
    <n v="8100"/>
  </r>
  <r>
    <n v="13367"/>
    <n v="13368"/>
    <x v="1"/>
    <s v="NJ-00033"/>
    <s v="DUMONT"/>
    <n v="7628"/>
    <s v="BERGEN"/>
    <s v="NJ"/>
    <n v="98369"/>
    <n v="23361"/>
    <n v="75008"/>
    <n v="59300"/>
    <n v="23400"/>
    <n v="35900"/>
  </r>
  <r>
    <n v="13367"/>
    <n v="13368"/>
    <x v="1"/>
    <s v="NJ-00033"/>
    <s v="DUNELLEN"/>
    <n v="8812"/>
    <s v="MIDDLESEX"/>
    <s v="NJ"/>
    <n v="121943"/>
    <n v="82832"/>
    <n v="39111"/>
    <n v="34300"/>
    <n v="34300"/>
    <n v="0"/>
  </r>
  <r>
    <n v="13367"/>
    <n v="13368"/>
    <x v="1"/>
    <s v="NJ-00033"/>
    <s v="EAST BRUNSWICK"/>
    <n v="8816"/>
    <s v="MIDDLESEX"/>
    <s v="NJ"/>
    <n v="554065"/>
    <n v="85382"/>
    <n v="468683"/>
    <n v="509600"/>
    <n v="85500"/>
    <n v="73700"/>
  </r>
  <r>
    <n v="13367"/>
    <n v="13368"/>
    <x v="1"/>
    <s v="NJ-00033"/>
    <s v="EAST HANOVER"/>
    <n v="7936"/>
    <s v="MORRIS"/>
    <s v="NJ"/>
    <n v="19377"/>
    <n v="0"/>
    <n v="19377"/>
    <n v="0"/>
    <n v="0"/>
    <n v="0"/>
  </r>
  <r>
    <n v="13367"/>
    <n v="13368"/>
    <x v="1"/>
    <s v="NJ-00033"/>
    <s v="EAST NEWARK"/>
    <n v="7029"/>
    <s v="HUDSON"/>
    <s v="NJ"/>
    <n v="27000"/>
    <n v="0"/>
    <n v="27000"/>
    <n v="0"/>
    <n v="0"/>
    <n v="0"/>
  </r>
  <r>
    <n v="13367"/>
    <n v="13368"/>
    <x v="1"/>
    <s v="NJ-00033"/>
    <s v="EAST ORANGE"/>
    <n v="7017"/>
    <s v="ESSEX"/>
    <s v="NJ"/>
    <n v="212762"/>
    <n v="208748"/>
    <n v="4014"/>
    <n v="12900"/>
    <n v="12900"/>
    <n v="0"/>
  </r>
  <r>
    <n v="13367"/>
    <n v="13368"/>
    <x v="1"/>
    <s v="NJ-00033"/>
    <s v="EAST ORANGE"/>
    <n v="7018"/>
    <s v="ESSEX"/>
    <s v="NJ"/>
    <n v="178861"/>
    <n v="129561"/>
    <n v="49300"/>
    <n v="12800"/>
    <n v="12800"/>
    <n v="0"/>
  </r>
  <r>
    <n v="13367"/>
    <n v="13368"/>
    <x v="1"/>
    <s v="NJ-00033"/>
    <s v="EAST RUTHERFORD"/>
    <n v="7070"/>
    <s v="BERGEN"/>
    <s v="NJ"/>
    <n v="0"/>
    <n v="0"/>
    <n v="0"/>
    <n v="60400"/>
    <n v="0"/>
    <n v="0"/>
  </r>
  <r>
    <n v="13367"/>
    <n v="13368"/>
    <x v="1"/>
    <s v="NJ-00033"/>
    <s v="EAST RUTHERFORD"/>
    <n v="7073"/>
    <s v="BERGEN"/>
    <s v="NJ"/>
    <n v="3081149"/>
    <n v="2604526"/>
    <n v="476623"/>
    <n v="0"/>
    <n v="0"/>
    <n v="0"/>
  </r>
  <r>
    <n v="13367"/>
    <n v="13368"/>
    <x v="1"/>
    <s v="NJ-00033"/>
    <s v="EAST WINDSOR"/>
    <n v="8520"/>
    <s v="MERCER"/>
    <s v="NJ"/>
    <n v="161402"/>
    <n v="121402"/>
    <n v="40000"/>
    <n v="157400"/>
    <n v="121500"/>
    <n v="0"/>
  </r>
  <r>
    <n v="13367"/>
    <n v="13368"/>
    <x v="1"/>
    <s v="NJ-00033"/>
    <s v="EATONTOWN"/>
    <n v="7724"/>
    <s v="MONMOUTH"/>
    <s v="NJ"/>
    <n v="13531"/>
    <n v="13531"/>
    <n v="0"/>
    <n v="301400"/>
    <n v="10900"/>
    <n v="0"/>
  </r>
  <r>
    <n v="13367"/>
    <n v="13368"/>
    <x v="1"/>
    <s v="NJ-00033"/>
    <s v="EDGEWATER"/>
    <n v="7020"/>
    <s v="BERGEN"/>
    <s v="NJ"/>
    <n v="481310"/>
    <n v="397059"/>
    <n v="84251"/>
    <n v="665300"/>
    <n v="327600"/>
    <n v="63100"/>
  </r>
  <r>
    <n v="13367"/>
    <n v="13368"/>
    <x v="1"/>
    <s v="NJ-00033"/>
    <s v="EDGEWATER"/>
    <n v="7024"/>
    <s v="BERGEN"/>
    <s v="NJ"/>
    <n v="22000"/>
    <n v="0"/>
    <n v="22000"/>
    <n v="0"/>
    <n v="0"/>
    <n v="0"/>
  </r>
  <r>
    <n v="13367"/>
    <n v="13368"/>
    <x v="1"/>
    <s v="NJ-00033"/>
    <s v="EDISON"/>
    <n v="8817"/>
    <s v="HUNTERDON"/>
    <s v="NJ"/>
    <n v="20000"/>
    <n v="0"/>
    <n v="20000"/>
    <n v="7700"/>
    <n v="0"/>
    <n v="2900"/>
  </r>
  <r>
    <n v="13367"/>
    <n v="13368"/>
    <x v="1"/>
    <s v="NJ-00033"/>
    <s v="EDISON"/>
    <n v="8817"/>
    <s v="MIDDLESEX"/>
    <s v="NJ"/>
    <n v="489931"/>
    <n v="0"/>
    <n v="489931"/>
    <n v="692800"/>
    <n v="0"/>
    <n v="0"/>
  </r>
  <r>
    <n v="13367"/>
    <n v="13368"/>
    <x v="1"/>
    <s v="NJ-00033"/>
    <s v="EDISON"/>
    <n v="8820"/>
    <s v="MIDDLESEX"/>
    <s v="NJ"/>
    <n v="115361"/>
    <n v="0"/>
    <n v="115361"/>
    <n v="125600"/>
    <n v="0"/>
    <n v="55600"/>
  </r>
  <r>
    <n v="13367"/>
    <n v="13368"/>
    <x v="1"/>
    <s v="NJ-00033"/>
    <s v="EDISON"/>
    <n v="8837"/>
    <s v="MIDDLESEX"/>
    <s v="NJ"/>
    <n v="2068966"/>
    <n v="346230"/>
    <n v="1722736"/>
    <n v="715400"/>
    <n v="88800"/>
    <n v="593600"/>
  </r>
  <r>
    <n v="13367"/>
    <n v="13368"/>
    <x v="1"/>
    <s v="NJ-00033"/>
    <s v="EGG HARBOR CITY"/>
    <n v="8215"/>
    <s v="ATLANTIC"/>
    <s v="NJ"/>
    <n v="52246"/>
    <n v="50946"/>
    <n v="1300"/>
    <n v="60800"/>
    <n v="35600"/>
    <n v="800"/>
  </r>
  <r>
    <n v="13367"/>
    <n v="13368"/>
    <x v="1"/>
    <s v="NJ-00033"/>
    <s v="EGG HARBOR TOWNSHIP"/>
    <n v="8234"/>
    <s v="ATLANTIC"/>
    <s v="NJ"/>
    <n v="563668"/>
    <n v="241335"/>
    <n v="322333"/>
    <n v="349900"/>
    <n v="74500"/>
    <n v="259200"/>
  </r>
  <r>
    <n v="13367"/>
    <n v="13368"/>
    <x v="1"/>
    <s v="NJ-00033"/>
    <s v="EGG HARBOR TWN"/>
    <n v="8234"/>
    <s v="ATLANTIC"/>
    <s v="NJ"/>
    <n v="391040"/>
    <n v="391040"/>
    <n v="0"/>
    <n v="0"/>
    <n v="0"/>
    <n v="0"/>
  </r>
  <r>
    <n v="13367"/>
    <n v="13368"/>
    <x v="1"/>
    <s v="NJ-00033"/>
    <s v="EGG HARBOR TWP"/>
    <n v="8234"/>
    <s v="ATLANTIC"/>
    <s v="NJ"/>
    <n v="2500"/>
    <n v="0"/>
    <n v="2500"/>
    <n v="0"/>
    <n v="0"/>
    <n v="0"/>
  </r>
  <r>
    <n v="13367"/>
    <n v="13368"/>
    <x v="1"/>
    <s v="NJ-00033"/>
    <s v="ELIZABETH"/>
    <n v="7026"/>
    <s v="UNION"/>
    <s v="NJ"/>
    <n v="31650"/>
    <n v="6650"/>
    <n v="25000"/>
    <n v="0"/>
    <n v="0"/>
    <n v="0"/>
  </r>
  <r>
    <n v="13367"/>
    <n v="13368"/>
    <x v="1"/>
    <s v="NJ-00033"/>
    <s v="ELIZABETH"/>
    <n v="7201"/>
    <s v="UNION"/>
    <s v="NJ"/>
    <n v="244811"/>
    <n v="17177"/>
    <n v="227634"/>
    <n v="8000"/>
    <n v="0"/>
    <n v="3000"/>
  </r>
  <r>
    <n v="13367"/>
    <n v="13368"/>
    <x v="1"/>
    <s v="NJ-00033"/>
    <s v="ELIZABETH"/>
    <n v="7202"/>
    <s v="UNION"/>
    <s v="NJ"/>
    <n v="6118743"/>
    <n v="3848824"/>
    <n v="2269919"/>
    <n v="2000000"/>
    <n v="2000000"/>
    <n v="0"/>
  </r>
  <r>
    <n v="13367"/>
    <n v="13368"/>
    <x v="1"/>
    <s v="NJ-00033"/>
    <s v="ELIZABETH"/>
    <n v="7206"/>
    <s v="UNION"/>
    <s v="NJ"/>
    <n v="7906500"/>
    <n v="1059703"/>
    <n v="6846797"/>
    <n v="3755100"/>
    <n v="167300"/>
    <n v="3272000"/>
  </r>
  <r>
    <n v="13367"/>
    <n v="13368"/>
    <x v="1"/>
    <s v="NJ-00033"/>
    <s v="ELIZABETH"/>
    <n v="7208"/>
    <s v="UNION"/>
    <s v="NJ"/>
    <n v="52945"/>
    <n v="51145"/>
    <n v="1800"/>
    <n v="47900"/>
    <n v="46200"/>
    <n v="0"/>
  </r>
  <r>
    <n v="13367"/>
    <n v="13368"/>
    <x v="1"/>
    <s v="NJ-00033"/>
    <s v="ELMWOOD PARK"/>
    <n v="7407"/>
    <s v="BERGEN"/>
    <s v="NJ"/>
    <n v="44068"/>
    <n v="39568"/>
    <n v="4500"/>
    <n v="73300"/>
    <n v="39600"/>
    <n v="4500"/>
  </r>
  <r>
    <n v="13367"/>
    <n v="13368"/>
    <x v="1"/>
    <s v="NJ-00033"/>
    <s v="ENGLEWOOD"/>
    <n v="7631"/>
    <s v="BERGEN"/>
    <s v="NJ"/>
    <n v="111209"/>
    <n v="45209"/>
    <n v="66000"/>
    <n v="0"/>
    <n v="0"/>
    <n v="0"/>
  </r>
  <r>
    <n v="13367"/>
    <n v="13368"/>
    <x v="1"/>
    <s v="NJ-00033"/>
    <s v="ENGLEWOOD CLIFFS"/>
    <n v="7632"/>
    <s v="BERGEN"/>
    <s v="NJ"/>
    <n v="136897"/>
    <n v="101897"/>
    <n v="35000"/>
    <n v="0"/>
    <n v="0"/>
    <n v="0"/>
  </r>
  <r>
    <n v="13367"/>
    <n v="13368"/>
    <x v="1"/>
    <s v="NJ-00033"/>
    <s v="ENGLISHTOWN"/>
    <n v="7726"/>
    <s v="MONMOUTH"/>
    <s v="NJ"/>
    <n v="3000"/>
    <n v="0"/>
    <n v="3000"/>
    <n v="0"/>
    <n v="0"/>
    <n v="0"/>
  </r>
  <r>
    <n v="13367"/>
    <n v="13368"/>
    <x v="1"/>
    <s v="NJ-00033"/>
    <s v="EWING"/>
    <n v="8618"/>
    <s v="MERCER"/>
    <s v="NJ"/>
    <n v="11594"/>
    <n v="0"/>
    <n v="11594"/>
    <n v="0"/>
    <n v="0"/>
    <n v="0"/>
  </r>
  <r>
    <n v="13367"/>
    <n v="13368"/>
    <x v="1"/>
    <s v="NJ-00033"/>
    <s v="EWING"/>
    <n v="8638"/>
    <s v="MERCER"/>
    <s v="NJ"/>
    <n v="340635"/>
    <n v="340635"/>
    <n v="0"/>
    <n v="0"/>
    <n v="0"/>
    <n v="0"/>
  </r>
  <r>
    <n v="13367"/>
    <n v="13368"/>
    <x v="1"/>
    <s v="NJ-00033"/>
    <s v="FAIR HAVEN"/>
    <n v="7704"/>
    <s v="MONMOUTH"/>
    <s v="NJ"/>
    <n v="19120"/>
    <n v="0"/>
    <n v="19120"/>
    <n v="32700"/>
    <n v="0"/>
    <n v="0"/>
  </r>
  <r>
    <n v="13367"/>
    <n v="13368"/>
    <x v="1"/>
    <s v="NJ-00033"/>
    <s v="FAIR LAWN"/>
    <n v="7410"/>
    <s v="BERGEN"/>
    <s v="NJ"/>
    <n v="58556"/>
    <n v="15348"/>
    <n v="43208"/>
    <n v="7900"/>
    <n v="0"/>
    <n v="7900"/>
  </r>
  <r>
    <n v="13367"/>
    <n v="13368"/>
    <x v="1"/>
    <s v="NJ-00033"/>
    <s v="FAIRFIELD"/>
    <n v="7004"/>
    <s v="ESSEX"/>
    <s v="NJ"/>
    <n v="179879"/>
    <n v="56627"/>
    <n v="123252"/>
    <n v="394500"/>
    <n v="53900"/>
    <n v="68400"/>
  </r>
  <r>
    <n v="13367"/>
    <n v="13368"/>
    <x v="1"/>
    <s v="NJ-00033"/>
    <s v="FAIRVIEW"/>
    <n v="7020"/>
    <s v="BERGEN"/>
    <s v="NJ"/>
    <n v="5436"/>
    <n v="936"/>
    <n v="4500"/>
    <n v="0"/>
    <n v="0"/>
    <n v="0"/>
  </r>
  <r>
    <n v="13367"/>
    <n v="13368"/>
    <x v="1"/>
    <s v="NJ-00033"/>
    <s v="FAIRVIEW"/>
    <n v="7022"/>
    <s v="BERGEN"/>
    <s v="NJ"/>
    <n v="8481"/>
    <n v="8481"/>
    <n v="0"/>
    <n v="4100"/>
    <n v="4100"/>
    <n v="0"/>
  </r>
  <r>
    <n v="13367"/>
    <n v="13368"/>
    <x v="1"/>
    <s v="NJ-00033"/>
    <s v="FANWOOD"/>
    <n v="7023"/>
    <s v="UNION"/>
    <s v="NJ"/>
    <n v="2832"/>
    <n v="2832"/>
    <n v="0"/>
    <n v="16300"/>
    <n v="0"/>
    <n v="0"/>
  </r>
  <r>
    <n v="13367"/>
    <n v="13368"/>
    <x v="1"/>
    <s v="NJ-00033"/>
    <s v="FARMINGDALE"/>
    <n v="7727"/>
    <s v="MONMOUTH"/>
    <s v="NJ"/>
    <n v="179392"/>
    <n v="164295"/>
    <n v="15097"/>
    <n v="130600"/>
    <n v="0"/>
    <n v="13100"/>
  </r>
  <r>
    <n v="13367"/>
    <n v="13368"/>
    <x v="1"/>
    <s v="NJ-00033"/>
    <s v="FARMINGDALE"/>
    <n v="7737"/>
    <s v="MONMOUTH"/>
    <s v="NJ"/>
    <n v="17608"/>
    <n v="758"/>
    <n v="16850"/>
    <n v="0"/>
    <n v="0"/>
    <n v="0"/>
  </r>
  <r>
    <n v="13367"/>
    <n v="13368"/>
    <x v="1"/>
    <s v="NJ-00033"/>
    <s v="FLANDERS"/>
    <n v="7836"/>
    <s v="MORRIS"/>
    <s v="NJ"/>
    <n v="109326"/>
    <n v="109326"/>
    <n v="0"/>
    <n v="239600"/>
    <n v="138100"/>
    <n v="0"/>
  </r>
  <r>
    <n v="13367"/>
    <n v="13368"/>
    <x v="1"/>
    <s v="NJ-00033"/>
    <s v="FLEMINGTON"/>
    <n v="8822"/>
    <s v="HUNTERDON"/>
    <s v="NJ"/>
    <n v="380742"/>
    <n v="361663"/>
    <n v="19079"/>
    <n v="126100"/>
    <n v="71800"/>
    <n v="0"/>
  </r>
  <r>
    <n v="13367"/>
    <n v="13368"/>
    <x v="1"/>
    <s v="NJ-00033"/>
    <s v="FORDS"/>
    <n v="8863"/>
    <s v="MIDDLESEX"/>
    <s v="NJ"/>
    <n v="30140"/>
    <n v="30140"/>
    <n v="0"/>
    <n v="0"/>
    <n v="0"/>
    <n v="0"/>
  </r>
  <r>
    <n v="13367"/>
    <n v="13368"/>
    <x v="1"/>
    <s v="NJ-00033"/>
    <s v="FORKED RIVER"/>
    <n v="8731"/>
    <s v="OCEAN"/>
    <s v="NJ"/>
    <n v="2058852"/>
    <n v="1652406"/>
    <n v="406446"/>
    <n v="347800"/>
    <n v="24000"/>
    <n v="39100"/>
  </r>
  <r>
    <n v="13367"/>
    <n v="13368"/>
    <x v="1"/>
    <s v="NJ-00033"/>
    <s v="FORT LEE"/>
    <n v="7024"/>
    <s v="BERGEN"/>
    <s v="NJ"/>
    <n v="56400"/>
    <n v="0"/>
    <n v="56400"/>
    <n v="67500"/>
    <n v="0"/>
    <n v="0"/>
  </r>
  <r>
    <n v="13367"/>
    <n v="13368"/>
    <x v="1"/>
    <s v="NJ-00033"/>
    <s v="FORT LEE"/>
    <n v="7024"/>
    <s v="HUDSON"/>
    <s v="NJ"/>
    <n v="9200"/>
    <n v="0"/>
    <n v="9200"/>
    <n v="14200"/>
    <n v="0"/>
    <n v="9200"/>
  </r>
  <r>
    <n v="13367"/>
    <n v="13368"/>
    <x v="1"/>
    <s v="NJ-00033"/>
    <s v="FORTESCUE"/>
    <n v="8321"/>
    <s v="CUMBERLAND"/>
    <s v="NJ"/>
    <n v="1395960"/>
    <n v="1332075"/>
    <n v="63885"/>
    <n v="1046700"/>
    <n v="1000600"/>
    <n v="46100"/>
  </r>
  <r>
    <n v="13367"/>
    <n v="13368"/>
    <x v="1"/>
    <s v="NJ-00033"/>
    <s v="FREEHOLD"/>
    <n v="7728"/>
    <s v="MONMOUTH"/>
    <s v="NJ"/>
    <n v="90165"/>
    <n v="28420"/>
    <n v="61745"/>
    <n v="229600"/>
    <n v="0"/>
    <n v="4000"/>
  </r>
  <r>
    <n v="13367"/>
    <n v="13368"/>
    <x v="1"/>
    <s v="NJ-00033"/>
    <s v="GALLOWAY"/>
    <n v="8205"/>
    <s v="ATLANTIC"/>
    <s v="NJ"/>
    <n v="0"/>
    <n v="0"/>
    <n v="0"/>
    <n v="14400"/>
    <n v="0"/>
    <n v="0"/>
  </r>
  <r>
    <n v="13367"/>
    <n v="13368"/>
    <x v="1"/>
    <s v="NJ-00033"/>
    <s v="GALLOWAY TOWNSHIP"/>
    <n v="8205"/>
    <s v="ATLANTIC"/>
    <s v="NJ"/>
    <n v="74314"/>
    <n v="74314"/>
    <n v="0"/>
    <n v="0"/>
    <n v="0"/>
    <n v="0"/>
  </r>
  <r>
    <n v="13367"/>
    <n v="13368"/>
    <x v="1"/>
    <s v="NJ-00033"/>
    <s v="GARFIELD"/>
    <n v="7026"/>
    <s v="BERGEN"/>
    <s v="NJ"/>
    <n v="93463"/>
    <n v="39721"/>
    <n v="53742"/>
    <n v="64500"/>
    <n v="39700"/>
    <n v="2300"/>
  </r>
  <r>
    <n v="13367"/>
    <n v="13368"/>
    <x v="1"/>
    <s v="NJ-00033"/>
    <s v="GLEN RIDGE"/>
    <n v="7028"/>
    <s v="ESSEX"/>
    <s v="NJ"/>
    <n v="980"/>
    <n v="0"/>
    <n v="980"/>
    <n v="0"/>
    <n v="0"/>
    <n v="0"/>
  </r>
  <r>
    <n v="13367"/>
    <n v="13368"/>
    <x v="1"/>
    <s v="NJ-00033"/>
    <s v="GLEN ROCK"/>
    <n v="7452"/>
    <s v="BERGEN"/>
    <s v="NJ"/>
    <n v="2283"/>
    <n v="33"/>
    <n v="2250"/>
    <n v="0"/>
    <n v="0"/>
    <n v="0"/>
  </r>
  <r>
    <n v="13367"/>
    <n v="13368"/>
    <x v="1"/>
    <s v="NJ-00033"/>
    <s v="GREEEN BROOK"/>
    <n v="8812"/>
    <s v="SOMERSET"/>
    <s v="NJ"/>
    <n v="0"/>
    <n v="0"/>
    <n v="0"/>
    <n v="43700"/>
    <n v="0"/>
    <n v="0"/>
  </r>
  <r>
    <n v="13367"/>
    <n v="13368"/>
    <x v="1"/>
    <s v="NJ-00033"/>
    <s v="GREEN BANK"/>
    <n v="8215"/>
    <s v="BURLINGTON"/>
    <s v="NJ"/>
    <n v="24253"/>
    <n v="24253"/>
    <n v="0"/>
    <n v="0"/>
    <n v="0"/>
    <n v="0"/>
  </r>
  <r>
    <n v="13367"/>
    <n v="13368"/>
    <x v="1"/>
    <s v="NJ-00033"/>
    <s v="GREENBROOK"/>
    <n v="8812"/>
    <s v="SOMERSET"/>
    <s v="NJ"/>
    <n v="5000"/>
    <n v="0"/>
    <n v="5000"/>
    <n v="0"/>
    <n v="0"/>
    <n v="0"/>
  </r>
  <r>
    <n v="13367"/>
    <n v="13368"/>
    <x v="1"/>
    <s v="NJ-00033"/>
    <s v="GREENWICH"/>
    <n v="8323"/>
    <s v="CUMBERLAND"/>
    <s v="NJ"/>
    <n v="1167601"/>
    <n v="898526"/>
    <n v="269075"/>
    <n v="0"/>
    <n v="0"/>
    <n v="0"/>
  </r>
  <r>
    <n v="13367"/>
    <n v="13368"/>
    <x v="1"/>
    <s v="NJ-00033"/>
    <s v="HACKENSACK"/>
    <n v="7020"/>
    <s v="BERGEN"/>
    <s v="NJ"/>
    <n v="11813"/>
    <n v="333"/>
    <n v="11480"/>
    <n v="5000"/>
    <n v="300"/>
    <n v="4700"/>
  </r>
  <r>
    <n v="13367"/>
    <n v="13368"/>
    <x v="1"/>
    <s v="NJ-00033"/>
    <s v="HACKENSACK"/>
    <n v="7601"/>
    <s v="BERGEN"/>
    <s v="NJ"/>
    <n v="3535938"/>
    <n v="2148540"/>
    <n v="1387398"/>
    <n v="2261400"/>
    <n v="656700"/>
    <n v="900900"/>
  </r>
  <r>
    <n v="13367"/>
    <n v="13368"/>
    <x v="1"/>
    <s v="NJ-00033"/>
    <s v="HACKETTSTOWN"/>
    <n v="7840"/>
    <s v="MORRIS"/>
    <s v="NJ"/>
    <n v="0"/>
    <n v="0"/>
    <n v="0"/>
    <n v="10800"/>
    <n v="0"/>
    <n v="0"/>
  </r>
  <r>
    <n v="13367"/>
    <n v="13368"/>
    <x v="1"/>
    <s v="NJ-00033"/>
    <s v="HAMBURG"/>
    <n v="7419"/>
    <s v="SUSSEX"/>
    <s v="NJ"/>
    <n v="0"/>
    <n v="0"/>
    <n v="0"/>
    <n v="13100"/>
    <n v="0"/>
    <n v="0"/>
  </r>
  <r>
    <n v="13367"/>
    <n v="13368"/>
    <x v="1"/>
    <s v="NJ-00033"/>
    <s v="HAMILTON"/>
    <n v="8610"/>
    <s v="MERCER"/>
    <s v="NJ"/>
    <n v="13253"/>
    <n v="13253"/>
    <n v="0"/>
    <n v="13300"/>
    <n v="13300"/>
    <n v="0"/>
  </r>
  <r>
    <n v="13367"/>
    <n v="13368"/>
    <x v="1"/>
    <s v="NJ-00033"/>
    <s v="HAMILTON SQUARE"/>
    <n v="8690"/>
    <s v="MERCER"/>
    <s v="NJ"/>
    <n v="5583"/>
    <n v="5583"/>
    <n v="0"/>
    <n v="0"/>
    <n v="0"/>
    <n v="0"/>
  </r>
  <r>
    <n v="13367"/>
    <n v="13368"/>
    <x v="1"/>
    <s v="NJ-00033"/>
    <s v="HAMMONTON"/>
    <n v="8037"/>
    <s v="ATLANTIC"/>
    <s v="NJ"/>
    <n v="75128"/>
    <n v="73128"/>
    <n v="2000"/>
    <n v="0"/>
    <n v="0"/>
    <n v="0"/>
  </r>
  <r>
    <n v="13367"/>
    <n v="13368"/>
    <x v="1"/>
    <s v="NJ-00033"/>
    <s v="HARRINGTON PARK"/>
    <n v="7640"/>
    <s v="BERGEN"/>
    <s v="NJ"/>
    <n v="5271"/>
    <n v="0"/>
    <n v="5271"/>
    <n v="0"/>
    <n v="0"/>
    <n v="0"/>
  </r>
  <r>
    <n v="13367"/>
    <n v="13368"/>
    <x v="1"/>
    <s v="NJ-00033"/>
    <s v="HARRISON"/>
    <n v="7029"/>
    <s v="HUDSON"/>
    <s v="NJ"/>
    <n v="3574956"/>
    <n v="1020921"/>
    <n v="2554035"/>
    <n v="1410700"/>
    <n v="686200"/>
    <n v="635700"/>
  </r>
  <r>
    <n v="13367"/>
    <n v="13368"/>
    <x v="1"/>
    <s v="NJ-00033"/>
    <s v="HARVEY CEDARS"/>
    <n v="8008"/>
    <s v="OCEAN"/>
    <s v="NJ"/>
    <n v="364686"/>
    <n v="297577"/>
    <n v="67109"/>
    <n v="104900"/>
    <n v="74200"/>
    <n v="10500"/>
  </r>
  <r>
    <n v="13367"/>
    <n v="13368"/>
    <x v="1"/>
    <s v="NJ-00033"/>
    <s v="HARVEY CEDARS"/>
    <n v="8008"/>
    <s v="PASSAIC"/>
    <s v="NJ"/>
    <n v="13092"/>
    <n v="9842"/>
    <n v="3250"/>
    <n v="17700"/>
    <n v="9900"/>
    <n v="3200"/>
  </r>
  <r>
    <n v="13367"/>
    <n v="13368"/>
    <x v="1"/>
    <s v="NJ-00033"/>
    <s v="HASBROUCK HEIGHTS"/>
    <n v="7604"/>
    <s v="BERGEN"/>
    <s v="NJ"/>
    <n v="19844"/>
    <n v="19844"/>
    <n v="0"/>
    <n v="79400"/>
    <n v="19900"/>
    <n v="0"/>
  </r>
  <r>
    <n v="13367"/>
    <n v="13368"/>
    <x v="1"/>
    <s v="NJ-00033"/>
    <s v="HAVEN BEACH"/>
    <n v="8008"/>
    <s v="OCEAN"/>
    <s v="NJ"/>
    <n v="92253"/>
    <n v="36570"/>
    <n v="55683"/>
    <n v="55200"/>
    <n v="20000"/>
    <n v="23400"/>
  </r>
  <r>
    <n v="13367"/>
    <n v="13368"/>
    <x v="1"/>
    <s v="NJ-00033"/>
    <s v="HAWTHORNE"/>
    <n v="7506"/>
    <s v="PASSAIC"/>
    <s v="NJ"/>
    <n v="792436"/>
    <n v="792436"/>
    <n v="0"/>
    <n v="792400"/>
    <n v="792400"/>
    <n v="0"/>
  </r>
  <r>
    <n v="13367"/>
    <n v="13368"/>
    <x v="1"/>
    <s v="NJ-00033"/>
    <s v="HAZLET"/>
    <n v="7730"/>
    <s v="MONMOUTH"/>
    <s v="NJ"/>
    <n v="333415"/>
    <n v="202831"/>
    <n v="130584"/>
    <n v="148400"/>
    <n v="0"/>
    <n v="8000"/>
  </r>
  <r>
    <n v="13367"/>
    <n v="13368"/>
    <x v="1"/>
    <s v="NJ-00033"/>
    <s v="HEISLERVILLE"/>
    <n v="8324"/>
    <s v="CUMBERLAND"/>
    <s v="NJ"/>
    <n v="246397"/>
    <n v="75895"/>
    <n v="170502"/>
    <n v="28500"/>
    <n v="0"/>
    <n v="22000"/>
  </r>
  <r>
    <n v="13367"/>
    <n v="13368"/>
    <x v="1"/>
    <s v="NJ-00033"/>
    <s v="HEWITT"/>
    <n v="7421"/>
    <s v="PASSAIC"/>
    <s v="NJ"/>
    <n v="23397"/>
    <n v="19897"/>
    <n v="3500"/>
    <n v="0"/>
    <n v="0"/>
    <n v="0"/>
  </r>
  <r>
    <n v="13367"/>
    <n v="13368"/>
    <x v="1"/>
    <s v="NJ-00033"/>
    <s v="HIGHLAND"/>
    <n v="7732"/>
    <s v="MONMOUTH"/>
    <s v="NJ"/>
    <n v="104326"/>
    <n v="97626"/>
    <n v="6700"/>
    <n v="7800"/>
    <n v="0"/>
    <n v="0"/>
  </r>
  <r>
    <n v="13367"/>
    <n v="13368"/>
    <x v="1"/>
    <s v="NJ-00033"/>
    <s v="HIGHLAND PARK"/>
    <n v="8402"/>
    <s v="ATLANTIC"/>
    <s v="NJ"/>
    <n v="45094"/>
    <n v="0"/>
    <n v="45094"/>
    <n v="45100"/>
    <n v="0"/>
    <n v="45100"/>
  </r>
  <r>
    <n v="13367"/>
    <n v="13368"/>
    <x v="1"/>
    <s v="NJ-00033"/>
    <s v="HIGHLAND PARK"/>
    <n v="8904"/>
    <s v="MIDDLESEX"/>
    <s v="NJ"/>
    <n v="8169"/>
    <n v="8169"/>
    <n v="0"/>
    <n v="8200"/>
    <n v="8200"/>
    <n v="0"/>
  </r>
  <r>
    <n v="13367"/>
    <n v="13368"/>
    <x v="1"/>
    <s v="NJ-00033"/>
    <s v="HIGHLANDS"/>
    <n v="7732"/>
    <s v="MONMOUTH"/>
    <s v="NJ"/>
    <n v="16836511"/>
    <n v="14536183"/>
    <n v="2300328"/>
    <n v="1815900"/>
    <n v="1311000"/>
    <n v="351000"/>
  </r>
  <r>
    <n v="13367"/>
    <n v="13368"/>
    <x v="1"/>
    <s v="NJ-00033"/>
    <s v="HIGHLANDS"/>
    <n v="7740"/>
    <s v="MONMOUTH"/>
    <s v="NJ"/>
    <n v="14195"/>
    <n v="0"/>
    <n v="14195"/>
    <n v="0"/>
    <n v="0"/>
    <n v="0"/>
  </r>
  <r>
    <n v="13367"/>
    <n v="13368"/>
    <x v="1"/>
    <s v="NJ-00033"/>
    <s v="HIGHLANDS"/>
    <n v="7748"/>
    <s v="MONMOUTH"/>
    <s v="NJ"/>
    <n v="14992"/>
    <n v="12892"/>
    <n v="2100"/>
    <n v="0"/>
    <n v="0"/>
    <n v="0"/>
  </r>
  <r>
    <n v="13367"/>
    <n v="13368"/>
    <x v="1"/>
    <s v="NJ-00033"/>
    <s v="HIGHLANDS"/>
    <n v="8854"/>
    <s v="MONMOUTH"/>
    <s v="NJ"/>
    <n v="50694"/>
    <n v="48294"/>
    <n v="2400"/>
    <n v="0"/>
    <n v="0"/>
    <n v="0"/>
  </r>
  <r>
    <n v="13367"/>
    <n v="13368"/>
    <x v="1"/>
    <s v="NJ-00033"/>
    <s v="HIGHS BEACH"/>
    <n v="8210"/>
    <s v="CAPE MAY"/>
    <s v="NJ"/>
    <n v="109744"/>
    <n v="108094"/>
    <n v="1650"/>
    <n v="90300"/>
    <n v="88700"/>
    <n v="1600"/>
  </r>
  <r>
    <n v="13367"/>
    <n v="13368"/>
    <x v="1"/>
    <s v="NJ-00033"/>
    <s v="HIGHTSTOWN"/>
    <n v="8520"/>
    <s v="MERCER"/>
    <s v="NJ"/>
    <n v="14556"/>
    <n v="140"/>
    <n v="14416"/>
    <n v="0"/>
    <n v="0"/>
    <n v="0"/>
  </r>
  <r>
    <n v="13367"/>
    <n v="13368"/>
    <x v="1"/>
    <s v="NJ-00033"/>
    <s v="HILLSIDE"/>
    <n v="7025"/>
    <s v="UNION"/>
    <s v="NJ"/>
    <n v="164096"/>
    <n v="159096"/>
    <n v="5000"/>
    <n v="0"/>
    <n v="0"/>
    <n v="0"/>
  </r>
  <r>
    <n v="13367"/>
    <n v="13368"/>
    <x v="1"/>
    <s v="NJ-00033"/>
    <s v="HILLSIDE"/>
    <n v="7205"/>
    <s v="UNION"/>
    <s v="NJ"/>
    <n v="99258"/>
    <n v="46292"/>
    <n v="52966"/>
    <n v="18000"/>
    <n v="18000"/>
    <n v="0"/>
  </r>
  <r>
    <n v="13367"/>
    <n v="13368"/>
    <x v="1"/>
    <s v="NJ-00033"/>
    <s v="HOBOKEN"/>
    <n v="7030"/>
    <s v="HUDSON"/>
    <s v="NJ"/>
    <n v="9834150"/>
    <n v="4889890"/>
    <n v="4944260"/>
    <n v="5663600"/>
    <n v="2459900"/>
    <n v="2206300"/>
  </r>
  <r>
    <n v="13367"/>
    <n v="13368"/>
    <x v="1"/>
    <s v="NJ-00033"/>
    <s v="HOBOKEN"/>
    <n v="7430"/>
    <s v="HUDSON"/>
    <s v="NJ"/>
    <n v="12033"/>
    <n v="12033"/>
    <n v="0"/>
    <n v="0"/>
    <n v="0"/>
    <n v="0"/>
  </r>
  <r>
    <n v="13367"/>
    <n v="13368"/>
    <x v="1"/>
    <s v="NJ-00033"/>
    <s v="HOLGATE"/>
    <n v="8008"/>
    <s v="MORRIS"/>
    <s v="NJ"/>
    <n v="9044"/>
    <n v="6394"/>
    <n v="2650"/>
    <n v="0"/>
    <n v="0"/>
    <n v="0"/>
  </r>
  <r>
    <n v="13367"/>
    <n v="13368"/>
    <x v="1"/>
    <s v="NJ-00033"/>
    <s v="HOLGATE"/>
    <n v="7088"/>
    <s v="OCEAN"/>
    <s v="NJ"/>
    <n v="91026"/>
    <n v="86826"/>
    <n v="4200"/>
    <n v="0"/>
    <n v="0"/>
    <n v="0"/>
  </r>
  <r>
    <n v="13367"/>
    <n v="13368"/>
    <x v="1"/>
    <s v="NJ-00033"/>
    <s v="HOLGATE"/>
    <n v="8008"/>
    <s v="OCEAN"/>
    <s v="NJ"/>
    <n v="239568"/>
    <n v="203817"/>
    <n v="35751"/>
    <n v="58600"/>
    <n v="46800"/>
    <n v="11800"/>
  </r>
  <r>
    <n v="13367"/>
    <n v="13368"/>
    <x v="1"/>
    <s v="NJ-00033"/>
    <s v="HOLMDEL"/>
    <n v="7733"/>
    <s v="MONMOUTH"/>
    <s v="NJ"/>
    <n v="210396"/>
    <n v="99025"/>
    <n v="111371"/>
    <n v="1700"/>
    <n v="0"/>
    <n v="1700"/>
  </r>
  <r>
    <n v="13367"/>
    <n v="13368"/>
    <x v="1"/>
    <s v="NJ-00033"/>
    <s v="HOPATCONG"/>
    <n v="7843"/>
    <s v="SUSSEX"/>
    <s v="NJ"/>
    <n v="5541"/>
    <n v="0"/>
    <n v="5541"/>
    <n v="0"/>
    <n v="0"/>
    <n v="0"/>
  </r>
  <r>
    <n v="13367"/>
    <n v="13368"/>
    <x v="1"/>
    <s v="NJ-00033"/>
    <s v="HOWELL"/>
    <n v="7727"/>
    <s v="MONMOUTH"/>
    <s v="NJ"/>
    <n v="17709"/>
    <n v="17709"/>
    <n v="0"/>
    <n v="0"/>
    <n v="0"/>
    <n v="0"/>
  </r>
  <r>
    <n v="13367"/>
    <n v="13368"/>
    <x v="1"/>
    <s v="NJ-00033"/>
    <s v="HOWELL"/>
    <n v="7731"/>
    <s v="MONMOUTH"/>
    <s v="NJ"/>
    <n v="238912"/>
    <n v="153689"/>
    <n v="85223"/>
    <n v="243900"/>
    <n v="108900"/>
    <n v="29200"/>
  </r>
  <r>
    <n v="13367"/>
    <n v="13368"/>
    <x v="1"/>
    <s v="NJ-00033"/>
    <s v="INTERLAKEN"/>
    <n v="7712"/>
    <s v="MONMOUTH"/>
    <s v="NJ"/>
    <n v="102914"/>
    <n v="102914"/>
    <n v="0"/>
    <n v="0"/>
    <n v="0"/>
    <n v="0"/>
  </r>
  <r>
    <n v="13367"/>
    <n v="13368"/>
    <x v="1"/>
    <s v="NJ-00033"/>
    <s v="IRVINGTON"/>
    <n v="7111"/>
    <s v="ESSEX"/>
    <s v="NJ"/>
    <n v="236780"/>
    <n v="194843"/>
    <n v="41937"/>
    <n v="73100"/>
    <n v="25800"/>
    <n v="7000"/>
  </r>
  <r>
    <n v="13367"/>
    <n v="13368"/>
    <x v="1"/>
    <s v="NJ-00033"/>
    <s v="ISELIN"/>
    <n v="8830"/>
    <s v="MIDDLESEX"/>
    <s v="NJ"/>
    <n v="58503"/>
    <n v="3990"/>
    <n v="54513"/>
    <n v="46100"/>
    <n v="0"/>
    <n v="0"/>
  </r>
  <r>
    <n v="13367"/>
    <n v="13368"/>
    <x v="1"/>
    <s v="NJ-00033"/>
    <s v="ISLAND HEIGHTS"/>
    <n v="8732"/>
    <s v="OCEAN"/>
    <s v="NJ"/>
    <n v="85732"/>
    <n v="82632"/>
    <n v="3100"/>
    <n v="0"/>
    <n v="0"/>
    <n v="0"/>
  </r>
  <r>
    <n v="13367"/>
    <n v="13368"/>
    <x v="1"/>
    <s v="NJ-00033"/>
    <s v="ISLAND HEIGHTS,"/>
    <n v="8732"/>
    <s v="OCEAN"/>
    <s v="NJ"/>
    <n v="11542"/>
    <n v="11542"/>
    <n v="0"/>
    <n v="0"/>
    <n v="0"/>
    <n v="0"/>
  </r>
  <r>
    <n v="13367"/>
    <n v="13368"/>
    <x v="1"/>
    <s v="NJ-00033"/>
    <s v="ISLANDS"/>
    <n v="7732"/>
    <s v="MONMOUTH"/>
    <s v="NJ"/>
    <n v="361093"/>
    <n v="0"/>
    <n v="361093"/>
    <n v="0"/>
    <n v="0"/>
    <n v="0"/>
  </r>
  <r>
    <n v="13367"/>
    <n v="13368"/>
    <x v="1"/>
    <s v="NJ-00033"/>
    <s v="JACKSON"/>
    <n v="8527"/>
    <s v="MONMOUTH"/>
    <s v="NJ"/>
    <n v="368903"/>
    <n v="154988"/>
    <n v="213915"/>
    <n v="0"/>
    <n v="0"/>
    <n v="0"/>
  </r>
  <r>
    <n v="13367"/>
    <n v="13368"/>
    <x v="1"/>
    <s v="NJ-00033"/>
    <s v="JAMESBURG"/>
    <n v="8831"/>
    <s v="MIDDLESEX"/>
    <s v="NJ"/>
    <n v="112273"/>
    <n v="100773"/>
    <n v="11500"/>
    <n v="53600"/>
    <n v="37100"/>
    <n v="11500"/>
  </r>
  <r>
    <n v="13367"/>
    <n v="13368"/>
    <x v="1"/>
    <s v="NJ-00033"/>
    <s v="JERSEY"/>
    <n v="7305"/>
    <s v="HUDSON"/>
    <s v="NJ"/>
    <n v="53414"/>
    <n v="50814"/>
    <n v="2600"/>
    <n v="0"/>
    <n v="0"/>
    <n v="0"/>
  </r>
  <r>
    <n v="13367"/>
    <n v="13368"/>
    <x v="1"/>
    <s v="NJ-00033"/>
    <s v="JERSEY CITY"/>
    <n v="7302"/>
    <s v="BERGEN"/>
    <s v="NJ"/>
    <n v="49496"/>
    <n v="13446"/>
    <n v="36050"/>
    <n v="0"/>
    <n v="0"/>
    <n v="0"/>
  </r>
  <r>
    <n v="13367"/>
    <n v="13368"/>
    <x v="1"/>
    <s v="NJ-00033"/>
    <s v="JERSEY CITY"/>
    <n v="7030"/>
    <s v="HUDSON"/>
    <s v="NJ"/>
    <n v="4000"/>
    <n v="0"/>
    <n v="4000"/>
    <n v="0"/>
    <n v="0"/>
    <n v="0"/>
  </r>
  <r>
    <n v="13367"/>
    <n v="13368"/>
    <x v="1"/>
    <s v="NJ-00033"/>
    <s v="JERSEY CITY"/>
    <n v="7302"/>
    <s v="HUDSON"/>
    <s v="NJ"/>
    <n v="6852514"/>
    <n v="4480848"/>
    <n v="2371666"/>
    <n v="2698300"/>
    <n v="1426600"/>
    <n v="971300"/>
  </r>
  <r>
    <n v="13367"/>
    <n v="13368"/>
    <x v="1"/>
    <s v="NJ-00033"/>
    <s v="JERSEY CITY"/>
    <n v="7304"/>
    <s v="HUDSON"/>
    <s v="NJ"/>
    <n v="2058318"/>
    <n v="821634"/>
    <n v="1236684"/>
    <n v="1014200"/>
    <n v="199100"/>
    <n v="68500"/>
  </r>
  <r>
    <n v="13367"/>
    <n v="13368"/>
    <x v="1"/>
    <s v="NJ-00033"/>
    <s v="JERSEY CITY"/>
    <n v="7305"/>
    <s v="HUDSON"/>
    <s v="NJ"/>
    <n v="6811830"/>
    <n v="4801255"/>
    <n v="2010575"/>
    <n v="2908000"/>
    <n v="2393300"/>
    <n v="161200"/>
  </r>
  <r>
    <n v="13367"/>
    <n v="13368"/>
    <x v="1"/>
    <s v="NJ-00033"/>
    <s v="JERSEY CITY"/>
    <n v="7306"/>
    <s v="HUDSON"/>
    <s v="NJ"/>
    <n v="1050084"/>
    <n v="198136"/>
    <n v="851948"/>
    <n v="654800"/>
    <n v="40600"/>
    <n v="452100"/>
  </r>
  <r>
    <n v="13367"/>
    <n v="13368"/>
    <x v="1"/>
    <s v="NJ-00033"/>
    <s v="JERSEY CITY"/>
    <n v="7307"/>
    <s v="HUDSON"/>
    <s v="NJ"/>
    <n v="54478"/>
    <n v="28548"/>
    <n v="25930"/>
    <n v="0"/>
    <n v="0"/>
    <n v="0"/>
  </r>
  <r>
    <n v="13367"/>
    <n v="13368"/>
    <x v="1"/>
    <s v="NJ-00033"/>
    <s v="JERSEY CITY"/>
    <n v="7310"/>
    <s v="HUDSON"/>
    <s v="NJ"/>
    <n v="1367520"/>
    <n v="758882"/>
    <n v="608638"/>
    <n v="462300"/>
    <n v="67900"/>
    <n v="231700"/>
  </r>
  <r>
    <n v="13367"/>
    <n v="13368"/>
    <x v="1"/>
    <s v="NJ-00033"/>
    <s v="JERSEY CITY"/>
    <n v="7320"/>
    <s v="HUDSON"/>
    <s v="NJ"/>
    <n v="1310368"/>
    <n v="267144"/>
    <n v="1043224"/>
    <n v="0"/>
    <n v="0"/>
    <n v="0"/>
  </r>
  <r>
    <n v="13367"/>
    <n v="13368"/>
    <x v="1"/>
    <s v="NJ-00033"/>
    <s v="KEANRY"/>
    <n v="7032"/>
    <s v="HUDSON"/>
    <s v="NJ"/>
    <n v="12500"/>
    <n v="0"/>
    <n v="12500"/>
    <n v="0"/>
    <n v="0"/>
    <n v="0"/>
  </r>
  <r>
    <n v="13367"/>
    <n v="13368"/>
    <x v="1"/>
    <s v="NJ-00033"/>
    <s v="KEANSBURG"/>
    <n v="7722"/>
    <s v="MONMOUTH"/>
    <s v="NJ"/>
    <n v="70635"/>
    <n v="67135"/>
    <n v="3500"/>
    <n v="0"/>
    <n v="0"/>
    <n v="0"/>
  </r>
  <r>
    <n v="13367"/>
    <n v="13368"/>
    <x v="1"/>
    <s v="NJ-00033"/>
    <s v="KEANSBURG"/>
    <n v="7734"/>
    <s v="MONMOUTH"/>
    <s v="NJ"/>
    <n v="10232171"/>
    <n v="7944157"/>
    <n v="2288014"/>
    <n v="1920100"/>
    <n v="1221900"/>
    <n v="603600"/>
  </r>
  <r>
    <n v="13367"/>
    <n v="13368"/>
    <x v="1"/>
    <s v="NJ-00033"/>
    <s v="KEANSBURG"/>
    <n v="7748"/>
    <s v="MONMOUTH"/>
    <s v="NJ"/>
    <n v="123044"/>
    <n v="106322"/>
    <n v="16722"/>
    <n v="0"/>
    <n v="0"/>
    <n v="0"/>
  </r>
  <r>
    <n v="13367"/>
    <n v="13368"/>
    <x v="1"/>
    <s v="NJ-00033"/>
    <s v="KEANSBURG"/>
    <n v="7764"/>
    <s v="MONMOUTH"/>
    <s v="NJ"/>
    <n v="30518"/>
    <n v="30518"/>
    <n v="0"/>
    <n v="12100"/>
    <n v="7600"/>
    <n v="0"/>
  </r>
  <r>
    <n v="13367"/>
    <n v="13368"/>
    <x v="1"/>
    <s v="NJ-00033"/>
    <s v="KEANSBURG"/>
    <n v="7734"/>
    <s v="MORRIS"/>
    <s v="NJ"/>
    <n v="265719"/>
    <n v="263419"/>
    <n v="2300"/>
    <n v="183800"/>
    <n v="183800"/>
    <n v="0"/>
  </r>
  <r>
    <n v="13367"/>
    <n v="13368"/>
    <x v="1"/>
    <s v="NJ-00033"/>
    <s v="KEARNEY"/>
    <n v="7032"/>
    <s v="HUDSON"/>
    <s v="NJ"/>
    <n v="62500"/>
    <n v="0"/>
    <n v="62500"/>
    <n v="0"/>
    <n v="0"/>
    <n v="0"/>
  </r>
  <r>
    <n v="13367"/>
    <n v="13368"/>
    <x v="1"/>
    <s v="NJ-00033"/>
    <s v="KEARNY"/>
    <n v="7032"/>
    <s v="BERGEN"/>
    <s v="NJ"/>
    <n v="52995"/>
    <n v="0"/>
    <n v="52995"/>
    <n v="0"/>
    <n v="0"/>
    <n v="0"/>
  </r>
  <r>
    <n v="13367"/>
    <n v="13368"/>
    <x v="1"/>
    <s v="NJ-00033"/>
    <s v="KEARNY"/>
    <n v="7032"/>
    <s v="HUDSON"/>
    <s v="NJ"/>
    <n v="11134396"/>
    <n v="1807165"/>
    <n v="9327231"/>
    <n v="4825000"/>
    <n v="244300"/>
    <n v="4118300"/>
  </r>
  <r>
    <n v="13367"/>
    <n v="13368"/>
    <x v="1"/>
    <s v="NJ-00033"/>
    <s v="KEARY"/>
    <n v="7040"/>
    <s v="HUDSON"/>
    <s v="NJ"/>
    <n v="18000"/>
    <n v="0"/>
    <n v="18000"/>
    <n v="13700"/>
    <n v="0"/>
    <n v="8700"/>
  </r>
  <r>
    <n v="13367"/>
    <n v="13368"/>
    <x v="1"/>
    <s v="NJ-00033"/>
    <s v="KENDALL PARK"/>
    <n v="8824"/>
    <s v="MIDDLESEX"/>
    <s v="NJ"/>
    <n v="37251"/>
    <n v="37251"/>
    <n v="0"/>
    <n v="34200"/>
    <n v="34200"/>
    <n v="0"/>
  </r>
  <r>
    <n v="13367"/>
    <n v="13368"/>
    <x v="1"/>
    <s v="NJ-00033"/>
    <s v="KENILWORTH"/>
    <n v="7033"/>
    <s v="UNION"/>
    <s v="NJ"/>
    <n v="7000"/>
    <n v="0"/>
    <n v="7000"/>
    <n v="182600"/>
    <n v="0"/>
    <n v="400"/>
  </r>
  <r>
    <n v="13367"/>
    <n v="13368"/>
    <x v="1"/>
    <s v="NJ-00033"/>
    <s v="KENILWORTH"/>
    <n v="7740"/>
    <s v="UNION"/>
    <s v="NJ"/>
    <n v="0"/>
    <n v="0"/>
    <n v="0"/>
    <n v="80100"/>
    <n v="0"/>
    <n v="0"/>
  </r>
  <r>
    <n v="13367"/>
    <n v="13368"/>
    <x v="1"/>
    <s v="NJ-00033"/>
    <s v="KERNY"/>
    <n v="7032"/>
    <s v="HUDSON"/>
    <s v="NJ"/>
    <n v="5000"/>
    <n v="0"/>
    <n v="5000"/>
    <n v="0"/>
    <n v="0"/>
    <n v="0"/>
  </r>
  <r>
    <n v="13367"/>
    <n v="13368"/>
    <x v="1"/>
    <s v="NJ-00033"/>
    <s v="KEYPORT"/>
    <n v="7735"/>
    <s v="MIDDLESEX"/>
    <s v="NJ"/>
    <n v="132931"/>
    <n v="97603"/>
    <n v="35328"/>
    <n v="0"/>
    <n v="0"/>
    <n v="0"/>
  </r>
  <r>
    <n v="13367"/>
    <n v="13368"/>
    <x v="1"/>
    <s v="NJ-00033"/>
    <s v="KEYPORT"/>
    <n v="7023"/>
    <s v="MONMOUTH"/>
    <s v="NJ"/>
    <n v="31472"/>
    <n v="30872"/>
    <n v="600"/>
    <n v="0"/>
    <n v="0"/>
    <n v="0"/>
  </r>
  <r>
    <n v="13367"/>
    <n v="13368"/>
    <x v="1"/>
    <s v="NJ-00033"/>
    <s v="KEYPORT"/>
    <n v="7728"/>
    <s v="MONMOUTH"/>
    <s v="NJ"/>
    <n v="1249523"/>
    <n v="1195523"/>
    <n v="54000"/>
    <n v="749600"/>
    <n v="695600"/>
    <n v="54000"/>
  </r>
  <r>
    <n v="13367"/>
    <n v="13368"/>
    <x v="1"/>
    <s v="NJ-00033"/>
    <s v="KEYPORT"/>
    <n v="7735"/>
    <s v="MONMOUTH"/>
    <s v="NJ"/>
    <n v="8416370"/>
    <n v="6776889"/>
    <n v="1639481"/>
    <n v="1492300"/>
    <n v="1338100"/>
    <n v="122300"/>
  </r>
  <r>
    <n v="13367"/>
    <n v="13368"/>
    <x v="1"/>
    <s v="NJ-00033"/>
    <s v="LAKE COMO"/>
    <n v="7719"/>
    <s v="MONMOUTH"/>
    <s v="NJ"/>
    <n v="275376"/>
    <n v="263576"/>
    <n v="11800"/>
    <n v="86000"/>
    <n v="80600"/>
    <n v="5400"/>
  </r>
  <r>
    <n v="13367"/>
    <n v="13368"/>
    <x v="1"/>
    <s v="NJ-00033"/>
    <s v="LAKEWOOD"/>
    <n v="8701"/>
    <s v="OCEAN"/>
    <s v="NJ"/>
    <n v="1141980"/>
    <n v="280485"/>
    <n v="861495"/>
    <n v="444200"/>
    <n v="14000"/>
    <n v="44800"/>
  </r>
  <r>
    <n v="13367"/>
    <n v="13368"/>
    <x v="1"/>
    <s v="NJ-00033"/>
    <s v="LAMBERTVILLE"/>
    <n v="8530"/>
    <s v="HUNTERDON"/>
    <s v="NJ"/>
    <n v="20320"/>
    <n v="20320"/>
    <n v="0"/>
    <n v="20400"/>
    <n v="20400"/>
    <n v="0"/>
  </r>
  <r>
    <n v="13367"/>
    <n v="13368"/>
    <x v="1"/>
    <s v="NJ-00033"/>
    <s v="LANDING"/>
    <n v="7850"/>
    <s v="MORRIS"/>
    <s v="NJ"/>
    <n v="42994"/>
    <n v="38594"/>
    <n v="4400"/>
    <n v="29500"/>
    <n v="0"/>
    <n v="0"/>
  </r>
  <r>
    <n v="13367"/>
    <n v="13368"/>
    <x v="1"/>
    <s v="NJ-00033"/>
    <s v="LANOKA HARBOR"/>
    <n v="8734"/>
    <s v="OCEAN"/>
    <s v="NJ"/>
    <n v="133078"/>
    <n v="114867"/>
    <n v="18211"/>
    <n v="100600"/>
    <n v="77800"/>
    <n v="13800"/>
  </r>
  <r>
    <n v="13367"/>
    <n v="13368"/>
    <x v="1"/>
    <s v="NJ-00033"/>
    <s v="LAURENCE HARBOR"/>
    <n v="8879"/>
    <s v="MIDDLESEX"/>
    <s v="NJ"/>
    <n v="809508"/>
    <n v="404647"/>
    <n v="404861"/>
    <n v="464700"/>
    <n v="15900"/>
    <n v="373800"/>
  </r>
  <r>
    <n v="13367"/>
    <n v="13368"/>
    <x v="1"/>
    <s v="NJ-00033"/>
    <s v="LAVALETTE"/>
    <n v="8735"/>
    <s v="OCEAN"/>
    <s v="NJ"/>
    <n v="205730"/>
    <n v="170475"/>
    <n v="35255"/>
    <n v="0"/>
    <n v="0"/>
    <n v="0"/>
  </r>
  <r>
    <n v="13367"/>
    <n v="13368"/>
    <x v="1"/>
    <s v="NJ-00033"/>
    <s v="LAVALETTE"/>
    <n v="8753"/>
    <s v="OCEAN"/>
    <s v="NJ"/>
    <n v="29335"/>
    <n v="22585"/>
    <n v="6750"/>
    <n v="10400"/>
    <n v="3600"/>
    <n v="6800"/>
  </r>
  <r>
    <n v="13367"/>
    <n v="13368"/>
    <x v="1"/>
    <s v="NJ-00033"/>
    <s v="LAVALETTEE"/>
    <n v="8735"/>
    <s v="OCEAN"/>
    <s v="NJ"/>
    <n v="97138"/>
    <n v="58338"/>
    <n v="38800"/>
    <n v="0"/>
    <n v="0"/>
    <n v="0"/>
  </r>
  <r>
    <n v="13367"/>
    <n v="13368"/>
    <x v="1"/>
    <s v="NJ-00033"/>
    <s v="LAVALLETTE"/>
    <n v="8735"/>
    <s v="ESSEX"/>
    <s v="NJ"/>
    <n v="39320"/>
    <n v="34695"/>
    <n v="4625"/>
    <n v="0"/>
    <n v="0"/>
    <n v="0"/>
  </r>
  <r>
    <n v="13367"/>
    <n v="13368"/>
    <x v="1"/>
    <s v="NJ-00033"/>
    <s v="LAVALLETTE"/>
    <n v="7052"/>
    <s v="OCEAN"/>
    <s v="NJ"/>
    <n v="37827"/>
    <n v="35427"/>
    <n v="2400"/>
    <n v="0"/>
    <n v="0"/>
    <n v="0"/>
  </r>
  <r>
    <n v="13367"/>
    <n v="13368"/>
    <x v="1"/>
    <s v="NJ-00033"/>
    <s v="LAVALLETTE"/>
    <n v="7092"/>
    <s v="OCEAN"/>
    <s v="NJ"/>
    <n v="147925"/>
    <n v="125840"/>
    <n v="22085"/>
    <n v="0"/>
    <n v="0"/>
    <n v="0"/>
  </r>
  <r>
    <n v="13367"/>
    <n v="13368"/>
    <x v="1"/>
    <s v="NJ-00033"/>
    <s v="LAVALLETTE"/>
    <n v="8088"/>
    <s v="OCEAN"/>
    <s v="NJ"/>
    <n v="128750"/>
    <n v="98250"/>
    <n v="30500"/>
    <n v="0"/>
    <n v="0"/>
    <n v="0"/>
  </r>
  <r>
    <n v="13367"/>
    <n v="13368"/>
    <x v="1"/>
    <s v="NJ-00033"/>
    <s v="LAVALLETTE"/>
    <n v="8735"/>
    <s v="OCEAN"/>
    <s v="NJ"/>
    <n v="18252992"/>
    <n v="13898602"/>
    <n v="4354390"/>
    <n v="8475500"/>
    <n v="5545800"/>
    <n v="1964700"/>
  </r>
  <r>
    <n v="13367"/>
    <n v="13368"/>
    <x v="1"/>
    <s v="NJ-00033"/>
    <s v="LAVALLETTE"/>
    <n v="8753"/>
    <s v="OCEAN"/>
    <s v="NJ"/>
    <n v="66187"/>
    <n v="38702"/>
    <n v="27485"/>
    <n v="0"/>
    <n v="0"/>
    <n v="0"/>
  </r>
  <r>
    <n v="13367"/>
    <n v="13368"/>
    <x v="1"/>
    <s v="NJ-00033"/>
    <s v="LAVALLETTE"/>
    <n v="8735"/>
    <s v="PASSAIC"/>
    <s v="NJ"/>
    <n v="84810"/>
    <n v="78060"/>
    <n v="6750"/>
    <n v="38100"/>
    <n v="31300"/>
    <n v="6800"/>
  </r>
  <r>
    <n v="13367"/>
    <n v="13368"/>
    <x v="1"/>
    <s v="NJ-00033"/>
    <s v="LAVALLETTTE"/>
    <n v="8735"/>
    <s v="OCEAN"/>
    <s v="NJ"/>
    <n v="29790"/>
    <n v="23440"/>
    <n v="6350"/>
    <n v="0"/>
    <n v="0"/>
    <n v="0"/>
  </r>
  <r>
    <n v="13367"/>
    <n v="13368"/>
    <x v="1"/>
    <s v="NJ-00033"/>
    <s v="LAWNSIDE"/>
    <n v="8045"/>
    <s v="CAMDEN"/>
    <s v="NJ"/>
    <n v="32000"/>
    <n v="0"/>
    <n v="32000"/>
    <n v="0"/>
    <n v="0"/>
    <n v="0"/>
  </r>
  <r>
    <n v="13367"/>
    <n v="13368"/>
    <x v="1"/>
    <s v="NJ-00033"/>
    <s v="LAWRENCEVILLE"/>
    <n v="8648"/>
    <s v="MERCER"/>
    <s v="NJ"/>
    <n v="18795"/>
    <n v="1895"/>
    <n v="16900"/>
    <n v="0"/>
    <n v="0"/>
    <n v="0"/>
  </r>
  <r>
    <n v="13367"/>
    <n v="13368"/>
    <x v="1"/>
    <s v="NJ-00033"/>
    <s v="LAWRENCEVILLE"/>
    <n v="8648"/>
    <s v="OCEAN"/>
    <s v="NJ"/>
    <n v="70181"/>
    <n v="56481"/>
    <n v="13700"/>
    <n v="0"/>
    <n v="0"/>
    <n v="0"/>
  </r>
  <r>
    <n v="13367"/>
    <n v="13368"/>
    <x v="1"/>
    <s v="NJ-00033"/>
    <s v="LEH"/>
    <n v="7032"/>
    <s v="OCEAN"/>
    <s v="NJ"/>
    <n v="112896"/>
    <n v="90421"/>
    <n v="22475"/>
    <n v="0"/>
    <n v="0"/>
    <n v="0"/>
  </r>
  <r>
    <n v="13367"/>
    <n v="13368"/>
    <x v="1"/>
    <s v="NJ-00033"/>
    <s v="LEH"/>
    <n v="8087"/>
    <s v="OCEAN"/>
    <s v="NJ"/>
    <n v="144148"/>
    <n v="135558"/>
    <n v="8590"/>
    <n v="2000"/>
    <n v="0"/>
    <n v="2000"/>
  </r>
  <r>
    <n v="13367"/>
    <n v="13368"/>
    <x v="1"/>
    <s v="NJ-00033"/>
    <s v="LEHT"/>
    <n v="8087"/>
    <s v="OCEAN"/>
    <s v="NJ"/>
    <n v="25439"/>
    <n v="21239"/>
    <n v="4200"/>
    <n v="0"/>
    <n v="0"/>
    <n v="0"/>
  </r>
  <r>
    <n v="13367"/>
    <n v="13368"/>
    <x v="1"/>
    <s v="NJ-00033"/>
    <s v="LEONARDO"/>
    <n v="7737"/>
    <s v="MONMOUTH"/>
    <s v="NJ"/>
    <n v="606281"/>
    <n v="365809"/>
    <n v="240472"/>
    <n v="77000"/>
    <n v="0"/>
    <n v="46500"/>
  </r>
  <r>
    <n v="13367"/>
    <n v="13368"/>
    <x v="1"/>
    <s v="NJ-00033"/>
    <s v="LINCOLN PARK"/>
    <n v="7035"/>
    <s v="MORRIS"/>
    <s v="NJ"/>
    <n v="0"/>
    <n v="0"/>
    <n v="0"/>
    <n v="21000"/>
    <n v="0"/>
    <n v="0"/>
  </r>
  <r>
    <n v="13367"/>
    <n v="13368"/>
    <x v="1"/>
    <s v="NJ-00033"/>
    <s v="LINCROFT"/>
    <n v="7738"/>
    <s v="MONMOUTH"/>
    <s v="NJ"/>
    <n v="0"/>
    <n v="0"/>
    <n v="0"/>
    <n v="124400"/>
    <n v="0"/>
    <n v="0"/>
  </r>
  <r>
    <n v="13367"/>
    <n v="13368"/>
    <x v="1"/>
    <s v="NJ-00033"/>
    <s v="LINDEN"/>
    <n v="7036"/>
    <s v="MIDDLESEX"/>
    <s v="NJ"/>
    <n v="162759"/>
    <n v="8884"/>
    <n v="153875"/>
    <n v="133200"/>
    <n v="0"/>
    <n v="133200"/>
  </r>
  <r>
    <n v="13367"/>
    <n v="13368"/>
    <x v="1"/>
    <s v="NJ-00033"/>
    <s v="LINDEN"/>
    <n v="7036"/>
    <s v="UNION"/>
    <s v="NJ"/>
    <n v="941007"/>
    <n v="272321"/>
    <n v="668686"/>
    <n v="15200"/>
    <n v="0"/>
    <n v="5500"/>
  </r>
  <r>
    <n v="13367"/>
    <n v="13368"/>
    <x v="1"/>
    <s v="NJ-00033"/>
    <s v="LINDEN"/>
    <n v="7306"/>
    <s v="UNION"/>
    <s v="NJ"/>
    <n v="13000"/>
    <n v="0"/>
    <n v="13000"/>
    <n v="21600"/>
    <n v="0"/>
    <n v="9900"/>
  </r>
  <r>
    <n v="13367"/>
    <n v="13368"/>
    <x v="1"/>
    <s v="NJ-00033"/>
    <s v="LINWOOD"/>
    <n v="8221"/>
    <s v="ATLANTIC"/>
    <s v="NJ"/>
    <n v="0"/>
    <n v="0"/>
    <n v="0"/>
    <n v="34700"/>
    <n v="0"/>
    <n v="0"/>
  </r>
  <r>
    <n v="13367"/>
    <n v="13368"/>
    <x v="1"/>
    <s v="NJ-00033"/>
    <s v="LITTLE EGG HABOUR"/>
    <n v="8008"/>
    <s v="OCEAN"/>
    <s v="NJ"/>
    <n v="14231"/>
    <n v="14231"/>
    <n v="0"/>
    <n v="0"/>
    <n v="0"/>
    <n v="0"/>
  </r>
  <r>
    <n v="13367"/>
    <n v="13368"/>
    <x v="1"/>
    <s v="NJ-00033"/>
    <s v="LITTLE EGG HARBOR"/>
    <n v="8087"/>
    <s v="OCEAN"/>
    <s v="NJ"/>
    <n v="4381131"/>
    <n v="3751992"/>
    <n v="629139"/>
    <n v="1549000"/>
    <n v="1365300"/>
    <n v="161100"/>
  </r>
  <r>
    <n v="13367"/>
    <n v="13368"/>
    <x v="1"/>
    <s v="NJ-00033"/>
    <s v="LITTLE EGG HARBOR TOWNSHIP"/>
    <n v="8087"/>
    <s v="OCEAN"/>
    <s v="NJ"/>
    <n v="52286"/>
    <n v="49186"/>
    <n v="3100"/>
    <n v="29500"/>
    <n v="24200"/>
    <n v="3100"/>
  </r>
  <r>
    <n v="13367"/>
    <n v="13368"/>
    <x v="1"/>
    <s v="NJ-00033"/>
    <s v="LITTLE EGG HARBOR TWP"/>
    <n v="8087"/>
    <s v="OCEAN"/>
    <s v="NJ"/>
    <n v="2447489"/>
    <n v="2117458"/>
    <n v="330031"/>
    <n v="1242500"/>
    <n v="988600"/>
    <n v="176700"/>
  </r>
  <r>
    <n v="13367"/>
    <n v="13368"/>
    <x v="1"/>
    <s v="NJ-00033"/>
    <s v="LITTLE FALLS"/>
    <n v="7424"/>
    <s v="PASSAIC"/>
    <s v="NJ"/>
    <n v="31515"/>
    <n v="0"/>
    <n v="31515"/>
    <n v="18600"/>
    <n v="0"/>
    <n v="18600"/>
  </r>
  <r>
    <n v="13367"/>
    <n v="13368"/>
    <x v="1"/>
    <s v="NJ-00033"/>
    <s v="LITTLE FERRY"/>
    <n v="7643"/>
    <s v="BERGEN"/>
    <s v="NJ"/>
    <n v="6798366"/>
    <n v="2690309"/>
    <n v="4108057"/>
    <n v="3323900"/>
    <n v="960300"/>
    <n v="1895900"/>
  </r>
  <r>
    <n v="13367"/>
    <n v="13368"/>
    <x v="1"/>
    <s v="NJ-00033"/>
    <s v="LITTLE SILVER"/>
    <n v="7739"/>
    <s v="MONMOUTH"/>
    <s v="NJ"/>
    <n v="544195"/>
    <n v="421344"/>
    <n v="122851"/>
    <n v="22500"/>
    <n v="0"/>
    <n v="700"/>
  </r>
  <r>
    <n v="13367"/>
    <n v="13368"/>
    <x v="1"/>
    <s v="NJ-00033"/>
    <s v="LIVINGSTON"/>
    <n v="7039"/>
    <s v="ESSEX"/>
    <s v="NJ"/>
    <n v="40223"/>
    <n v="3193"/>
    <n v="37030"/>
    <n v="194700"/>
    <n v="200"/>
    <n v="19800"/>
  </r>
  <r>
    <n v="13367"/>
    <n v="13368"/>
    <x v="1"/>
    <s v="NJ-00033"/>
    <s v="LODI"/>
    <n v="7644"/>
    <s v="BERGEN"/>
    <s v="NJ"/>
    <n v="11181"/>
    <n v="11181"/>
    <n v="0"/>
    <n v="0"/>
    <n v="0"/>
    <n v="0"/>
  </r>
  <r>
    <n v="13367"/>
    <n v="13368"/>
    <x v="1"/>
    <s v="NJ-00033"/>
    <s v="LONG BCH TWP"/>
    <n v="8008"/>
    <s v="OCEAN"/>
    <s v="NJ"/>
    <n v="337054"/>
    <n v="267404"/>
    <n v="69650"/>
    <n v="15500"/>
    <n v="15500"/>
    <n v="0"/>
  </r>
  <r>
    <n v="13367"/>
    <n v="13368"/>
    <x v="1"/>
    <s v="NJ-00033"/>
    <s v="LONG BEACH"/>
    <n v="8008"/>
    <s v="OCEAN"/>
    <s v="NJ"/>
    <n v="118061"/>
    <n v="102761"/>
    <n v="15300"/>
    <n v="19700"/>
    <n v="19700"/>
    <n v="0"/>
  </r>
  <r>
    <n v="13367"/>
    <n v="13368"/>
    <x v="1"/>
    <s v="NJ-00033"/>
    <s v="LONG BEACH TOWNSHIP"/>
    <n v="7066"/>
    <s v="OCEAN"/>
    <s v="NJ"/>
    <n v="98988"/>
    <n v="82628"/>
    <n v="16360"/>
    <n v="0"/>
    <n v="0"/>
    <n v="0"/>
  </r>
  <r>
    <n v="13367"/>
    <n v="13368"/>
    <x v="1"/>
    <s v="NJ-00033"/>
    <s v="LONG BEACH TOWNSHIP"/>
    <n v="7407"/>
    <s v="OCEAN"/>
    <s v="NJ"/>
    <n v="30098"/>
    <n v="25598"/>
    <n v="4500"/>
    <n v="14000"/>
    <n v="9500"/>
    <n v="4500"/>
  </r>
  <r>
    <n v="13367"/>
    <n v="13368"/>
    <x v="1"/>
    <s v="NJ-00033"/>
    <s v="LONG BEACH TOWNSHIP"/>
    <n v="8008"/>
    <s v="OCEAN"/>
    <s v="NJ"/>
    <n v="5838193"/>
    <n v="4737389"/>
    <n v="1100804"/>
    <n v="1774500"/>
    <n v="1105800"/>
    <n v="484700"/>
  </r>
  <r>
    <n v="13367"/>
    <n v="13368"/>
    <x v="1"/>
    <s v="NJ-00033"/>
    <s v="LONG BEACH TOWNSHIP"/>
    <n v="8724"/>
    <s v="OCEAN"/>
    <s v="NJ"/>
    <n v="37081"/>
    <n v="35081"/>
    <n v="2000"/>
    <n v="0"/>
    <n v="0"/>
    <n v="0"/>
  </r>
  <r>
    <n v="13367"/>
    <n v="13368"/>
    <x v="1"/>
    <s v="NJ-00033"/>
    <s v="LONG BEACH TOWNSHIP HOLGATE"/>
    <n v="8008"/>
    <s v="OCEAN"/>
    <s v="NJ"/>
    <n v="112098"/>
    <n v="105698"/>
    <n v="6400"/>
    <n v="0"/>
    <n v="0"/>
    <n v="0"/>
  </r>
  <r>
    <n v="13367"/>
    <n v="13368"/>
    <x v="1"/>
    <s v="NJ-00033"/>
    <s v="LONG BEACH TWP"/>
    <n v="8008"/>
    <s v="OCEAN"/>
    <s v="NJ"/>
    <n v="414951"/>
    <n v="341424"/>
    <n v="73527"/>
    <n v="67400"/>
    <n v="45500"/>
    <n v="21900"/>
  </r>
  <r>
    <n v="13367"/>
    <n v="13368"/>
    <x v="1"/>
    <s v="NJ-00033"/>
    <s v="LONG BEACH TWP."/>
    <n v="8008"/>
    <s v="OCEAN"/>
    <s v="NJ"/>
    <n v="136208"/>
    <n v="97158"/>
    <n v="39050"/>
    <n v="0"/>
    <n v="0"/>
    <n v="0"/>
  </r>
  <r>
    <n v="13367"/>
    <n v="13368"/>
    <x v="1"/>
    <s v="NJ-00033"/>
    <s v="LONG BRANCH"/>
    <n v="7740"/>
    <s v="MONMOUTH"/>
    <s v="NJ"/>
    <n v="8662949"/>
    <n v="7397999"/>
    <n v="1264950"/>
    <n v="4063500"/>
    <n v="3102400"/>
    <n v="557100"/>
  </r>
  <r>
    <n v="13367"/>
    <n v="13368"/>
    <x v="1"/>
    <s v="NJ-00033"/>
    <s v="LONG BRANCH"/>
    <n v="7774"/>
    <s v="MONMOUTH"/>
    <s v="NJ"/>
    <n v="54352"/>
    <n v="51102"/>
    <n v="3250"/>
    <n v="0"/>
    <n v="0"/>
    <n v="0"/>
  </r>
  <r>
    <n v="13367"/>
    <n v="13368"/>
    <x v="1"/>
    <s v="NJ-00033"/>
    <s v="LONGPORT"/>
    <n v="8403"/>
    <s v="ATLANTIC"/>
    <s v="NJ"/>
    <n v="7345697"/>
    <n v="7219994"/>
    <n v="125703"/>
    <n v="3912800"/>
    <n v="3778900"/>
    <n v="98700"/>
  </r>
  <r>
    <n v="13367"/>
    <n v="13368"/>
    <x v="1"/>
    <s v="NJ-00033"/>
    <s v="LYNDHURST"/>
    <n v="7071"/>
    <s v="BERGEN"/>
    <s v="NJ"/>
    <n v="1109963"/>
    <n v="570468"/>
    <n v="539495"/>
    <n v="522800"/>
    <n v="318200"/>
    <n v="126700"/>
  </r>
  <r>
    <n v="13367"/>
    <n v="13368"/>
    <x v="1"/>
    <s v="NJ-00033"/>
    <s v="MAAHAWKIN"/>
    <n v="8050"/>
    <s v="OCEAN"/>
    <s v="NJ"/>
    <n v="91216"/>
    <n v="74386"/>
    <n v="16830"/>
    <n v="0"/>
    <n v="0"/>
    <n v="0"/>
  </r>
  <r>
    <n v="13367"/>
    <n v="13368"/>
    <x v="1"/>
    <s v="NJ-00033"/>
    <s v="MANAHAKIN"/>
    <n v="8050"/>
    <s v="OCEAN"/>
    <s v="NJ"/>
    <n v="140835"/>
    <n v="137235"/>
    <n v="3600"/>
    <n v="0"/>
    <n v="0"/>
    <n v="0"/>
  </r>
  <r>
    <n v="13367"/>
    <n v="13368"/>
    <x v="1"/>
    <s v="NJ-00033"/>
    <s v="MANAHAWKIN"/>
    <n v="7642"/>
    <s v="BERGEN"/>
    <s v="NJ"/>
    <n v="99512"/>
    <n v="96487"/>
    <n v="3025"/>
    <n v="79300"/>
    <n v="76300"/>
    <n v="3000"/>
  </r>
  <r>
    <n v="13367"/>
    <n v="13368"/>
    <x v="1"/>
    <s v="NJ-00033"/>
    <s v="MANAHAWKIN"/>
    <n v="8005"/>
    <s v="OCEAN"/>
    <s v="NJ"/>
    <n v="170855"/>
    <n v="168655"/>
    <n v="2200"/>
    <n v="0"/>
    <n v="0"/>
    <n v="0"/>
  </r>
  <r>
    <n v="13367"/>
    <n v="13368"/>
    <x v="1"/>
    <s v="NJ-00033"/>
    <s v="MANAHAWKIN"/>
    <n v="8050"/>
    <s v="OCEAN"/>
    <s v="NJ"/>
    <n v="7946577"/>
    <n v="6421307"/>
    <n v="1525270"/>
    <n v="3656800"/>
    <n v="2403400"/>
    <n v="881600"/>
  </r>
  <r>
    <n v="13367"/>
    <n v="13368"/>
    <x v="1"/>
    <s v="NJ-00033"/>
    <s v="MANAHAWKIN"/>
    <n v="8060"/>
    <s v="OCEAN"/>
    <s v="NJ"/>
    <n v="83123"/>
    <n v="70978"/>
    <n v="12145"/>
    <n v="0"/>
    <n v="0"/>
    <n v="0"/>
  </r>
  <r>
    <n v="13367"/>
    <n v="13368"/>
    <x v="1"/>
    <s v="NJ-00033"/>
    <s v="MANALAPAN"/>
    <n v="7726"/>
    <s v="MONMOUTH"/>
    <s v="NJ"/>
    <n v="224464"/>
    <n v="25470"/>
    <n v="198994"/>
    <n v="165500"/>
    <n v="18900"/>
    <n v="47100"/>
  </r>
  <r>
    <n v="13367"/>
    <n v="13368"/>
    <x v="1"/>
    <s v="NJ-00033"/>
    <s v="MANASQUAN"/>
    <n v="8730"/>
    <s v="MONMOUTH"/>
    <s v="NJ"/>
    <n v="61916"/>
    <n v="6650"/>
    <n v="55266"/>
    <n v="55300"/>
    <n v="0"/>
    <n v="55300"/>
  </r>
  <r>
    <n v="13367"/>
    <n v="13368"/>
    <x v="1"/>
    <s v="NJ-00033"/>
    <s v="MANASQUAN"/>
    <n v="8735"/>
    <s v="MONMOUTH"/>
    <s v="NJ"/>
    <n v="46748"/>
    <n v="37687"/>
    <n v="9061"/>
    <n v="0"/>
    <n v="0"/>
    <n v="0"/>
  </r>
  <r>
    <n v="13367"/>
    <n v="13368"/>
    <x v="1"/>
    <s v="NJ-00033"/>
    <s v="MANASQUAN"/>
    <n v="8736"/>
    <s v="MONMOUTH"/>
    <s v="NJ"/>
    <n v="8862192"/>
    <n v="6658514"/>
    <n v="2203678"/>
    <n v="3131800"/>
    <n v="2447000"/>
    <n v="486500"/>
  </r>
  <r>
    <n v="13367"/>
    <n v="13368"/>
    <x v="1"/>
    <s v="NJ-00033"/>
    <s v="MANASQUAN,"/>
    <n v="8736"/>
    <s v="MONMOUTH"/>
    <s v="NJ"/>
    <n v="82685"/>
    <n v="74985"/>
    <n v="7700"/>
    <n v="0"/>
    <n v="0"/>
    <n v="0"/>
  </r>
  <r>
    <n v="13367"/>
    <n v="13368"/>
    <x v="1"/>
    <s v="NJ-00033"/>
    <s v="MANHATTAN"/>
    <n v="10001"/>
    <s v="NEW YORK"/>
    <s v="NY"/>
    <n v="0"/>
    <n v="0"/>
    <n v="0"/>
    <n v="13100"/>
    <n v="0"/>
    <n v="0"/>
  </r>
  <r>
    <n v="13367"/>
    <n v="13368"/>
    <x v="1"/>
    <s v="NJ-00033"/>
    <s v="MANTOLOKING"/>
    <n v="8738"/>
    <s v="OCEAN"/>
    <s v="NJ"/>
    <n v="7979551"/>
    <n v="6379839"/>
    <n v="1599712"/>
    <n v="1630200"/>
    <n v="1387100"/>
    <n v="201800"/>
  </r>
  <r>
    <n v="13367"/>
    <n v="13368"/>
    <x v="1"/>
    <s v="NJ-00033"/>
    <s v="MANTOLOKING"/>
    <n v="8844"/>
    <s v="OCEAN"/>
    <s v="NJ"/>
    <n v="225236"/>
    <n v="201186"/>
    <n v="24050"/>
    <n v="0"/>
    <n v="0"/>
    <n v="0"/>
  </r>
  <r>
    <n v="13367"/>
    <n v="13368"/>
    <x v="1"/>
    <s v="NJ-00033"/>
    <s v="MAPLE SHADE"/>
    <n v="8052"/>
    <s v="BURLINGTON"/>
    <s v="NJ"/>
    <n v="99517"/>
    <n v="97317"/>
    <n v="2200"/>
    <n v="0"/>
    <n v="0"/>
    <n v="0"/>
  </r>
  <r>
    <n v="13367"/>
    <n v="13368"/>
    <x v="1"/>
    <s v="NJ-00033"/>
    <s v="MAPLEWOOD"/>
    <n v="7040"/>
    <s v="ESSEX"/>
    <s v="NJ"/>
    <n v="0"/>
    <n v="0"/>
    <n v="0"/>
    <n v="232000"/>
    <n v="0"/>
    <n v="0"/>
  </r>
  <r>
    <n v="13367"/>
    <n v="13368"/>
    <x v="1"/>
    <s v="NJ-00033"/>
    <s v="MARGATE"/>
    <n v="8402"/>
    <s v="ATLANTIC"/>
    <s v="NJ"/>
    <n v="4045084"/>
    <n v="2931793"/>
    <n v="1113291"/>
    <n v="1393100"/>
    <n v="714000"/>
    <n v="606300"/>
  </r>
  <r>
    <n v="13367"/>
    <n v="13368"/>
    <x v="1"/>
    <s v="NJ-00033"/>
    <s v="MARGATE"/>
    <n v="8406"/>
    <s v="ATLANTIC"/>
    <s v="NJ"/>
    <n v="221413"/>
    <n v="50309"/>
    <n v="171104"/>
    <n v="208200"/>
    <n v="47900"/>
    <n v="160300"/>
  </r>
  <r>
    <n v="13367"/>
    <n v="13368"/>
    <x v="1"/>
    <s v="NJ-00033"/>
    <s v="MARGATE"/>
    <n v="9402"/>
    <s v="ATLANTIC"/>
    <s v="NJ"/>
    <n v="2850"/>
    <n v="0"/>
    <n v="2850"/>
    <n v="0"/>
    <n v="0"/>
    <n v="0"/>
  </r>
  <r>
    <n v="13367"/>
    <n v="13368"/>
    <x v="1"/>
    <s v="NJ-00033"/>
    <s v="MARGATE CITY"/>
    <n v="8402"/>
    <s v="ATLANTIC"/>
    <s v="NJ"/>
    <n v="2741799"/>
    <n v="2367927"/>
    <n v="373872"/>
    <n v="742600"/>
    <n v="482800"/>
    <n v="132800"/>
  </r>
  <r>
    <n v="13367"/>
    <n v="13368"/>
    <x v="1"/>
    <s v="NJ-00033"/>
    <s v="MARMORA"/>
    <n v="8223"/>
    <s v="CAPE MAY"/>
    <s v="NJ"/>
    <n v="1235730"/>
    <n v="940561"/>
    <n v="295169"/>
    <n v="743800"/>
    <n v="528500"/>
    <n v="203000"/>
  </r>
  <r>
    <n v="13367"/>
    <n v="13368"/>
    <x v="1"/>
    <s v="NJ-00033"/>
    <s v="MARTINSVILLE"/>
    <n v="8836"/>
    <s v="SOMERSET"/>
    <s v="NJ"/>
    <n v="0"/>
    <n v="0"/>
    <n v="0"/>
    <n v="5000"/>
    <n v="0"/>
    <n v="0"/>
  </r>
  <r>
    <n v="13367"/>
    <n v="13368"/>
    <x v="1"/>
    <s v="NJ-00033"/>
    <s v="MATAWAN"/>
    <n v="7747"/>
    <s v="MIDDLESEX"/>
    <s v="NJ"/>
    <n v="5000"/>
    <n v="0"/>
    <n v="5000"/>
    <n v="0"/>
    <n v="0"/>
    <n v="0"/>
  </r>
  <r>
    <n v="13367"/>
    <n v="13368"/>
    <x v="1"/>
    <s v="NJ-00033"/>
    <s v="MATAWAN"/>
    <n v="7747"/>
    <s v="MONMOUTH"/>
    <s v="NJ"/>
    <n v="41576"/>
    <n v="41576"/>
    <n v="0"/>
    <n v="0"/>
    <n v="0"/>
    <n v="0"/>
  </r>
  <r>
    <n v="13367"/>
    <n v="13368"/>
    <x v="1"/>
    <s v="NJ-00033"/>
    <s v="MAYS LANDING"/>
    <n v="8330"/>
    <s v="ATLANTIC"/>
    <s v="NJ"/>
    <n v="152868"/>
    <n v="77620"/>
    <n v="75248"/>
    <n v="62600"/>
    <n v="30600"/>
    <n v="2500"/>
  </r>
  <r>
    <n v="13367"/>
    <n v="13368"/>
    <x v="1"/>
    <s v="NJ-00033"/>
    <s v="MAYWOOD"/>
    <n v="7607"/>
    <s v="BERGEN"/>
    <s v="NJ"/>
    <n v="14950"/>
    <n v="0"/>
    <n v="14950"/>
    <n v="22000"/>
    <n v="0"/>
    <n v="12600"/>
  </r>
  <r>
    <n v="13367"/>
    <n v="13368"/>
    <x v="1"/>
    <s v="NJ-00033"/>
    <s v="MCKEE CITY"/>
    <n v="8232"/>
    <s v="ATLANTIC"/>
    <s v="NJ"/>
    <n v="122967"/>
    <n v="0"/>
    <n v="122967"/>
    <n v="0"/>
    <n v="0"/>
    <n v="0"/>
  </r>
  <r>
    <n v="13367"/>
    <n v="13368"/>
    <x v="1"/>
    <s v="NJ-00033"/>
    <s v="MENDHAM"/>
    <n v="7945"/>
    <s v="MORRIS"/>
    <s v="NJ"/>
    <n v="2025"/>
    <n v="0"/>
    <n v="2025"/>
    <n v="5100"/>
    <n v="0"/>
    <n v="2100"/>
  </r>
  <r>
    <n v="13367"/>
    <n v="13368"/>
    <x v="1"/>
    <s v="NJ-00033"/>
    <s v="METUCHEN"/>
    <n v="8840"/>
    <s v="MIDDLESEX"/>
    <s v="NJ"/>
    <n v="18517"/>
    <n v="0"/>
    <n v="18517"/>
    <n v="44100"/>
    <n v="0"/>
    <n v="0"/>
  </r>
  <r>
    <n v="13367"/>
    <n v="13368"/>
    <x v="1"/>
    <s v="NJ-00033"/>
    <s v="MIDDLE TOWNSHIP"/>
    <n v="8210"/>
    <s v="CAPE MAY"/>
    <s v="NJ"/>
    <n v="76461"/>
    <n v="73511"/>
    <n v="2950"/>
    <n v="0"/>
    <n v="0"/>
    <n v="0"/>
  </r>
  <r>
    <n v="13367"/>
    <n v="13368"/>
    <x v="1"/>
    <s v="NJ-00033"/>
    <s v="MIDDLESEX"/>
    <n v="8846"/>
    <s v="MIDDLESEX"/>
    <s v="NJ"/>
    <n v="14500"/>
    <n v="0"/>
    <n v="14500"/>
    <n v="32400"/>
    <n v="0"/>
    <n v="0"/>
  </r>
  <r>
    <n v="13367"/>
    <n v="13368"/>
    <x v="1"/>
    <s v="NJ-00033"/>
    <s v="MIDDLETOWN"/>
    <n v="7748"/>
    <s v="MONMOUTH"/>
    <s v="NJ"/>
    <n v="209625"/>
    <n v="198353"/>
    <n v="11272"/>
    <n v="41400"/>
    <n v="36400"/>
    <n v="0"/>
  </r>
  <r>
    <n v="13367"/>
    <n v="13368"/>
    <x v="1"/>
    <s v="NJ-00033"/>
    <s v="MIDLAND PARK"/>
    <n v="7432"/>
    <s v="BERGEN"/>
    <s v="NJ"/>
    <n v="124099"/>
    <n v="49649"/>
    <n v="74450"/>
    <n v="0"/>
    <n v="0"/>
    <n v="0"/>
  </r>
  <r>
    <n v="13367"/>
    <n v="13368"/>
    <x v="1"/>
    <s v="NJ-00033"/>
    <s v="MIDLDLETOWN"/>
    <n v="7748"/>
    <s v="MONMOUTH"/>
    <s v="NJ"/>
    <n v="103994"/>
    <n v="43403"/>
    <n v="60591"/>
    <n v="0"/>
    <n v="0"/>
    <n v="0"/>
  </r>
  <r>
    <n v="13367"/>
    <n v="13368"/>
    <x v="1"/>
    <s v="NJ-00033"/>
    <s v="MILLBURN"/>
    <n v="7041"/>
    <s v="ESSEX"/>
    <s v="NJ"/>
    <n v="12792"/>
    <n v="3392"/>
    <n v="9400"/>
    <n v="13500"/>
    <n v="0"/>
    <n v="0"/>
  </r>
  <r>
    <n v="13367"/>
    <n v="13368"/>
    <x v="1"/>
    <s v="NJ-00033"/>
    <s v="MILLINGTON"/>
    <n v="7946"/>
    <s v="SOMERSET"/>
    <s v="NJ"/>
    <n v="279827"/>
    <n v="42374"/>
    <n v="237453"/>
    <n v="0"/>
    <n v="0"/>
    <n v="0"/>
  </r>
  <r>
    <n v="13367"/>
    <n v="13368"/>
    <x v="1"/>
    <s v="NJ-00033"/>
    <s v="MONEY ISLAND"/>
    <n v="8345"/>
    <s v="CUMBERLAND"/>
    <s v="NJ"/>
    <n v="57440"/>
    <n v="45071"/>
    <n v="12369"/>
    <n v="0"/>
    <n v="0"/>
    <n v="0"/>
  </r>
  <r>
    <n v="13367"/>
    <n v="13368"/>
    <x v="1"/>
    <s v="NJ-00033"/>
    <s v="MONMOUTH BEACH"/>
    <n v="7740"/>
    <s v="MONMOUTH"/>
    <s v="NJ"/>
    <n v="58700"/>
    <n v="57100"/>
    <n v="1600"/>
    <n v="0"/>
    <n v="0"/>
    <n v="0"/>
  </r>
  <r>
    <n v="13367"/>
    <n v="13368"/>
    <x v="1"/>
    <s v="NJ-00033"/>
    <s v="MONMOUTH BEACH"/>
    <n v="7750"/>
    <s v="MONMOUTH"/>
    <s v="NJ"/>
    <n v="9990590"/>
    <n v="8329058"/>
    <n v="1661532"/>
    <n v="618600"/>
    <n v="461800"/>
    <n v="137600"/>
  </r>
  <r>
    <n v="13367"/>
    <n v="13368"/>
    <x v="1"/>
    <s v="NJ-00033"/>
    <s v="MONMUTH BEACH"/>
    <n v="7750"/>
    <s v="MONMOUTH"/>
    <s v="NJ"/>
    <n v="64601"/>
    <n v="61301"/>
    <n v="3300"/>
    <n v="74300"/>
    <n v="61400"/>
    <n v="3300"/>
  </r>
  <r>
    <n v="13367"/>
    <n v="13368"/>
    <x v="1"/>
    <s v="NJ-00033"/>
    <s v="MONROE"/>
    <n v="8831"/>
    <s v="MIDDLESEX"/>
    <s v="NJ"/>
    <n v="247825"/>
    <n v="234175"/>
    <n v="13650"/>
    <n v="4200"/>
    <n v="0"/>
    <n v="0"/>
  </r>
  <r>
    <n v="13367"/>
    <n v="13368"/>
    <x v="1"/>
    <s v="NJ-00033"/>
    <s v="MONROE TOWNSHIP"/>
    <n v="8831"/>
    <s v="MIDDLESEX"/>
    <s v="NJ"/>
    <n v="0"/>
    <n v="0"/>
    <n v="0"/>
    <n v="360200"/>
    <n v="0"/>
    <n v="0"/>
  </r>
  <r>
    <n v="13367"/>
    <n v="13368"/>
    <x v="1"/>
    <s v="NJ-00033"/>
    <s v="MONTCLAIR"/>
    <n v="7043"/>
    <s v="ESSEX"/>
    <s v="NJ"/>
    <n v="0"/>
    <n v="0"/>
    <n v="0"/>
    <n v="36600"/>
    <n v="0"/>
    <n v="0"/>
  </r>
  <r>
    <n v="13367"/>
    <n v="13368"/>
    <x v="1"/>
    <s v="NJ-00033"/>
    <s v="MONTCLAIR"/>
    <n v="7424"/>
    <s v="ESSEX"/>
    <s v="NJ"/>
    <n v="8629"/>
    <n v="0"/>
    <n v="8629"/>
    <n v="21200"/>
    <n v="0"/>
    <n v="5400"/>
  </r>
  <r>
    <n v="13367"/>
    <n v="13368"/>
    <x v="1"/>
    <s v="NJ-00033"/>
    <s v="MONTEREY BEACH"/>
    <n v="8735"/>
    <s v="OCEAN"/>
    <s v="NJ"/>
    <n v="228538"/>
    <n v="208658"/>
    <n v="19880"/>
    <n v="0"/>
    <n v="0"/>
    <n v="0"/>
  </r>
  <r>
    <n v="13367"/>
    <n v="13368"/>
    <x v="1"/>
    <s v="NJ-00033"/>
    <s v="MOONACHIE"/>
    <n v="7074"/>
    <s v="BERGEN"/>
    <s v="NJ"/>
    <n v="17932421"/>
    <n v="3536271"/>
    <n v="14396150"/>
    <n v="2448700"/>
    <n v="354700"/>
    <n v="1851300"/>
  </r>
  <r>
    <n v="13367"/>
    <n v="13368"/>
    <x v="1"/>
    <s v="NJ-00033"/>
    <s v="MOONACHIE"/>
    <n v="7643"/>
    <s v="BERGEN"/>
    <s v="NJ"/>
    <n v="20250"/>
    <n v="0"/>
    <n v="20250"/>
    <n v="0"/>
    <n v="0"/>
    <n v="0"/>
  </r>
  <r>
    <n v="13367"/>
    <n v="13368"/>
    <x v="1"/>
    <s v="NJ-00033"/>
    <s v="MORGANVILLE"/>
    <n v="7751"/>
    <s v="MONMOUTH"/>
    <s v="NJ"/>
    <n v="3899"/>
    <n v="1724"/>
    <n v="2175"/>
    <n v="90900"/>
    <n v="0"/>
    <n v="0"/>
  </r>
  <r>
    <n v="13367"/>
    <n v="13368"/>
    <x v="1"/>
    <s v="NJ-00033"/>
    <s v="MORRISTOWN"/>
    <n v="7960"/>
    <s v="MORRIS"/>
    <s v="NJ"/>
    <n v="190243"/>
    <n v="177743"/>
    <n v="12500"/>
    <n v="40000"/>
    <n v="27500"/>
    <n v="12500"/>
  </r>
  <r>
    <n v="13367"/>
    <n v="13368"/>
    <x v="1"/>
    <s v="NJ-00033"/>
    <s v="MOUNTAIN LAKES"/>
    <n v="7046"/>
    <s v="MORRIS"/>
    <s v="NJ"/>
    <n v="98694"/>
    <n v="46694"/>
    <n v="52000"/>
    <n v="0"/>
    <n v="0"/>
    <n v="0"/>
  </r>
  <r>
    <n v="13367"/>
    <n v="13368"/>
    <x v="1"/>
    <s v="NJ-00033"/>
    <s v="MOUNTAINSIDE"/>
    <n v="7092"/>
    <s v="UNION"/>
    <s v="NJ"/>
    <n v="34452"/>
    <n v="24452"/>
    <n v="10000"/>
    <n v="171100"/>
    <n v="7900"/>
    <n v="10000"/>
  </r>
  <r>
    <n v="13367"/>
    <n v="13368"/>
    <x v="1"/>
    <s v="NJ-00033"/>
    <s v="MT. LAUREL"/>
    <n v="8054"/>
    <s v="BURLINGTON"/>
    <s v="NJ"/>
    <n v="0"/>
    <n v="0"/>
    <n v="0"/>
    <n v="4600"/>
    <n v="0"/>
    <n v="0"/>
  </r>
  <r>
    <n v="13367"/>
    <n v="13368"/>
    <x v="1"/>
    <s v="NJ-00033"/>
    <s v="MYSTIC ISLAND"/>
    <n v="8087"/>
    <s v="OCEAN"/>
    <s v="NJ"/>
    <n v="402085"/>
    <n v="394385"/>
    <n v="7700"/>
    <n v="0"/>
    <n v="0"/>
    <n v="0"/>
  </r>
  <r>
    <n v="13367"/>
    <n v="13368"/>
    <x v="1"/>
    <s v="NJ-00033"/>
    <s v="N BEACH HAVEN"/>
    <n v="8008"/>
    <s v="OCEAN"/>
    <s v="NJ"/>
    <n v="133269"/>
    <n v="45269"/>
    <n v="88000"/>
    <n v="0"/>
    <n v="0"/>
    <n v="0"/>
  </r>
  <r>
    <n v="13367"/>
    <n v="13368"/>
    <x v="1"/>
    <s v="NJ-00033"/>
    <s v="N BERGEN"/>
    <n v="7047"/>
    <s v="HUDSON"/>
    <s v="NJ"/>
    <n v="89032"/>
    <n v="71382"/>
    <n v="17650"/>
    <n v="89100"/>
    <n v="71400"/>
    <n v="17700"/>
  </r>
  <r>
    <n v="13367"/>
    <n v="13368"/>
    <x v="1"/>
    <s v="NJ-00033"/>
    <s v="N PLAINFIELD"/>
    <n v="7060"/>
    <s v="UNION"/>
    <s v="NJ"/>
    <n v="0"/>
    <n v="0"/>
    <n v="0"/>
    <n v="5000"/>
    <n v="0"/>
    <n v="0"/>
  </r>
  <r>
    <n v="13367"/>
    <n v="13368"/>
    <x v="1"/>
    <s v="NJ-00033"/>
    <s v="N WILDWOOD"/>
    <n v="8260"/>
    <s v="CAPE MAY"/>
    <s v="NJ"/>
    <n v="110338"/>
    <n v="104388"/>
    <n v="5950"/>
    <n v="0"/>
    <n v="0"/>
    <n v="0"/>
  </r>
  <r>
    <n v="13367"/>
    <n v="13368"/>
    <x v="1"/>
    <s v="NJ-00033"/>
    <s v="N. BEACH HAVEN"/>
    <n v="8008"/>
    <s v="OCEAN"/>
    <s v="NJ"/>
    <n v="1307993"/>
    <n v="359566"/>
    <n v="948427"/>
    <n v="18100"/>
    <n v="0"/>
    <n v="8400"/>
  </r>
  <r>
    <n v="13367"/>
    <n v="13368"/>
    <x v="1"/>
    <s v="NJ-00033"/>
    <s v="N. MIDDLETOWN"/>
    <n v="7748"/>
    <s v="MONMOUTH"/>
    <s v="NJ"/>
    <n v="22625"/>
    <n v="0"/>
    <n v="22625"/>
    <n v="0"/>
    <n v="0"/>
    <n v="0"/>
  </r>
  <r>
    <n v="13367"/>
    <n v="13368"/>
    <x v="1"/>
    <s v="NJ-00033"/>
    <s v="N. WILDWOOD"/>
    <n v="8260"/>
    <s v="CAPE MAY"/>
    <s v="NJ"/>
    <n v="927208"/>
    <n v="826620"/>
    <n v="100588"/>
    <n v="25600"/>
    <n v="24800"/>
    <n v="0"/>
  </r>
  <r>
    <n v="13367"/>
    <n v="13368"/>
    <x v="1"/>
    <s v="NJ-00033"/>
    <s v="NEPTUNE"/>
    <n v="7719"/>
    <s v="MONMOUTH"/>
    <s v="NJ"/>
    <n v="32695"/>
    <n v="0"/>
    <n v="32695"/>
    <n v="0"/>
    <n v="0"/>
    <n v="0"/>
  </r>
  <r>
    <n v="13367"/>
    <n v="13368"/>
    <x v="1"/>
    <s v="NJ-00033"/>
    <s v="NEPTUNE"/>
    <n v="7753"/>
    <s v="MONMOUTH"/>
    <s v="NJ"/>
    <n v="6624730"/>
    <n v="4138160"/>
    <n v="2486570"/>
    <n v="1600100"/>
    <n v="629000"/>
    <n v="771300"/>
  </r>
  <r>
    <n v="13367"/>
    <n v="13368"/>
    <x v="1"/>
    <s v="NJ-00033"/>
    <s v="NEPTUNE"/>
    <n v="7754"/>
    <s v="MONMOUTH"/>
    <s v="NJ"/>
    <n v="36500"/>
    <n v="0"/>
    <n v="36500"/>
    <n v="60900"/>
    <n v="0"/>
    <n v="36500"/>
  </r>
  <r>
    <n v="13367"/>
    <n v="13368"/>
    <x v="1"/>
    <s v="NJ-00033"/>
    <s v="NEPTUNE"/>
    <n v="8753"/>
    <s v="OCEAN"/>
    <s v="NJ"/>
    <n v="32525"/>
    <n v="0"/>
    <n v="32525"/>
    <n v="0"/>
    <n v="0"/>
    <n v="0"/>
  </r>
  <r>
    <n v="13367"/>
    <n v="13368"/>
    <x v="1"/>
    <s v="NJ-00033"/>
    <s v="NEPTUNE CITY"/>
    <n v="7753"/>
    <s v="MONMOUTH"/>
    <s v="NJ"/>
    <n v="44902"/>
    <n v="18288"/>
    <n v="26614"/>
    <n v="47200"/>
    <n v="18300"/>
    <n v="26700"/>
  </r>
  <r>
    <n v="13367"/>
    <n v="13368"/>
    <x v="1"/>
    <s v="NJ-00033"/>
    <s v="NEW BRITAIN"/>
    <n v="18901"/>
    <s v="BUCKS"/>
    <s v="PA"/>
    <n v="0"/>
    <n v="0"/>
    <n v="0"/>
    <n v="16500"/>
    <n v="0"/>
    <n v="0"/>
  </r>
  <r>
    <n v="13367"/>
    <n v="13368"/>
    <x v="1"/>
    <s v="NJ-00033"/>
    <s v="NEW BRUNSWICK"/>
    <n v="8901"/>
    <s v="MIDDLESEX"/>
    <s v="NJ"/>
    <n v="762160"/>
    <n v="256095"/>
    <n v="506065"/>
    <n v="0"/>
    <n v="0"/>
    <n v="0"/>
  </r>
  <r>
    <n v="13367"/>
    <n v="13368"/>
    <x v="1"/>
    <s v="NJ-00033"/>
    <s v="NEW GRETNA"/>
    <n v="8224"/>
    <s v="BURLINGTON"/>
    <s v="NJ"/>
    <n v="255366"/>
    <n v="173863"/>
    <n v="81503"/>
    <n v="166500"/>
    <n v="150800"/>
    <n v="5000"/>
  </r>
  <r>
    <n v="13367"/>
    <n v="13368"/>
    <x v="1"/>
    <s v="NJ-00033"/>
    <s v="NEW JERSEY"/>
    <n v="8735"/>
    <s v="OCEAN"/>
    <s v="NJ"/>
    <n v="32539"/>
    <n v="21039"/>
    <n v="11500"/>
    <n v="0"/>
    <n v="0"/>
    <n v="0"/>
  </r>
  <r>
    <n v="13367"/>
    <n v="13368"/>
    <x v="1"/>
    <s v="NJ-00033"/>
    <s v="NEW JERSEY"/>
    <n v="8736"/>
    <s v="OCEAN"/>
    <s v="NJ"/>
    <n v="128395"/>
    <n v="125195"/>
    <n v="3200"/>
    <n v="0"/>
    <n v="0"/>
    <n v="0"/>
  </r>
  <r>
    <n v="13367"/>
    <n v="13368"/>
    <x v="1"/>
    <s v="NJ-00033"/>
    <s v="NEW YORK"/>
    <n v="10001"/>
    <s v="NEW YORK"/>
    <s v="NY"/>
    <n v="26000"/>
    <n v="0"/>
    <n v="26000"/>
    <n v="0"/>
    <n v="0"/>
    <n v="0"/>
  </r>
  <r>
    <n v="13367"/>
    <n v="13368"/>
    <x v="1"/>
    <s v="NJ-00033"/>
    <s v="NEW YORK"/>
    <n v="10003"/>
    <s v="NEW YORK"/>
    <s v="NY"/>
    <n v="10000"/>
    <n v="0"/>
    <n v="10000"/>
    <n v="0"/>
    <n v="0"/>
    <n v="0"/>
  </r>
  <r>
    <n v="13367"/>
    <n v="13368"/>
    <x v="1"/>
    <s v="NJ-00033"/>
    <s v="NEW YORK"/>
    <n v="10007"/>
    <s v="NEW YORK"/>
    <s v="NY"/>
    <n v="7500"/>
    <n v="0"/>
    <n v="7500"/>
    <n v="0"/>
    <n v="0"/>
    <n v="0"/>
  </r>
  <r>
    <n v="13367"/>
    <n v="13368"/>
    <x v="1"/>
    <s v="NJ-00033"/>
    <s v="NEW YORK"/>
    <n v="10010"/>
    <s v="NEW YORK"/>
    <s v="NY"/>
    <n v="0"/>
    <n v="0"/>
    <n v="0"/>
    <n v="4800"/>
    <n v="0"/>
    <n v="0"/>
  </r>
  <r>
    <n v="13367"/>
    <n v="13368"/>
    <x v="1"/>
    <s v="NJ-00033"/>
    <s v="NEW YORK"/>
    <n v="10011"/>
    <s v="NEW YORK"/>
    <s v="NY"/>
    <n v="0"/>
    <n v="0"/>
    <n v="0"/>
    <n v="16800"/>
    <n v="0"/>
    <n v="0"/>
  </r>
  <r>
    <n v="13367"/>
    <n v="13368"/>
    <x v="1"/>
    <s v="NJ-00033"/>
    <s v="NEW YORK"/>
    <n v="10013"/>
    <s v="NEW YORK"/>
    <s v="NY"/>
    <n v="0"/>
    <n v="0"/>
    <n v="0"/>
    <n v="119000"/>
    <n v="0"/>
    <n v="0"/>
  </r>
  <r>
    <n v="13367"/>
    <n v="13368"/>
    <x v="1"/>
    <s v="NJ-00033"/>
    <s v="NEW YORK"/>
    <n v="10014"/>
    <s v="NEW YORK"/>
    <s v="NY"/>
    <n v="0"/>
    <n v="0"/>
    <n v="0"/>
    <n v="16500"/>
    <n v="0"/>
    <n v="0"/>
  </r>
  <r>
    <n v="13367"/>
    <n v="13368"/>
    <x v="1"/>
    <s v="NJ-00033"/>
    <s v="NEW YORK"/>
    <n v="11215"/>
    <s v="NEW YORK"/>
    <s v="NY"/>
    <n v="10000"/>
    <n v="0"/>
    <n v="10000"/>
    <n v="0"/>
    <n v="0"/>
    <n v="0"/>
  </r>
  <r>
    <n v="13367"/>
    <n v="13368"/>
    <x v="1"/>
    <s v="NJ-00033"/>
    <s v="NEWARK"/>
    <n v="7114"/>
    <s v="BERGEN"/>
    <s v="NJ"/>
    <n v="29210"/>
    <n v="0"/>
    <n v="29210"/>
    <n v="0"/>
    <n v="0"/>
    <n v="0"/>
  </r>
  <r>
    <n v="13367"/>
    <n v="13368"/>
    <x v="1"/>
    <s v="NJ-00033"/>
    <s v="NEWARK"/>
    <n v="7102"/>
    <s v="ESSEX"/>
    <s v="NJ"/>
    <n v="54484"/>
    <n v="52894"/>
    <n v="1590"/>
    <n v="153200"/>
    <n v="0"/>
    <n v="1600"/>
  </r>
  <r>
    <n v="13367"/>
    <n v="13368"/>
    <x v="1"/>
    <s v="NJ-00033"/>
    <s v="NEWARK"/>
    <n v="7103"/>
    <s v="ESSEX"/>
    <s v="NJ"/>
    <n v="109643"/>
    <n v="109643"/>
    <n v="0"/>
    <n v="1600"/>
    <n v="1600"/>
    <n v="0"/>
  </r>
  <r>
    <n v="13367"/>
    <n v="13368"/>
    <x v="1"/>
    <s v="NJ-00033"/>
    <s v="NEWARK"/>
    <n v="7104"/>
    <s v="ESSEX"/>
    <s v="NJ"/>
    <n v="368389"/>
    <n v="155504"/>
    <n v="212885"/>
    <n v="70300"/>
    <n v="33300"/>
    <n v="0"/>
  </r>
  <r>
    <n v="13367"/>
    <n v="13368"/>
    <x v="1"/>
    <s v="NJ-00033"/>
    <s v="NEWARK"/>
    <n v="7105"/>
    <s v="ESSEX"/>
    <s v="NJ"/>
    <n v="7562657"/>
    <n v="2603691"/>
    <n v="4958966"/>
    <n v="2843300"/>
    <n v="483400"/>
    <n v="2201800"/>
  </r>
  <r>
    <n v="13367"/>
    <n v="13368"/>
    <x v="1"/>
    <s v="NJ-00033"/>
    <s v="NEWARK"/>
    <n v="7106"/>
    <s v="ESSEX"/>
    <s v="NJ"/>
    <n v="119097"/>
    <n v="106853"/>
    <n v="12244"/>
    <n v="42200"/>
    <n v="42200"/>
    <n v="0"/>
  </r>
  <r>
    <n v="13367"/>
    <n v="13368"/>
    <x v="1"/>
    <s v="NJ-00033"/>
    <s v="NEWARK"/>
    <n v="7107"/>
    <s v="ESSEX"/>
    <s v="NJ"/>
    <n v="542584"/>
    <n v="354634"/>
    <n v="187950"/>
    <n v="117200"/>
    <n v="60300"/>
    <n v="34000"/>
  </r>
  <r>
    <n v="13367"/>
    <n v="13368"/>
    <x v="1"/>
    <s v="NJ-00033"/>
    <s v="NEWARK"/>
    <n v="7108"/>
    <s v="ESSEX"/>
    <s v="NJ"/>
    <n v="93839"/>
    <n v="93839"/>
    <n v="0"/>
    <n v="44300"/>
    <n v="44300"/>
    <n v="0"/>
  </r>
  <r>
    <n v="13367"/>
    <n v="13368"/>
    <x v="1"/>
    <s v="NJ-00033"/>
    <s v="NEWARK"/>
    <n v="7112"/>
    <s v="ESSEX"/>
    <s v="NJ"/>
    <n v="178188"/>
    <n v="130288"/>
    <n v="47900"/>
    <n v="34000"/>
    <n v="34000"/>
    <n v="0"/>
  </r>
  <r>
    <n v="13367"/>
    <n v="13368"/>
    <x v="1"/>
    <s v="NJ-00033"/>
    <s v="NEWARK"/>
    <n v="7114"/>
    <s v="ESSEX"/>
    <s v="NJ"/>
    <n v="4991471"/>
    <n v="1281648"/>
    <n v="3709823"/>
    <n v="1691000"/>
    <n v="682800"/>
    <n v="1008200"/>
  </r>
  <r>
    <n v="13367"/>
    <n v="13368"/>
    <x v="1"/>
    <s v="NJ-00033"/>
    <s v="NEWARK"/>
    <n v="8882"/>
    <s v="ESSEX"/>
    <s v="NJ"/>
    <n v="149964"/>
    <n v="53465"/>
    <n v="96499"/>
    <n v="0"/>
    <n v="0"/>
    <n v="0"/>
  </r>
  <r>
    <n v="13367"/>
    <n v="13368"/>
    <x v="1"/>
    <s v="NJ-00033"/>
    <s v="NEWARK"/>
    <n v="7105"/>
    <s v="HUDSON"/>
    <s v="NJ"/>
    <n v="26900"/>
    <n v="0"/>
    <n v="26900"/>
    <n v="0"/>
    <n v="0"/>
    <n v="0"/>
  </r>
  <r>
    <n v="13367"/>
    <n v="13368"/>
    <x v="1"/>
    <s v="NJ-00033"/>
    <s v="NEWARK"/>
    <n v="7114"/>
    <s v="HUDSON"/>
    <s v="NJ"/>
    <n v="123695"/>
    <n v="0"/>
    <n v="123695"/>
    <n v="0"/>
    <n v="0"/>
    <n v="0"/>
  </r>
  <r>
    <n v="13367"/>
    <n v="13368"/>
    <x v="1"/>
    <s v="NJ-00033"/>
    <s v="NEWPORT"/>
    <n v="8345"/>
    <s v="CUMBERLAND"/>
    <s v="NJ"/>
    <n v="1030196"/>
    <n v="978656"/>
    <n v="51540"/>
    <n v="0"/>
    <n v="0"/>
    <n v="0"/>
  </r>
  <r>
    <n v="13367"/>
    <n v="13368"/>
    <x v="1"/>
    <s v="NJ-00033"/>
    <s v="NEWTON"/>
    <n v="7860"/>
    <s v="SUSSEX"/>
    <s v="NJ"/>
    <n v="16065"/>
    <n v="6065"/>
    <n v="10000"/>
    <n v="10000"/>
    <n v="0"/>
    <n v="10000"/>
  </r>
  <r>
    <n v="13367"/>
    <n v="13368"/>
    <x v="1"/>
    <s v="NJ-00033"/>
    <s v="NORMANDY BCH"/>
    <n v="8739"/>
    <s v="OCEAN"/>
    <s v="NJ"/>
    <n v="1530"/>
    <n v="0"/>
    <n v="1530"/>
    <n v="0"/>
    <n v="0"/>
    <n v="0"/>
  </r>
  <r>
    <n v="13367"/>
    <n v="13368"/>
    <x v="1"/>
    <s v="NJ-00033"/>
    <s v="NORMANDY BEACH"/>
    <n v="8735"/>
    <s v="OCEAN"/>
    <s v="NJ"/>
    <n v="241372"/>
    <n v="201508"/>
    <n v="39864"/>
    <n v="0"/>
    <n v="0"/>
    <n v="0"/>
  </r>
  <r>
    <n v="13367"/>
    <n v="13368"/>
    <x v="1"/>
    <s v="NJ-00033"/>
    <s v="NORMANDY BEACH"/>
    <n v="8739"/>
    <s v="OCEAN"/>
    <s v="NJ"/>
    <n v="1689223"/>
    <n v="1258828"/>
    <n v="430395"/>
    <n v="347300"/>
    <n v="191100"/>
    <n v="83700"/>
  </r>
  <r>
    <n v="13367"/>
    <n v="13368"/>
    <x v="1"/>
    <s v="NJ-00033"/>
    <s v="NORTH ARLINGTON"/>
    <n v="7031"/>
    <s v="BERGEN"/>
    <s v="NJ"/>
    <n v="289316"/>
    <n v="72574"/>
    <n v="216742"/>
    <n v="195200"/>
    <n v="19500"/>
    <n v="158500"/>
  </r>
  <r>
    <n v="13367"/>
    <n v="13368"/>
    <x v="1"/>
    <s v="NJ-00033"/>
    <s v="NORTH BEACH"/>
    <n v="8008"/>
    <s v="OCEAN"/>
    <s v="NJ"/>
    <n v="345027"/>
    <n v="341627"/>
    <n v="3400"/>
    <n v="0"/>
    <n v="0"/>
    <n v="0"/>
  </r>
  <r>
    <n v="13367"/>
    <n v="13368"/>
    <x v="1"/>
    <s v="NJ-00033"/>
    <s v="NORTH BEACH HAVEN"/>
    <n v="8008"/>
    <s v="OCEAN"/>
    <s v="NJ"/>
    <n v="319576"/>
    <n v="297247"/>
    <n v="22329"/>
    <n v="174800"/>
    <n v="161500"/>
    <n v="4700"/>
  </r>
  <r>
    <n v="13367"/>
    <n v="13368"/>
    <x v="1"/>
    <s v="NJ-00033"/>
    <s v="NORTH BERGEN"/>
    <n v="7047"/>
    <s v="BERGEN"/>
    <s v="NJ"/>
    <n v="30790"/>
    <n v="0"/>
    <n v="30790"/>
    <n v="0"/>
    <n v="0"/>
    <n v="0"/>
  </r>
  <r>
    <n v="13367"/>
    <n v="13368"/>
    <x v="1"/>
    <s v="NJ-00033"/>
    <s v="NORTH BERGEN"/>
    <n v="7047"/>
    <s v="HUDSON"/>
    <s v="NJ"/>
    <n v="1174024"/>
    <n v="861239"/>
    <n v="312785"/>
    <n v="647800"/>
    <n v="559100"/>
    <n v="35000"/>
  </r>
  <r>
    <n v="13367"/>
    <n v="13368"/>
    <x v="1"/>
    <s v="NJ-00033"/>
    <s v="NORTH BRUNSWICK"/>
    <n v="8902"/>
    <s v="MIDDLESEX"/>
    <s v="NJ"/>
    <n v="20092"/>
    <n v="12342"/>
    <n v="7750"/>
    <n v="21100"/>
    <n v="0"/>
    <n v="0"/>
  </r>
  <r>
    <n v="13367"/>
    <n v="13368"/>
    <x v="1"/>
    <s v="NJ-00033"/>
    <s v="NORTH CAPE MAY"/>
    <n v="8204"/>
    <s v="CAPE MAY"/>
    <s v="NJ"/>
    <n v="26968"/>
    <n v="19818"/>
    <n v="7150"/>
    <n v="0"/>
    <n v="0"/>
    <n v="0"/>
  </r>
  <r>
    <n v="13367"/>
    <n v="13368"/>
    <x v="1"/>
    <s v="NJ-00033"/>
    <s v="NORTH MIDDLETOWN"/>
    <n v="7734"/>
    <s v="MONMOUTH"/>
    <s v="NJ"/>
    <n v="10121"/>
    <n v="10121"/>
    <n v="0"/>
    <n v="2100"/>
    <n v="2100"/>
    <n v="0"/>
  </r>
  <r>
    <n v="13367"/>
    <n v="13368"/>
    <x v="1"/>
    <s v="NJ-00033"/>
    <s v="NORTH PLAINFIELD"/>
    <n v="7060"/>
    <s v="UNION"/>
    <s v="NJ"/>
    <n v="2200"/>
    <n v="0"/>
    <n v="2200"/>
    <n v="0"/>
    <n v="0"/>
    <n v="0"/>
  </r>
  <r>
    <n v="13367"/>
    <n v="13368"/>
    <x v="1"/>
    <s v="NJ-00033"/>
    <s v="NORTH WILDWOOD"/>
    <n v="8260"/>
    <s v="CAPE MAY"/>
    <s v="NJ"/>
    <n v="1181343"/>
    <n v="863907"/>
    <n v="317436"/>
    <n v="478800"/>
    <n v="359600"/>
    <n v="114600"/>
  </r>
  <r>
    <n v="13367"/>
    <n v="13368"/>
    <x v="1"/>
    <s v="NJ-00033"/>
    <s v="NORTHFIELD"/>
    <n v="8225"/>
    <s v="ATLANTIC"/>
    <s v="NJ"/>
    <n v="3055008"/>
    <n v="2873201"/>
    <n v="181807"/>
    <n v="26900"/>
    <n v="12900"/>
    <n v="14000"/>
  </r>
  <r>
    <n v="13367"/>
    <n v="13368"/>
    <x v="1"/>
    <s v="NJ-00033"/>
    <s v="NORWOOD"/>
    <n v="7648"/>
    <s v="BERGEN"/>
    <s v="NJ"/>
    <n v="52482"/>
    <n v="45167"/>
    <n v="7315"/>
    <n v="0"/>
    <n v="0"/>
    <n v="0"/>
  </r>
  <r>
    <n v="13367"/>
    <n v="13368"/>
    <x v="1"/>
    <s v="NJ-00033"/>
    <s v="NUTLEY"/>
    <n v="7110"/>
    <s v="ESSEX"/>
    <s v="NJ"/>
    <n v="12279"/>
    <n v="4979"/>
    <n v="7300"/>
    <n v="0"/>
    <n v="0"/>
    <n v="0"/>
  </r>
  <r>
    <n v="13367"/>
    <n v="13368"/>
    <x v="1"/>
    <s v="NJ-00033"/>
    <s v="NYACK"/>
    <n v="10960"/>
    <s v="ROCKLAND"/>
    <s v="NY"/>
    <n v="0"/>
    <n v="0"/>
    <n v="0"/>
    <n v="31200"/>
    <n v="0"/>
    <n v="0"/>
  </r>
  <r>
    <n v="13367"/>
    <n v="13368"/>
    <x v="1"/>
    <s v="NJ-00033"/>
    <s v="OAK RIDGE"/>
    <n v="7438"/>
    <s v="MORRIS"/>
    <s v="NJ"/>
    <n v="569513"/>
    <n v="556713"/>
    <n v="12800"/>
    <n v="469300"/>
    <n v="446700"/>
    <n v="1300"/>
  </r>
  <r>
    <n v="13367"/>
    <n v="13368"/>
    <x v="1"/>
    <s v="NJ-00033"/>
    <s v="OAKHURST"/>
    <n v="7755"/>
    <s v="MONMOUTH"/>
    <s v="NJ"/>
    <n v="43320"/>
    <n v="0"/>
    <n v="43320"/>
    <n v="43400"/>
    <n v="0"/>
    <n v="43400"/>
  </r>
  <r>
    <n v="13367"/>
    <n v="13368"/>
    <x v="1"/>
    <s v="NJ-00033"/>
    <s v="OCEAN"/>
    <n v="8226"/>
    <s v="CAPE MAY"/>
    <s v="NJ"/>
    <n v="67344"/>
    <n v="65294"/>
    <n v="2050"/>
    <n v="0"/>
    <n v="0"/>
    <n v="0"/>
  </r>
  <r>
    <n v="13367"/>
    <n v="13368"/>
    <x v="1"/>
    <s v="NJ-00033"/>
    <s v="OCEAN"/>
    <n v="7712"/>
    <s v="MONMOUTH"/>
    <s v="NJ"/>
    <n v="1225510"/>
    <n v="82661"/>
    <n v="1142849"/>
    <n v="9300"/>
    <n v="0"/>
    <n v="0"/>
  </r>
  <r>
    <n v="13367"/>
    <n v="13368"/>
    <x v="1"/>
    <s v="NJ-00033"/>
    <s v="OCEAN"/>
    <n v="8753"/>
    <s v="OCEAN"/>
    <s v="NJ"/>
    <n v="21706"/>
    <n v="466"/>
    <n v="21240"/>
    <n v="0"/>
    <n v="0"/>
    <n v="0"/>
  </r>
  <r>
    <n v="13367"/>
    <n v="13368"/>
    <x v="1"/>
    <s v="NJ-00033"/>
    <s v="OCEAN CITY"/>
    <n v="8226"/>
    <s v="ATLANTIC"/>
    <s v="NJ"/>
    <n v="90064"/>
    <n v="73170"/>
    <n v="16894"/>
    <n v="12200"/>
    <n v="0"/>
    <n v="12200"/>
  </r>
  <r>
    <n v="13367"/>
    <n v="13368"/>
    <x v="1"/>
    <s v="NJ-00033"/>
    <s v="OCEAN CITY"/>
    <n v="8226"/>
    <s v="CAPE MAY"/>
    <s v="NJ"/>
    <n v="11479888"/>
    <n v="7954229"/>
    <n v="3525659"/>
    <n v="4861100"/>
    <n v="2681000"/>
    <n v="1740500"/>
  </r>
  <r>
    <n v="13367"/>
    <n v="13368"/>
    <x v="1"/>
    <s v="NJ-00033"/>
    <s v="OCEAN CITY"/>
    <n v="8226"/>
    <s v="CUMBERLAND"/>
    <s v="NJ"/>
    <n v="22019"/>
    <n v="5121"/>
    <n v="16898"/>
    <n v="14000"/>
    <n v="0"/>
    <n v="14000"/>
  </r>
  <r>
    <n v="13367"/>
    <n v="13368"/>
    <x v="1"/>
    <s v="NJ-00033"/>
    <s v="OCEAN GATE"/>
    <n v="8701"/>
    <s v="OCEAN"/>
    <s v="NJ"/>
    <n v="26400"/>
    <n v="26400"/>
    <n v="0"/>
    <n v="0"/>
    <n v="0"/>
    <n v="0"/>
  </r>
  <r>
    <n v="13367"/>
    <n v="13368"/>
    <x v="1"/>
    <s v="NJ-00033"/>
    <s v="OCEAN GATE"/>
    <n v="8740"/>
    <s v="OCEAN"/>
    <s v="NJ"/>
    <n v="2031556"/>
    <n v="1705476"/>
    <n v="326080"/>
    <n v="920700"/>
    <n v="714500"/>
    <n v="171700"/>
  </r>
  <r>
    <n v="13367"/>
    <n v="13368"/>
    <x v="1"/>
    <s v="NJ-00033"/>
    <s v="OCEAN GROVE"/>
    <n v="7756"/>
    <s v="MONMOUTH"/>
    <s v="NJ"/>
    <n v="766397"/>
    <n v="701659"/>
    <n v="64738"/>
    <n v="418100"/>
    <n v="337000"/>
    <n v="23800"/>
  </r>
  <r>
    <n v="13367"/>
    <n v="13368"/>
    <x v="1"/>
    <s v="NJ-00033"/>
    <s v="OCEAN VIEW"/>
    <n v="8230"/>
    <s v="CAPE MAY"/>
    <s v="NJ"/>
    <n v="0"/>
    <n v="0"/>
    <n v="0"/>
    <n v="49100"/>
    <n v="0"/>
    <n v="0"/>
  </r>
  <r>
    <n v="13367"/>
    <n v="13368"/>
    <x v="1"/>
    <s v="NJ-00033"/>
    <s v="OCEANPORT"/>
    <n v="7757"/>
    <s v="MONMOUTH"/>
    <s v="NJ"/>
    <n v="2077442"/>
    <n v="1880401"/>
    <n v="197041"/>
    <n v="112000"/>
    <n v="95900"/>
    <n v="3500"/>
  </r>
  <r>
    <n v="13367"/>
    <n v="13368"/>
    <x v="1"/>
    <s v="NJ-00033"/>
    <s v="OCEANSIDE"/>
    <n v="11572"/>
    <s v="NASSAU"/>
    <s v="NY"/>
    <n v="67263"/>
    <n v="67263"/>
    <n v="0"/>
    <n v="0"/>
    <n v="0"/>
    <n v="0"/>
  </r>
  <r>
    <n v="13367"/>
    <n v="13368"/>
    <x v="1"/>
    <s v="NJ-00033"/>
    <s v="OLD BRIDGE"/>
    <n v="8857"/>
    <s v="MIDDLESEX"/>
    <s v="NJ"/>
    <n v="195870"/>
    <n v="95610"/>
    <n v="100260"/>
    <n v="14000"/>
    <n v="0"/>
    <n v="14000"/>
  </r>
  <r>
    <n v="13367"/>
    <n v="13368"/>
    <x v="1"/>
    <s v="NJ-00033"/>
    <s v="ORANGE"/>
    <n v="7050"/>
    <s v="ESSEX"/>
    <s v="NJ"/>
    <n v="8454"/>
    <n v="0"/>
    <n v="8454"/>
    <n v="59100"/>
    <n v="0"/>
    <n v="7500"/>
  </r>
  <r>
    <n v="13367"/>
    <n v="13368"/>
    <x v="1"/>
    <s v="NJ-00033"/>
    <s v="ORTLEY"/>
    <n v="8751"/>
    <s v="OCEAN"/>
    <s v="NJ"/>
    <n v="3504444"/>
    <n v="3476814"/>
    <n v="27630"/>
    <n v="1497600"/>
    <n v="1487600"/>
    <n v="10000"/>
  </r>
  <r>
    <n v="13367"/>
    <n v="13368"/>
    <x v="1"/>
    <s v="NJ-00033"/>
    <s v="ORTLEY BEACH"/>
    <n v="8751"/>
    <s v="ESSEX"/>
    <s v="NJ"/>
    <n v="281009"/>
    <n v="276909"/>
    <n v="4100"/>
    <n v="0"/>
    <n v="0"/>
    <n v="0"/>
  </r>
  <r>
    <n v="13367"/>
    <n v="13368"/>
    <x v="1"/>
    <s v="NJ-00033"/>
    <s v="ORTLEY BEACH"/>
    <n v="875"/>
    <s v="OCEAN"/>
    <s v="NJ"/>
    <n v="335032"/>
    <n v="304732"/>
    <n v="30300"/>
    <n v="0"/>
    <n v="0"/>
    <n v="0"/>
  </r>
  <r>
    <n v="13367"/>
    <n v="13368"/>
    <x v="1"/>
    <s v="NJ-00033"/>
    <s v="ORTLEY BEACH"/>
    <n v="8751"/>
    <s v="OCEAN"/>
    <s v="NJ"/>
    <n v="12928557"/>
    <n v="10822263"/>
    <n v="2106294"/>
    <n v="2849900"/>
    <n v="2293000"/>
    <n v="422200"/>
  </r>
  <r>
    <n v="13367"/>
    <n v="13368"/>
    <x v="1"/>
    <s v="NJ-00033"/>
    <s v="ORTLEY BEACH"/>
    <n v="8753"/>
    <s v="OCEAN"/>
    <s v="NJ"/>
    <n v="256197"/>
    <n v="136441"/>
    <n v="119756"/>
    <n v="0"/>
    <n v="0"/>
    <n v="0"/>
  </r>
  <r>
    <n v="13367"/>
    <n v="13368"/>
    <x v="1"/>
    <s v="NJ-00033"/>
    <s v="ORTLEY BEACH"/>
    <n v="8755"/>
    <s v="OCEAN"/>
    <s v="NJ"/>
    <n v="277562"/>
    <n v="221562"/>
    <n v="56000"/>
    <n v="0"/>
    <n v="0"/>
    <n v="0"/>
  </r>
  <r>
    <n v="13367"/>
    <n v="13368"/>
    <x v="1"/>
    <s v="NJ-00033"/>
    <s v="PALMYRA"/>
    <n v="8065"/>
    <s v="BURLINGTON"/>
    <s v="NJ"/>
    <n v="0"/>
    <n v="0"/>
    <n v="0"/>
    <n v="54600"/>
    <n v="0"/>
    <n v="0"/>
  </r>
  <r>
    <n v="13367"/>
    <n v="13368"/>
    <x v="1"/>
    <s v="NJ-00033"/>
    <s v="PARAMUS"/>
    <n v="7652"/>
    <s v="BERGEN"/>
    <s v="NJ"/>
    <n v="1601"/>
    <n v="1601"/>
    <n v="0"/>
    <n v="31600"/>
    <n v="0"/>
    <n v="0"/>
  </r>
  <r>
    <n v="13367"/>
    <n v="13368"/>
    <x v="1"/>
    <s v="NJ-00033"/>
    <s v="PARLIN"/>
    <n v="8859"/>
    <s v="MIDDLESEX"/>
    <s v="NJ"/>
    <n v="3515404"/>
    <n v="3311714"/>
    <n v="203690"/>
    <n v="1304200"/>
    <n v="1130500"/>
    <n v="70300"/>
  </r>
  <r>
    <n v="13367"/>
    <n v="13368"/>
    <x v="1"/>
    <s v="NJ-00033"/>
    <s v="PARSIPPANY"/>
    <n v="7054"/>
    <s v="MORRIS"/>
    <s v="NJ"/>
    <n v="21455"/>
    <n v="17955"/>
    <n v="3500"/>
    <n v="0"/>
    <n v="0"/>
    <n v="0"/>
  </r>
  <r>
    <n v="13367"/>
    <n v="13368"/>
    <x v="1"/>
    <s v="NJ-00033"/>
    <s v="PASSAIC"/>
    <n v="7055"/>
    <s v="PASSAIC"/>
    <s v="NJ"/>
    <n v="1455669"/>
    <n v="222969"/>
    <n v="1232700"/>
    <n v="688800"/>
    <n v="66100"/>
    <n v="622700"/>
  </r>
  <r>
    <n v="13367"/>
    <n v="13368"/>
    <x v="1"/>
    <s v="NJ-00033"/>
    <s v="PATERSON"/>
    <n v="7501"/>
    <s v="PASSAIC"/>
    <s v="NJ"/>
    <n v="127086"/>
    <n v="110486"/>
    <n v="16600"/>
    <n v="0"/>
    <n v="0"/>
    <n v="0"/>
  </r>
  <r>
    <n v="13367"/>
    <n v="13368"/>
    <x v="1"/>
    <s v="NJ-00033"/>
    <s v="PATERSON"/>
    <n v="7502"/>
    <s v="PASSAIC"/>
    <s v="NJ"/>
    <n v="7195"/>
    <n v="4195"/>
    <n v="3000"/>
    <n v="1000"/>
    <n v="1000"/>
    <n v="0"/>
  </r>
  <r>
    <n v="13367"/>
    <n v="13368"/>
    <x v="1"/>
    <s v="NJ-00033"/>
    <s v="PATERSON"/>
    <n v="7505"/>
    <s v="PASSAIC"/>
    <s v="NJ"/>
    <n v="14766"/>
    <n v="0"/>
    <n v="14766"/>
    <n v="14100"/>
    <n v="0"/>
    <n v="9100"/>
  </r>
  <r>
    <n v="13367"/>
    <n v="13368"/>
    <x v="1"/>
    <s v="NJ-00033"/>
    <s v="PATERSON"/>
    <n v="7513"/>
    <s v="PASSAIC"/>
    <s v="NJ"/>
    <n v="16237"/>
    <n v="16237"/>
    <n v="0"/>
    <n v="15800"/>
    <n v="15800"/>
    <n v="0"/>
  </r>
  <r>
    <n v="13367"/>
    <n v="13368"/>
    <x v="1"/>
    <s v="NJ-00033"/>
    <s v="PATERSON"/>
    <n v="7514"/>
    <s v="PASSAIC"/>
    <s v="NJ"/>
    <n v="255006"/>
    <n v="255006"/>
    <n v="0"/>
    <n v="24400"/>
    <n v="24400"/>
    <n v="0"/>
  </r>
  <r>
    <n v="13367"/>
    <n v="13368"/>
    <x v="1"/>
    <s v="NJ-00033"/>
    <s v="PATERSON"/>
    <n v="7524"/>
    <s v="PASSAIC"/>
    <s v="NJ"/>
    <n v="425553"/>
    <n v="134653"/>
    <n v="290900"/>
    <n v="0"/>
    <n v="0"/>
    <n v="0"/>
  </r>
  <r>
    <n v="13367"/>
    <n v="13368"/>
    <x v="1"/>
    <s v="NJ-00033"/>
    <s v="PATERSON"/>
    <n v="7544"/>
    <s v="PASSAIC"/>
    <s v="NJ"/>
    <n v="14900"/>
    <n v="0"/>
    <n v="14900"/>
    <n v="0"/>
    <n v="0"/>
    <n v="0"/>
  </r>
  <r>
    <n v="13367"/>
    <n v="13368"/>
    <x v="1"/>
    <s v="NJ-00033"/>
    <s v="PEAHALA PARK"/>
    <n v="8008"/>
    <s v="OCEAN"/>
    <s v="NJ"/>
    <n v="59367"/>
    <n v="47767"/>
    <n v="11600"/>
    <n v="0"/>
    <n v="0"/>
    <n v="0"/>
  </r>
  <r>
    <n v="13367"/>
    <n v="13368"/>
    <x v="1"/>
    <s v="NJ-00033"/>
    <s v="PEHALA PARK"/>
    <n v="8008"/>
    <s v="OCEAN"/>
    <s v="NJ"/>
    <n v="41737"/>
    <n v="32337"/>
    <n v="9400"/>
    <n v="41800"/>
    <n v="32400"/>
    <n v="9400"/>
  </r>
  <r>
    <n v="13367"/>
    <n v="13368"/>
    <x v="1"/>
    <s v="NJ-00033"/>
    <s v="PELICAN ISLAND"/>
    <n v="8751"/>
    <s v="OCEAN"/>
    <s v="NJ"/>
    <n v="66329"/>
    <n v="64004"/>
    <n v="2325"/>
    <n v="0"/>
    <n v="0"/>
    <n v="0"/>
  </r>
  <r>
    <n v="13367"/>
    <n v="13368"/>
    <x v="1"/>
    <s v="NJ-00033"/>
    <s v="PENNINGTON"/>
    <n v="8534"/>
    <s v="MERCER"/>
    <s v="NJ"/>
    <n v="76928"/>
    <n v="70368"/>
    <n v="6560"/>
    <n v="383400"/>
    <n v="38200"/>
    <n v="0"/>
  </r>
  <r>
    <n v="13367"/>
    <n v="13368"/>
    <x v="1"/>
    <s v="NJ-00033"/>
    <s v="PENNS GROVE"/>
    <n v="8069"/>
    <s v="SALEM"/>
    <s v="NJ"/>
    <n v="7391"/>
    <n v="2011"/>
    <n v="5380"/>
    <n v="0"/>
    <n v="0"/>
    <n v="0"/>
  </r>
  <r>
    <n v="13367"/>
    <n v="13368"/>
    <x v="1"/>
    <s v="NJ-00033"/>
    <s v="PENNSVILLE"/>
    <n v="8070"/>
    <s v="SALEM"/>
    <s v="NJ"/>
    <n v="176225"/>
    <n v="91025"/>
    <n v="85200"/>
    <n v="0"/>
    <n v="0"/>
    <n v="0"/>
  </r>
  <r>
    <n v="13367"/>
    <n v="13368"/>
    <x v="1"/>
    <s v="NJ-00033"/>
    <s v="PERTH AMBOY"/>
    <n v="8840"/>
    <s v="MIDDLESEX"/>
    <s v="NJ"/>
    <n v="196015"/>
    <n v="143226"/>
    <n v="52789"/>
    <n v="211100"/>
    <n v="143300"/>
    <n v="52800"/>
  </r>
  <r>
    <n v="13367"/>
    <n v="13368"/>
    <x v="1"/>
    <s v="NJ-00033"/>
    <s v="PERTH AMBOY"/>
    <n v="8861"/>
    <s v="MIDDLESEX"/>
    <s v="NJ"/>
    <n v="2141131"/>
    <n v="1985198"/>
    <n v="155933"/>
    <n v="794000"/>
    <n v="791300"/>
    <n v="2700"/>
  </r>
  <r>
    <n v="13367"/>
    <n v="13368"/>
    <x v="1"/>
    <s v="NJ-00033"/>
    <s v="PHILLIPSBURG"/>
    <n v="8865"/>
    <s v="WARREN"/>
    <s v="NJ"/>
    <n v="23324"/>
    <n v="23324"/>
    <n v="0"/>
    <n v="14000"/>
    <n v="14000"/>
    <n v="0"/>
  </r>
  <r>
    <n v="13367"/>
    <n v="13368"/>
    <x v="1"/>
    <s v="NJ-00033"/>
    <s v="PINE BEACH"/>
    <n v="8741"/>
    <s v="OCEAN"/>
    <s v="NJ"/>
    <n v="220121"/>
    <n v="202047"/>
    <n v="18074"/>
    <n v="0"/>
    <n v="0"/>
    <n v="0"/>
  </r>
  <r>
    <n v="13367"/>
    <n v="13368"/>
    <x v="1"/>
    <s v="NJ-00033"/>
    <s v="PISCATAWAY"/>
    <n v="8854"/>
    <s v="HUDSON"/>
    <s v="NJ"/>
    <n v="200000"/>
    <n v="0"/>
    <n v="200000"/>
    <n v="0"/>
    <n v="0"/>
    <n v="0"/>
  </r>
  <r>
    <n v="13367"/>
    <n v="13368"/>
    <x v="1"/>
    <s v="NJ-00033"/>
    <s v="PISCATAWAY"/>
    <n v="8854"/>
    <s v="MIDDLESEX"/>
    <s v="NJ"/>
    <n v="297410"/>
    <n v="101691"/>
    <n v="195719"/>
    <n v="233100"/>
    <n v="16910.1"/>
    <n v="173889.9"/>
  </r>
  <r>
    <n v="13367"/>
    <n v="13368"/>
    <x v="1"/>
    <s v="NJ-00033"/>
    <s v="PITTSTOWN"/>
    <n v="8867"/>
    <s v="HUNTERDON"/>
    <s v="NJ"/>
    <n v="18288"/>
    <n v="18288"/>
    <n v="0"/>
    <n v="0"/>
    <n v="0"/>
    <n v="0"/>
  </r>
  <r>
    <n v="13367"/>
    <n v="13368"/>
    <x v="1"/>
    <s v="NJ-00033"/>
    <s v="PLAINFIELD"/>
    <n v="7060"/>
    <s v="UNION"/>
    <s v="NJ"/>
    <n v="261532"/>
    <n v="186232"/>
    <n v="75300"/>
    <n v="185800"/>
    <n v="39100"/>
    <n v="1000"/>
  </r>
  <r>
    <n v="13367"/>
    <n v="13368"/>
    <x v="1"/>
    <s v="NJ-00033"/>
    <s v="PLAINFIELD"/>
    <n v="7062"/>
    <s v="UNION"/>
    <s v="NJ"/>
    <n v="117000"/>
    <n v="0"/>
    <n v="117000"/>
    <n v="0"/>
    <n v="0"/>
    <n v="0"/>
  </r>
  <r>
    <n v="13367"/>
    <n v="13368"/>
    <x v="1"/>
    <s v="NJ-00033"/>
    <s v="PLEASANTVILLE"/>
    <n v="8232"/>
    <s v="ATLANTIC"/>
    <s v="NJ"/>
    <n v="1677557"/>
    <n v="1287698"/>
    <n v="389859"/>
    <n v="252500"/>
    <n v="70500"/>
    <n v="40400"/>
  </r>
  <r>
    <n v="13367"/>
    <n v="13368"/>
    <x v="1"/>
    <s v="NJ-00033"/>
    <s v="PLEASANTVILLLE"/>
    <n v="8232"/>
    <s v="ATLANTIC"/>
    <s v="NJ"/>
    <n v="0"/>
    <n v="0"/>
    <n v="0"/>
    <n v="71900"/>
    <n v="0"/>
    <n v="0"/>
  </r>
  <r>
    <n v="13367"/>
    <n v="13368"/>
    <x v="1"/>
    <s v="NJ-00033"/>
    <s v="POINT LEASANT BEACH"/>
    <n v="8742"/>
    <s v="OCEAN"/>
    <s v="NJ"/>
    <n v="151250"/>
    <n v="118250"/>
    <n v="33000"/>
    <n v="0"/>
    <n v="0"/>
    <n v="0"/>
  </r>
  <r>
    <n v="13367"/>
    <n v="13368"/>
    <x v="1"/>
    <s v="NJ-00033"/>
    <s v="POINT PLEASANT"/>
    <n v="8742"/>
    <s v="OCEAN"/>
    <s v="NJ"/>
    <n v="139465"/>
    <n v="91867"/>
    <n v="47598"/>
    <n v="23200"/>
    <n v="8700"/>
    <n v="0"/>
  </r>
  <r>
    <n v="13367"/>
    <n v="13368"/>
    <x v="1"/>
    <s v="NJ-00033"/>
    <s v="POINT PLEASANT BEACH"/>
    <n v="8741"/>
    <s v="OCEAN"/>
    <s v="NJ"/>
    <n v="217858"/>
    <n v="141558"/>
    <n v="76300"/>
    <n v="204000"/>
    <n v="127700"/>
    <n v="76300"/>
  </r>
  <r>
    <n v="13367"/>
    <n v="13368"/>
    <x v="1"/>
    <s v="NJ-00033"/>
    <s v="POINT PLEASANT BEACH"/>
    <n v="8742"/>
    <s v="OCEAN"/>
    <s v="NJ"/>
    <n v="15729792"/>
    <n v="13839521"/>
    <n v="1890271"/>
    <n v="3308000"/>
    <n v="2498800"/>
    <n v="564700"/>
  </r>
  <r>
    <n v="13367"/>
    <n v="13368"/>
    <x v="1"/>
    <s v="NJ-00033"/>
    <s v="POINT PLEASANT BORO"/>
    <n v="8742"/>
    <s v="OCEAN"/>
    <s v="NJ"/>
    <n v="2103449"/>
    <n v="1399931"/>
    <n v="703518"/>
    <n v="434900"/>
    <n v="195300"/>
    <n v="209300"/>
  </r>
  <r>
    <n v="13367"/>
    <n v="13368"/>
    <x v="1"/>
    <s v="NJ-00033"/>
    <s v="PORT MONMOUTH"/>
    <n v="7758"/>
    <s v="MIDDLESEX"/>
    <s v="NJ"/>
    <n v="23999"/>
    <n v="23099"/>
    <n v="900"/>
    <n v="0"/>
    <n v="0"/>
    <n v="0"/>
  </r>
  <r>
    <n v="13367"/>
    <n v="13368"/>
    <x v="1"/>
    <s v="NJ-00033"/>
    <s v="PORT MONMOUTH"/>
    <n v="7718"/>
    <s v="MONMOUTH"/>
    <s v="NJ"/>
    <n v="0"/>
    <n v="0"/>
    <n v="0"/>
    <n v="15000"/>
    <n v="0"/>
    <n v="0"/>
  </r>
  <r>
    <n v="13367"/>
    <n v="13368"/>
    <x v="1"/>
    <s v="NJ-00033"/>
    <s v="PORT MONMOUTH"/>
    <n v="7748"/>
    <s v="MONMOUTH"/>
    <s v="NJ"/>
    <n v="4048"/>
    <n v="0"/>
    <n v="4048"/>
    <n v="0"/>
    <n v="0"/>
    <n v="0"/>
  </r>
  <r>
    <n v="13367"/>
    <n v="13368"/>
    <x v="1"/>
    <s v="NJ-00033"/>
    <s v="PORT MONMOUTH"/>
    <n v="7758"/>
    <s v="MONMOUTH"/>
    <s v="NJ"/>
    <n v="2101377"/>
    <n v="1927248"/>
    <n v="174129"/>
    <n v="101900"/>
    <n v="95900"/>
    <n v="5000"/>
  </r>
  <r>
    <n v="13367"/>
    <n v="13368"/>
    <x v="1"/>
    <s v="NJ-00033"/>
    <s v="PORT NEWARK"/>
    <n v="7114"/>
    <s v="ESSEX"/>
    <s v="NJ"/>
    <n v="6264485"/>
    <n v="1850682"/>
    <n v="4413803"/>
    <n v="0"/>
    <n v="0"/>
    <n v="0"/>
  </r>
  <r>
    <n v="13367"/>
    <n v="13368"/>
    <x v="1"/>
    <s v="NJ-00033"/>
    <s v="PORT NORRIS"/>
    <n v="8349"/>
    <s v="CUMBERLAND"/>
    <s v="NJ"/>
    <n v="99937"/>
    <n v="75367"/>
    <n v="24570"/>
    <n v="0"/>
    <n v="0"/>
    <n v="0"/>
  </r>
  <r>
    <n v="13367"/>
    <n v="13368"/>
    <x v="1"/>
    <s v="NJ-00033"/>
    <s v="PORT READING"/>
    <n v="7064"/>
    <s v="MIDDLESEX"/>
    <s v="NJ"/>
    <n v="164681"/>
    <n v="129213"/>
    <n v="35468"/>
    <n v="225900"/>
    <n v="129300"/>
    <n v="25500"/>
  </r>
  <r>
    <n v="13367"/>
    <n v="13368"/>
    <x v="1"/>
    <s v="NJ-00033"/>
    <s v="PORT REPUBLIC"/>
    <n v="8241"/>
    <s v="ATLANTIC"/>
    <s v="NJ"/>
    <n v="747046"/>
    <n v="535220"/>
    <n v="211826"/>
    <n v="88000"/>
    <n v="0"/>
    <n v="78500"/>
  </r>
  <r>
    <n v="13367"/>
    <n v="13368"/>
    <x v="1"/>
    <s v="NJ-00033"/>
    <s v="PRINCETON"/>
    <n v="8540"/>
    <s v="MERCER"/>
    <s v="NJ"/>
    <n v="198191"/>
    <n v="72778"/>
    <n v="125413"/>
    <n v="127600"/>
    <n v="0"/>
    <n v="125400"/>
  </r>
  <r>
    <n v="13367"/>
    <n v="13368"/>
    <x v="1"/>
    <s v="NJ-00033"/>
    <s v="PT PLEAS BCH"/>
    <n v="8742"/>
    <s v="OCEAN"/>
    <s v="NJ"/>
    <n v="111832"/>
    <n v="73653"/>
    <n v="38179"/>
    <n v="0"/>
    <n v="0"/>
    <n v="0"/>
  </r>
  <r>
    <n v="13367"/>
    <n v="13368"/>
    <x v="1"/>
    <s v="NJ-00033"/>
    <s v="PT PLEASANT"/>
    <n v="8742"/>
    <s v="OCEAN"/>
    <s v="NJ"/>
    <n v="289119"/>
    <n v="211345"/>
    <n v="77774"/>
    <n v="283800"/>
    <n v="171300"/>
    <n v="39000"/>
  </r>
  <r>
    <n v="13367"/>
    <n v="13368"/>
    <x v="1"/>
    <s v="NJ-00033"/>
    <s v="PT PLEASANT BEACH"/>
    <n v="8742"/>
    <s v="OCEAN"/>
    <s v="NJ"/>
    <n v="1241059"/>
    <n v="1007787"/>
    <n v="233272"/>
    <n v="231300"/>
    <n v="104300"/>
    <n v="127000"/>
  </r>
  <r>
    <n v="13367"/>
    <n v="13368"/>
    <x v="1"/>
    <s v="NJ-00033"/>
    <s v="PT.  PLEASANT BEACH"/>
    <n v="8742"/>
    <s v="OCEAN"/>
    <s v="NJ"/>
    <n v="349578"/>
    <n v="301818"/>
    <n v="47760"/>
    <n v="349600"/>
    <n v="301900"/>
    <n v="47700"/>
  </r>
  <r>
    <n v="13367"/>
    <n v="13368"/>
    <x v="1"/>
    <s v="NJ-00033"/>
    <s v="PT. PLEASANT"/>
    <n v="8742"/>
    <s v="OCEAN"/>
    <s v="NJ"/>
    <n v="42677"/>
    <n v="0"/>
    <n v="42677"/>
    <n v="0"/>
    <n v="0"/>
    <n v="0"/>
  </r>
  <r>
    <n v="13367"/>
    <n v="13368"/>
    <x v="1"/>
    <s v="NJ-00033"/>
    <s v="PT. PLEASANT BEACH"/>
    <n v="8742"/>
    <s v="OCEAN"/>
    <s v="NJ"/>
    <n v="253527"/>
    <n v="201377"/>
    <n v="52150"/>
    <n v="123400"/>
    <n v="84500"/>
    <n v="38900"/>
  </r>
  <r>
    <n v="13367"/>
    <n v="13368"/>
    <x v="1"/>
    <s v="NJ-00033"/>
    <s v="RAHWAY"/>
    <n v="7065"/>
    <s v="UNION"/>
    <s v="NJ"/>
    <n v="1109561"/>
    <n v="869233"/>
    <n v="240328"/>
    <n v="855200"/>
    <n v="694900"/>
    <n v="160300"/>
  </r>
  <r>
    <n v="13367"/>
    <n v="13368"/>
    <x v="1"/>
    <s v="NJ-00033"/>
    <s v="RANDOLPH"/>
    <n v="7869"/>
    <s v="MORRIS"/>
    <s v="NJ"/>
    <n v="3191"/>
    <n v="3191"/>
    <n v="0"/>
    <n v="0"/>
    <n v="0"/>
    <n v="0"/>
  </r>
  <r>
    <n v="13367"/>
    <n v="13368"/>
    <x v="1"/>
    <s v="NJ-00033"/>
    <s v="RARITAN"/>
    <n v="8869"/>
    <s v="SOMERSET"/>
    <s v="NJ"/>
    <n v="8840"/>
    <n v="200"/>
    <n v="8640"/>
    <n v="8900"/>
    <n v="200"/>
    <n v="8700"/>
  </r>
  <r>
    <n v="13367"/>
    <n v="13368"/>
    <x v="1"/>
    <s v="NJ-00033"/>
    <s v="RED BANK"/>
    <n v="7701"/>
    <s v="MONMOUTH"/>
    <s v="NJ"/>
    <n v="2173085"/>
    <n v="1870927"/>
    <n v="302158"/>
    <n v="599100"/>
    <n v="347900"/>
    <n v="186600"/>
  </r>
  <r>
    <n v="13367"/>
    <n v="13368"/>
    <x v="1"/>
    <s v="NJ-00033"/>
    <s v="RED BANK"/>
    <n v="7704"/>
    <s v="MONMOUTH"/>
    <s v="NJ"/>
    <n v="25140"/>
    <n v="0"/>
    <n v="25140"/>
    <n v="100300"/>
    <n v="0"/>
    <n v="24900"/>
  </r>
  <r>
    <n v="13367"/>
    <n v="13368"/>
    <x v="1"/>
    <s v="NJ-00033"/>
    <s v="RIDGEFIELD PARK"/>
    <n v="7660"/>
    <s v="BERGEN"/>
    <s v="NJ"/>
    <n v="214584"/>
    <n v="2415"/>
    <n v="212169"/>
    <n v="129100"/>
    <n v="2500"/>
    <n v="110000"/>
  </r>
  <r>
    <n v="13367"/>
    <n v="13368"/>
    <x v="1"/>
    <s v="NJ-00033"/>
    <s v="RIDGEWOOD"/>
    <n v="7450"/>
    <s v="BERGEN"/>
    <s v="NJ"/>
    <n v="10881"/>
    <n v="4001"/>
    <n v="6880"/>
    <n v="4100"/>
    <n v="4100"/>
    <n v="0"/>
  </r>
  <r>
    <n v="13367"/>
    <n v="13368"/>
    <x v="1"/>
    <s v="NJ-00033"/>
    <s v="RINGWOOD"/>
    <n v="7456"/>
    <s v="PASSAIC"/>
    <s v="NJ"/>
    <n v="288"/>
    <n v="0"/>
    <n v="288"/>
    <n v="0"/>
    <n v="0"/>
    <n v="0"/>
  </r>
  <r>
    <n v="13367"/>
    <n v="13368"/>
    <x v="1"/>
    <s v="NJ-00033"/>
    <s v="RIO GRANDE"/>
    <n v="8242"/>
    <s v="CAPE MAY"/>
    <s v="NJ"/>
    <n v="93200"/>
    <n v="72284"/>
    <n v="20916"/>
    <n v="0"/>
    <n v="0"/>
    <n v="0"/>
  </r>
  <r>
    <n v="13367"/>
    <n v="13368"/>
    <x v="1"/>
    <s v="NJ-00033"/>
    <s v="ROBBINSVILLE"/>
    <n v="8619"/>
    <s v="MERCER"/>
    <s v="NJ"/>
    <n v="7632"/>
    <n v="399"/>
    <n v="7233"/>
    <n v="0"/>
    <n v="0"/>
    <n v="0"/>
  </r>
  <r>
    <n v="13367"/>
    <n v="13368"/>
    <x v="1"/>
    <s v="NJ-00033"/>
    <s v="ROBBINSVILLE"/>
    <n v="8691"/>
    <s v="MERCER"/>
    <s v="NJ"/>
    <n v="0"/>
    <n v="0"/>
    <n v="0"/>
    <n v="5000"/>
    <n v="0"/>
    <n v="0"/>
  </r>
  <r>
    <n v="13367"/>
    <n v="13368"/>
    <x v="1"/>
    <s v="NJ-00033"/>
    <s v="ROCHELLE PARK"/>
    <n v="7662"/>
    <s v="BERGEN"/>
    <s v="NJ"/>
    <n v="16575"/>
    <n v="4530"/>
    <n v="12045"/>
    <n v="0"/>
    <n v="0"/>
    <n v="0"/>
  </r>
  <r>
    <n v="13367"/>
    <n v="13368"/>
    <x v="1"/>
    <s v="NJ-00033"/>
    <s v="ROSELAND"/>
    <n v="7068"/>
    <s v="ESSEX"/>
    <s v="NJ"/>
    <n v="6438"/>
    <n v="0"/>
    <n v="6438"/>
    <n v="0"/>
    <n v="0"/>
    <n v="0"/>
  </r>
  <r>
    <n v="13367"/>
    <n v="13368"/>
    <x v="1"/>
    <s v="NJ-00033"/>
    <s v="ROSELLE"/>
    <n v="7203"/>
    <s v="UNION"/>
    <s v="NJ"/>
    <n v="37349"/>
    <n v="25849"/>
    <n v="11500"/>
    <n v="85100"/>
    <n v="16800"/>
    <n v="0"/>
  </r>
  <r>
    <n v="13367"/>
    <n v="13368"/>
    <x v="1"/>
    <s v="NJ-00033"/>
    <s v="ROSELLE PARK"/>
    <n v="7204"/>
    <s v="UNION"/>
    <s v="NJ"/>
    <n v="128475"/>
    <n v="104220"/>
    <n v="24255"/>
    <n v="76700"/>
    <n v="69500"/>
    <n v="7200"/>
  </r>
  <r>
    <n v="13367"/>
    <n v="13368"/>
    <x v="1"/>
    <s v="NJ-00033"/>
    <s v="RUMSON"/>
    <n v="7760"/>
    <s v="MONMOUTH"/>
    <s v="NJ"/>
    <n v="1452197"/>
    <n v="1334416"/>
    <n v="117781"/>
    <n v="399200"/>
    <n v="363200"/>
    <n v="3600"/>
  </r>
  <r>
    <n v="13367"/>
    <n v="13368"/>
    <x v="1"/>
    <s v="NJ-00033"/>
    <s v="RUTHERFORD"/>
    <n v="7070"/>
    <s v="BERGEN"/>
    <s v="NJ"/>
    <n v="1477753"/>
    <n v="310843"/>
    <n v="1166910"/>
    <n v="0"/>
    <n v="0"/>
    <n v="0"/>
  </r>
  <r>
    <n v="13367"/>
    <n v="13368"/>
    <x v="1"/>
    <s v="NJ-00033"/>
    <s v="S KEARNY"/>
    <n v="7032"/>
    <s v="HUDSON"/>
    <s v="NJ"/>
    <n v="11759"/>
    <n v="0"/>
    <n v="11759"/>
    <n v="0"/>
    <n v="0"/>
    <n v="0"/>
  </r>
  <r>
    <n v="13367"/>
    <n v="13368"/>
    <x v="1"/>
    <s v="NJ-00033"/>
    <s v="S SEASIDE PARK"/>
    <n v="8752"/>
    <s v="OCEAN"/>
    <s v="NJ"/>
    <n v="9398"/>
    <n v="9398"/>
    <n v="0"/>
    <n v="0"/>
    <n v="0"/>
    <n v="0"/>
  </r>
  <r>
    <n v="13367"/>
    <n v="13368"/>
    <x v="1"/>
    <s v="NJ-00033"/>
    <s v="S. KEARNEY"/>
    <n v="7107"/>
    <s v="ESSEX"/>
    <s v="NJ"/>
    <n v="12700"/>
    <n v="0"/>
    <n v="12700"/>
    <n v="0"/>
    <n v="0"/>
    <n v="0"/>
  </r>
  <r>
    <n v="13367"/>
    <n v="13368"/>
    <x v="1"/>
    <s v="NJ-00033"/>
    <s v="S. KEARNEY"/>
    <n v="7032"/>
    <s v="HUDSON"/>
    <s v="NJ"/>
    <n v="14600"/>
    <n v="0"/>
    <n v="14600"/>
    <n v="0"/>
    <n v="0"/>
    <n v="0"/>
  </r>
  <r>
    <n v="13367"/>
    <n v="13368"/>
    <x v="1"/>
    <s v="NJ-00033"/>
    <s v="S. KEARNY"/>
    <n v="7032"/>
    <s v="HUDSON"/>
    <s v="NJ"/>
    <n v="18450"/>
    <n v="0"/>
    <n v="18450"/>
    <n v="0"/>
    <n v="0"/>
    <n v="0"/>
  </r>
  <r>
    <n v="13367"/>
    <n v="13368"/>
    <x v="1"/>
    <s v="NJ-00033"/>
    <s v="S. KEARNY"/>
    <n v="7305"/>
    <s v="HUDSON"/>
    <s v="NJ"/>
    <n v="35000"/>
    <n v="0"/>
    <n v="35000"/>
    <n v="9800"/>
    <n v="0"/>
    <n v="9800"/>
  </r>
  <r>
    <n v="13367"/>
    <n v="13368"/>
    <x v="1"/>
    <s v="NJ-00033"/>
    <s v="S. SEASIDE PARK"/>
    <n v="8752"/>
    <s v="OCEAN"/>
    <s v="NJ"/>
    <n v="72455"/>
    <n v="61955"/>
    <n v="10500"/>
    <n v="0"/>
    <n v="0"/>
    <n v="0"/>
  </r>
  <r>
    <n v="13367"/>
    <n v="13368"/>
    <x v="1"/>
    <s v="NJ-00033"/>
    <s v="SADDLE BROOK"/>
    <n v="7663"/>
    <s v="BERGEN"/>
    <s v="NJ"/>
    <n v="39235"/>
    <n v="39235"/>
    <n v="0"/>
    <n v="0"/>
    <n v="0"/>
    <n v="0"/>
  </r>
  <r>
    <n v="13367"/>
    <n v="13368"/>
    <x v="1"/>
    <s v="NJ-00033"/>
    <s v="SANDY HOOK"/>
    <n v="7732"/>
    <s v="MONMOUTH"/>
    <s v="NJ"/>
    <n v="71100"/>
    <n v="0"/>
    <n v="71100"/>
    <n v="67600"/>
    <n v="0"/>
    <n v="67600"/>
  </r>
  <r>
    <n v="13367"/>
    <n v="13368"/>
    <x v="1"/>
    <s v="NJ-00033"/>
    <s v="SAREVILLE"/>
    <n v="8872"/>
    <s v="MIDDLESEX"/>
    <s v="NJ"/>
    <n v="6822"/>
    <n v="0"/>
    <n v="6822"/>
    <n v="0"/>
    <n v="0"/>
    <n v="0"/>
  </r>
  <r>
    <n v="13367"/>
    <n v="13368"/>
    <x v="1"/>
    <s v="NJ-00033"/>
    <s v="SAYREVILLE"/>
    <n v="8872"/>
    <s v="MIDDLESEX"/>
    <s v="NJ"/>
    <n v="4545845"/>
    <n v="1802422"/>
    <n v="2743423"/>
    <n v="2198000"/>
    <n v="1335300"/>
    <n v="621500"/>
  </r>
  <r>
    <n v="13367"/>
    <n v="13368"/>
    <x v="1"/>
    <s v="NJ-00033"/>
    <s v="SCOTCH PLAINS"/>
    <n v="7076"/>
    <s v="UNION"/>
    <s v="NJ"/>
    <n v="125115"/>
    <n v="61165"/>
    <n v="63950"/>
    <n v="297600"/>
    <n v="22600"/>
    <n v="62000"/>
  </r>
  <r>
    <n v="13367"/>
    <n v="13368"/>
    <x v="1"/>
    <s v="NJ-00033"/>
    <s v="SEA BRIGHT"/>
    <n v="7660"/>
    <s v="MONMOUTH"/>
    <s v="NJ"/>
    <n v="347056"/>
    <n v="310056"/>
    <n v="37000"/>
    <n v="29600"/>
    <n v="25300"/>
    <n v="4300"/>
  </r>
  <r>
    <n v="13367"/>
    <n v="13368"/>
    <x v="1"/>
    <s v="NJ-00033"/>
    <s v="SEA BRIGHT"/>
    <n v="7760"/>
    <s v="MONMOUTH"/>
    <s v="NJ"/>
    <n v="27417199"/>
    <n v="22390210"/>
    <n v="5026989"/>
    <n v="6061800"/>
    <n v="4337100"/>
    <n v="1407100"/>
  </r>
  <r>
    <n v="13367"/>
    <n v="13368"/>
    <x v="1"/>
    <s v="NJ-00033"/>
    <s v="SEA BRIGHT"/>
    <n v="7764"/>
    <s v="MONMOUTH"/>
    <s v="NJ"/>
    <n v="0"/>
    <n v="0"/>
    <n v="0"/>
    <n v="12800"/>
    <n v="0"/>
    <n v="0"/>
  </r>
  <r>
    <n v="13367"/>
    <n v="13368"/>
    <x v="1"/>
    <s v="NJ-00033"/>
    <s v="SEA GIRT"/>
    <n v="8750"/>
    <s v="MONMOUTH"/>
    <s v="NJ"/>
    <n v="128048"/>
    <n v="125048"/>
    <n v="3000"/>
    <n v="55400"/>
    <n v="42100"/>
    <n v="1800"/>
  </r>
  <r>
    <n v="13367"/>
    <n v="13368"/>
    <x v="1"/>
    <s v="NJ-00033"/>
    <s v="SEA ISLE"/>
    <n v="8045"/>
    <s v="ATLANTIC"/>
    <s v="NJ"/>
    <n v="119099"/>
    <n v="0"/>
    <n v="119099"/>
    <n v="208300"/>
    <n v="0"/>
    <n v="119100"/>
  </r>
  <r>
    <n v="13367"/>
    <n v="13368"/>
    <x v="1"/>
    <s v="NJ-00033"/>
    <s v="SEA ISLE"/>
    <n v="8243"/>
    <s v="CAPE MAY"/>
    <s v="NJ"/>
    <n v="17975"/>
    <n v="0"/>
    <n v="17975"/>
    <n v="0"/>
    <n v="0"/>
    <n v="0"/>
  </r>
  <r>
    <n v="13367"/>
    <n v="13368"/>
    <x v="1"/>
    <s v="NJ-00033"/>
    <s v="SEA ISLE CITY"/>
    <n v="8243"/>
    <s v="CAPE MAY"/>
    <s v="NJ"/>
    <n v="1468084"/>
    <n v="577789"/>
    <n v="890295"/>
    <n v="254000"/>
    <n v="96200"/>
    <n v="149900"/>
  </r>
  <r>
    <n v="13367"/>
    <n v="13368"/>
    <x v="1"/>
    <s v="NJ-00033"/>
    <s v="SEA SIDE PARK"/>
    <n v="8751"/>
    <s v="OCEAN"/>
    <s v="NJ"/>
    <n v="498066"/>
    <n v="495466"/>
    <n v="2600"/>
    <n v="0"/>
    <n v="0"/>
    <n v="0"/>
  </r>
  <r>
    <n v="13367"/>
    <n v="13368"/>
    <x v="1"/>
    <s v="NJ-00033"/>
    <s v="SEABRIGHT"/>
    <n v="7760"/>
    <s v="MONMOUTH"/>
    <s v="NJ"/>
    <n v="487600"/>
    <n v="456210"/>
    <n v="31390"/>
    <n v="28300"/>
    <n v="24700"/>
    <n v="3600"/>
  </r>
  <r>
    <n v="13367"/>
    <n v="13368"/>
    <x v="1"/>
    <s v="NJ-00033"/>
    <s v="SEASIDE"/>
    <n v="8751"/>
    <s v="OCEAN"/>
    <s v="NJ"/>
    <n v="17485"/>
    <n v="16185"/>
    <n v="1300"/>
    <n v="0"/>
    <n v="0"/>
    <n v="0"/>
  </r>
  <r>
    <n v="13367"/>
    <n v="13368"/>
    <x v="1"/>
    <s v="NJ-00033"/>
    <s v="SEASIDE HEIGHTS"/>
    <n v="7724"/>
    <s v="OCEAN"/>
    <s v="NJ"/>
    <n v="18377"/>
    <n v="7677"/>
    <n v="10700"/>
    <n v="0"/>
    <n v="0"/>
    <n v="0"/>
  </r>
  <r>
    <n v="13367"/>
    <n v="13368"/>
    <x v="1"/>
    <s v="NJ-00033"/>
    <s v="SEASIDE HEIGHTS"/>
    <n v="7851"/>
    <s v="OCEAN"/>
    <s v="NJ"/>
    <n v="176385"/>
    <n v="163585"/>
    <n v="12800"/>
    <n v="143900"/>
    <n v="121600"/>
    <n v="12800"/>
  </r>
  <r>
    <n v="13367"/>
    <n v="13368"/>
    <x v="1"/>
    <s v="NJ-00033"/>
    <s v="SEASIDE HEIGHTS"/>
    <n v="8751"/>
    <s v="OCEAN"/>
    <s v="NJ"/>
    <n v="34046922"/>
    <n v="26701111"/>
    <n v="7345811"/>
    <n v="9678900"/>
    <n v="6681600"/>
    <n v="2243600"/>
  </r>
  <r>
    <n v="13367"/>
    <n v="13368"/>
    <x v="1"/>
    <s v="NJ-00033"/>
    <s v="SEASIDE HEIGHTS"/>
    <n v="8752"/>
    <s v="OCEAN"/>
    <s v="NJ"/>
    <n v="108506"/>
    <n v="0"/>
    <n v="108506"/>
    <n v="0"/>
    <n v="0"/>
    <n v="0"/>
  </r>
  <r>
    <n v="13367"/>
    <n v="13368"/>
    <x v="1"/>
    <s v="NJ-00033"/>
    <s v="SEASIDE HEIGHTS"/>
    <n v="8753"/>
    <s v="OCEAN"/>
    <s v="NJ"/>
    <n v="561005"/>
    <n v="523015"/>
    <n v="37990"/>
    <n v="8200"/>
    <n v="5600"/>
    <n v="0"/>
  </r>
  <r>
    <n v="13367"/>
    <n v="13368"/>
    <x v="1"/>
    <s v="NJ-00033"/>
    <s v="SEASIDE HEIGHTS"/>
    <n v="8817"/>
    <s v="OCEAN"/>
    <s v="NJ"/>
    <n v="81349"/>
    <n v="69399"/>
    <n v="11950"/>
    <n v="62500"/>
    <n v="49400"/>
    <n v="12000"/>
  </r>
  <r>
    <n v="13367"/>
    <n v="13368"/>
    <x v="1"/>
    <s v="NJ-00033"/>
    <s v="SEASIDE HTS"/>
    <n v="8751"/>
    <s v="OCEAN"/>
    <s v="NJ"/>
    <n v="575500"/>
    <n v="551372"/>
    <n v="24128"/>
    <n v="5100"/>
    <n v="0"/>
    <n v="5100"/>
  </r>
  <r>
    <n v="13367"/>
    <n v="13368"/>
    <x v="1"/>
    <s v="NJ-00033"/>
    <s v="SEASIDE PARK"/>
    <n v="8752"/>
    <s v="MIDDLESEX"/>
    <s v="NJ"/>
    <n v="64506"/>
    <n v="62306"/>
    <n v="2200"/>
    <n v="0"/>
    <n v="0"/>
    <n v="0"/>
  </r>
  <r>
    <n v="13367"/>
    <n v="13368"/>
    <x v="1"/>
    <s v="NJ-00033"/>
    <s v="SEASIDE PARK"/>
    <n v="8732"/>
    <s v="OCEAN"/>
    <s v="NJ"/>
    <n v="68967"/>
    <n v="38348"/>
    <n v="30619"/>
    <n v="0"/>
    <n v="0"/>
    <n v="0"/>
  </r>
  <r>
    <n v="13367"/>
    <n v="13368"/>
    <x v="1"/>
    <s v="NJ-00033"/>
    <s v="SEASIDE PARK"/>
    <n v="8752"/>
    <s v="OCEAN"/>
    <s v="NJ"/>
    <n v="6800924"/>
    <n v="5562567"/>
    <n v="1238357"/>
    <n v="3362200"/>
    <n v="2274200"/>
    <n v="728300"/>
  </r>
  <r>
    <n v="13367"/>
    <n v="13368"/>
    <x v="1"/>
    <s v="NJ-00033"/>
    <s v="SEASIIDE HEIGHTS"/>
    <n v="8751"/>
    <s v="OCEAN"/>
    <s v="NJ"/>
    <n v="51971"/>
    <n v="0"/>
    <n v="51971"/>
    <n v="0"/>
    <n v="0"/>
    <n v="0"/>
  </r>
  <r>
    <n v="13367"/>
    <n v="13368"/>
    <x v="1"/>
    <s v="NJ-00033"/>
    <s v="SEASISE HEIGHTS"/>
    <n v="8751"/>
    <s v="OCEAN"/>
    <s v="NJ"/>
    <n v="380125"/>
    <n v="318075"/>
    <n v="62050"/>
    <n v="0"/>
    <n v="0"/>
    <n v="0"/>
  </r>
  <r>
    <n v="13367"/>
    <n v="13368"/>
    <x v="1"/>
    <s v="NJ-00033"/>
    <s v="SEAVILLE"/>
    <n v="8230"/>
    <s v="CAPE MAY"/>
    <s v="NJ"/>
    <n v="25012"/>
    <n v="0"/>
    <n v="25012"/>
    <n v="0"/>
    <n v="0"/>
    <n v="0"/>
  </r>
  <r>
    <n v="13367"/>
    <n v="13368"/>
    <x v="1"/>
    <s v="NJ-00033"/>
    <s v="SECAUCUS"/>
    <n v="7094"/>
    <s v="HUDSON"/>
    <s v="NJ"/>
    <n v="3817214"/>
    <n v="3674745"/>
    <n v="142469"/>
    <n v="1134900"/>
    <n v="1122700"/>
    <n v="0"/>
  </r>
  <r>
    <n v="13367"/>
    <n v="13368"/>
    <x v="1"/>
    <s v="NJ-00033"/>
    <s v="SEWAREN"/>
    <n v="7077"/>
    <s v="BERGEN"/>
    <s v="NJ"/>
    <n v="16520"/>
    <n v="0"/>
    <n v="16520"/>
    <n v="0"/>
    <n v="0"/>
    <n v="0"/>
  </r>
  <r>
    <n v="13367"/>
    <n v="13368"/>
    <x v="1"/>
    <s v="NJ-00033"/>
    <s v="SEWAREN"/>
    <n v="7077"/>
    <s v="MIDDLESEX"/>
    <s v="NJ"/>
    <n v="454085"/>
    <n v="386513"/>
    <n v="67572"/>
    <n v="234600"/>
    <n v="187800"/>
    <n v="37300"/>
  </r>
  <r>
    <n v="13367"/>
    <n v="13368"/>
    <x v="1"/>
    <s v="NJ-00033"/>
    <s v="SEWARREN"/>
    <n v="7077"/>
    <s v="MIDDLESEX"/>
    <s v="NJ"/>
    <n v="45962"/>
    <n v="0"/>
    <n v="45962"/>
    <n v="37500"/>
    <n v="0"/>
    <n v="26600"/>
  </r>
  <r>
    <n v="13367"/>
    <n v="13368"/>
    <x v="1"/>
    <s v="NJ-00033"/>
    <s v="SHIP BOTTOM"/>
    <n v="8008"/>
    <s v="OCEAN"/>
    <s v="NJ"/>
    <n v="5340954"/>
    <n v="3595162"/>
    <n v="1745792"/>
    <n v="1498700"/>
    <n v="611100"/>
    <n v="543300"/>
  </r>
  <r>
    <n v="13367"/>
    <n v="13368"/>
    <x v="1"/>
    <s v="NJ-00033"/>
    <s v="SHIPBOTTOM"/>
    <n v="8008"/>
    <s v="OCEAN"/>
    <s v="NJ"/>
    <n v="41478"/>
    <n v="29678"/>
    <n v="11800"/>
    <n v="0"/>
    <n v="0"/>
    <n v="0"/>
  </r>
  <r>
    <n v="13367"/>
    <n v="13368"/>
    <x v="1"/>
    <s v="NJ-00033"/>
    <s v="SHORT HILLS"/>
    <n v="7078"/>
    <s v="ESSEX"/>
    <s v="NJ"/>
    <n v="13497"/>
    <n v="0"/>
    <n v="13497"/>
    <n v="0"/>
    <n v="0"/>
    <n v="0"/>
  </r>
  <r>
    <n v="13367"/>
    <n v="13368"/>
    <x v="1"/>
    <s v="NJ-00033"/>
    <s v="SHREWSBURY"/>
    <n v="7702"/>
    <s v="MONMOUTH"/>
    <s v="NJ"/>
    <n v="165978"/>
    <n v="153134"/>
    <n v="12844"/>
    <n v="173100"/>
    <n v="66600"/>
    <n v="0"/>
  </r>
  <r>
    <n v="13367"/>
    <n v="13368"/>
    <x v="1"/>
    <s v="NJ-00033"/>
    <s v="SICKLERVILLE"/>
    <n v="8081"/>
    <s v="CAMDEN"/>
    <s v="NJ"/>
    <n v="6329"/>
    <n v="6329"/>
    <n v="0"/>
    <n v="0"/>
    <n v="0"/>
    <n v="0"/>
  </r>
  <r>
    <n v="13367"/>
    <n v="13368"/>
    <x v="1"/>
    <s v="NJ-00033"/>
    <s v="SO MANTOLOKING"/>
    <n v="8739"/>
    <s v="OCEAN"/>
    <s v="NJ"/>
    <n v="160714"/>
    <n v="143914"/>
    <n v="16800"/>
    <n v="0"/>
    <n v="0"/>
    <n v="0"/>
  </r>
  <r>
    <n v="13367"/>
    <n v="13368"/>
    <x v="1"/>
    <s v="NJ-00033"/>
    <s v="SO. AMBOY"/>
    <n v="8879"/>
    <s v="MIDDLESEX"/>
    <s v="NJ"/>
    <n v="8000"/>
    <n v="0"/>
    <n v="8000"/>
    <n v="0"/>
    <n v="0"/>
    <n v="0"/>
  </r>
  <r>
    <n v="13367"/>
    <n v="13368"/>
    <x v="1"/>
    <s v="NJ-00033"/>
    <s v="SOMERS POINT"/>
    <n v="8223"/>
    <s v="ATLANTIC"/>
    <s v="NJ"/>
    <n v="59894"/>
    <n v="56394"/>
    <n v="3500"/>
    <n v="0"/>
    <n v="0"/>
    <n v="0"/>
  </r>
  <r>
    <n v="13367"/>
    <n v="13368"/>
    <x v="1"/>
    <s v="NJ-00033"/>
    <s v="SOMERS POINT"/>
    <n v="8234"/>
    <s v="ATLANTIC"/>
    <s v="NJ"/>
    <n v="85251"/>
    <n v="35511"/>
    <n v="49740"/>
    <n v="0"/>
    <n v="0"/>
    <n v="0"/>
  </r>
  <r>
    <n v="13367"/>
    <n v="13368"/>
    <x v="1"/>
    <s v="NJ-00033"/>
    <s v="SOMERS POINT"/>
    <n v="8244"/>
    <s v="ATLANTIC"/>
    <s v="NJ"/>
    <n v="1667442"/>
    <n v="1557904"/>
    <n v="109538"/>
    <n v="1438900"/>
    <n v="1393500"/>
    <n v="28600"/>
  </r>
  <r>
    <n v="13367"/>
    <n v="13368"/>
    <x v="1"/>
    <s v="NJ-00033"/>
    <s v="SOMERSET"/>
    <n v="8873"/>
    <s v="SOMERSET"/>
    <s v="NJ"/>
    <n v="379435"/>
    <n v="303311"/>
    <n v="76124"/>
    <n v="390500"/>
    <n v="296400"/>
    <n v="66200"/>
  </r>
  <r>
    <n v="13367"/>
    <n v="13368"/>
    <x v="1"/>
    <s v="NJ-00033"/>
    <s v="SOMERVILLE"/>
    <n v="8876"/>
    <s v="SOMERSET"/>
    <s v="NJ"/>
    <n v="12186"/>
    <n v="11986"/>
    <n v="200"/>
    <n v="113700"/>
    <n v="0"/>
    <n v="0"/>
  </r>
  <r>
    <n v="13367"/>
    <n v="13368"/>
    <x v="1"/>
    <s v="NJ-00033"/>
    <s v="SOURTH KEARNY"/>
    <n v="7032"/>
    <s v="HUDSON"/>
    <s v="NJ"/>
    <n v="68000"/>
    <n v="0"/>
    <n v="68000"/>
    <n v="0"/>
    <n v="0"/>
    <n v="0"/>
  </r>
  <r>
    <n v="13367"/>
    <n v="13368"/>
    <x v="1"/>
    <s v="NJ-00033"/>
    <s v="SOUTH  KEARNY"/>
    <n v="7032"/>
    <s v="UNION"/>
    <s v="NJ"/>
    <n v="185598"/>
    <n v="0"/>
    <n v="185598"/>
    <n v="178500"/>
    <n v="0"/>
    <n v="108500"/>
  </r>
  <r>
    <n v="13367"/>
    <n v="13368"/>
    <x v="1"/>
    <s v="NJ-00033"/>
    <s v="SOUTH  TOMS RIVER"/>
    <n v="8757"/>
    <s v="OCEAN"/>
    <s v="NJ"/>
    <n v="264031"/>
    <n v="108081"/>
    <n v="155950"/>
    <n v="0"/>
    <n v="0"/>
    <n v="0"/>
  </r>
  <r>
    <n v="13367"/>
    <n v="13368"/>
    <x v="1"/>
    <s v="NJ-00033"/>
    <s v="SOUTH AMBOY"/>
    <n v="8872"/>
    <s v="MIDDLESEX"/>
    <s v="NJ"/>
    <n v="157307"/>
    <n v="120962"/>
    <n v="36345"/>
    <n v="0"/>
    <n v="0"/>
    <n v="0"/>
  </r>
  <r>
    <n v="13367"/>
    <n v="13368"/>
    <x v="1"/>
    <s v="NJ-00033"/>
    <s v="SOUTH AMBOY"/>
    <n v="8879"/>
    <s v="MIDDLESEX"/>
    <s v="NJ"/>
    <n v="2129642"/>
    <n v="1544767"/>
    <n v="584875"/>
    <n v="224700"/>
    <n v="88400"/>
    <n v="136300"/>
  </r>
  <r>
    <n v="13367"/>
    <n v="13368"/>
    <x v="1"/>
    <s v="NJ-00033"/>
    <s v="SOUTH CARNEY"/>
    <n v="7632"/>
    <s v="HUDSON"/>
    <s v="NJ"/>
    <n v="50000"/>
    <n v="0"/>
    <n v="50000"/>
    <n v="0"/>
    <n v="0"/>
    <n v="0"/>
  </r>
  <r>
    <n v="13367"/>
    <n v="13368"/>
    <x v="1"/>
    <s v="NJ-00033"/>
    <s v="SOUTH HACKENSACK"/>
    <n v="7606"/>
    <s v="BERGEN"/>
    <s v="NJ"/>
    <n v="4939054"/>
    <n v="463377"/>
    <n v="4475677"/>
    <n v="2667000"/>
    <n v="0"/>
    <n v="2422000"/>
  </r>
  <r>
    <n v="13367"/>
    <n v="13368"/>
    <x v="1"/>
    <s v="NJ-00033"/>
    <s v="SOUTH KEARNEY"/>
    <n v="7032"/>
    <s v="HUDSON"/>
    <s v="NJ"/>
    <n v="58950"/>
    <n v="0"/>
    <n v="58950"/>
    <n v="37000"/>
    <n v="0"/>
    <n v="16700"/>
  </r>
  <r>
    <n v="13367"/>
    <n v="13368"/>
    <x v="1"/>
    <s v="NJ-00033"/>
    <s v="SOUTH KEARNY"/>
    <n v="7083"/>
    <s v="ESSEX"/>
    <s v="NJ"/>
    <n v="49500"/>
    <n v="0"/>
    <n v="49500"/>
    <n v="0"/>
    <n v="0"/>
    <n v="0"/>
  </r>
  <r>
    <n v="13367"/>
    <n v="13368"/>
    <x v="1"/>
    <s v="NJ-00033"/>
    <s v="SOUTH KEARNY"/>
    <n v="7032"/>
    <s v="HUDSON"/>
    <s v="NJ"/>
    <n v="1828470"/>
    <n v="333950"/>
    <n v="1494520"/>
    <n v="432600"/>
    <n v="309900"/>
    <n v="122700"/>
  </r>
  <r>
    <n v="13367"/>
    <n v="13368"/>
    <x v="1"/>
    <s v="NJ-00033"/>
    <s v="SOUTH KEARNY"/>
    <n v="7032"/>
    <s v="HUNTERDON"/>
    <s v="NJ"/>
    <n v="29000"/>
    <n v="0"/>
    <n v="29000"/>
    <n v="0"/>
    <n v="0"/>
    <n v="0"/>
  </r>
  <r>
    <n v="13367"/>
    <n v="13368"/>
    <x v="1"/>
    <s v="NJ-00033"/>
    <s v="SOUTH MANTOLOKING"/>
    <n v="8738"/>
    <s v="OCEAN"/>
    <s v="NJ"/>
    <n v="109741"/>
    <n v="88441"/>
    <n v="21300"/>
    <n v="0"/>
    <n v="0"/>
    <n v="0"/>
  </r>
  <r>
    <n v="13367"/>
    <n v="13368"/>
    <x v="1"/>
    <s v="NJ-00033"/>
    <s v="SOUTH MANTOLOKING (BRICK)"/>
    <n v="8738"/>
    <s v="OCEAN"/>
    <s v="NJ"/>
    <n v="421648"/>
    <n v="396398"/>
    <n v="25250"/>
    <n v="0"/>
    <n v="0"/>
    <n v="0"/>
  </r>
  <r>
    <n v="13367"/>
    <n v="13368"/>
    <x v="1"/>
    <s v="NJ-00033"/>
    <s v="SOUTH PLAINFIELD"/>
    <n v="7080"/>
    <s v="MIDDLESEX"/>
    <s v="NJ"/>
    <n v="312381"/>
    <n v="309191"/>
    <n v="3190"/>
    <n v="0"/>
    <n v="0"/>
    <n v="0"/>
  </r>
  <r>
    <n v="13367"/>
    <n v="13368"/>
    <x v="1"/>
    <s v="NJ-00033"/>
    <s v="SOUTH RIVER"/>
    <n v="8520"/>
    <s v="MERCER"/>
    <s v="NJ"/>
    <n v="126161"/>
    <n v="126161"/>
    <n v="0"/>
    <n v="0"/>
    <n v="0"/>
    <n v="0"/>
  </r>
  <r>
    <n v="13367"/>
    <n v="13368"/>
    <x v="1"/>
    <s v="NJ-00033"/>
    <s v="SOUTH RIVER"/>
    <n v="8872"/>
    <s v="MIDDLESEX"/>
    <s v="NJ"/>
    <n v="3844"/>
    <n v="0"/>
    <n v="3844"/>
    <n v="0"/>
    <n v="0"/>
    <n v="0"/>
  </r>
  <r>
    <n v="13367"/>
    <n v="13368"/>
    <x v="1"/>
    <s v="NJ-00033"/>
    <s v="SOUTH RIVER"/>
    <n v="8882"/>
    <s v="MIDDLESEX"/>
    <s v="NJ"/>
    <n v="3393985"/>
    <n v="2236662"/>
    <n v="1157323"/>
    <n v="1399200"/>
    <n v="1011000"/>
    <n v="294200"/>
  </r>
  <r>
    <n v="13367"/>
    <n v="13368"/>
    <x v="1"/>
    <s v="NJ-00033"/>
    <s v="SOUTH SEASIDE PARK"/>
    <n v="8752"/>
    <s v="OCEAN"/>
    <s v="NJ"/>
    <n v="171862"/>
    <n v="128738"/>
    <n v="43124"/>
    <n v="144800"/>
    <n v="110500"/>
    <n v="34300"/>
  </r>
  <r>
    <n v="13367"/>
    <n v="13368"/>
    <x v="1"/>
    <s v="NJ-00033"/>
    <s v="SOUTH TOMS RIVER"/>
    <n v="8757"/>
    <s v="OCEAN"/>
    <s v="NJ"/>
    <n v="87877"/>
    <n v="0"/>
    <n v="87877"/>
    <n v="7700"/>
    <n v="0"/>
    <n v="7700"/>
  </r>
  <r>
    <n v="13367"/>
    <n v="13368"/>
    <x v="1"/>
    <s v="NJ-00033"/>
    <s v="SPARTA"/>
    <n v="7871"/>
    <s v="SUSSEX"/>
    <s v="NJ"/>
    <n v="63902"/>
    <n v="50902"/>
    <n v="13000"/>
    <n v="0"/>
    <n v="0"/>
    <n v="0"/>
  </r>
  <r>
    <n v="13367"/>
    <n v="13368"/>
    <x v="1"/>
    <s v="NJ-00033"/>
    <s v="SPOTSWOOD"/>
    <n v="8884"/>
    <s v="MIDDLESEX"/>
    <s v="NJ"/>
    <n v="834851"/>
    <n v="17529"/>
    <n v="817322"/>
    <n v="802800"/>
    <n v="0"/>
    <n v="802800"/>
  </r>
  <r>
    <n v="13367"/>
    <n v="13368"/>
    <x v="1"/>
    <s v="NJ-00033"/>
    <s v="SPRAY BEACH"/>
    <n v="8008"/>
    <s v="OCEAN"/>
    <s v="NJ"/>
    <n v="119039"/>
    <n v="104939"/>
    <n v="14100"/>
    <n v="94600"/>
    <n v="80500"/>
    <n v="14100"/>
  </r>
  <r>
    <n v="13367"/>
    <n v="13368"/>
    <x v="1"/>
    <s v="NJ-00033"/>
    <s v="SPRING LAKE"/>
    <n v="7762"/>
    <s v="MONMOUTH"/>
    <s v="NJ"/>
    <n v="218409"/>
    <n v="155564"/>
    <n v="62845"/>
    <n v="240900"/>
    <n v="6500"/>
    <n v="21800"/>
  </r>
  <r>
    <n v="13367"/>
    <n v="13368"/>
    <x v="1"/>
    <s v="NJ-00033"/>
    <s v="SPRING LAKE HEIGHTS"/>
    <n v="7762"/>
    <s v="MONMOUTH"/>
    <s v="NJ"/>
    <n v="31391"/>
    <n v="31391"/>
    <n v="0"/>
    <n v="0"/>
    <n v="0"/>
    <n v="0"/>
  </r>
  <r>
    <n v="13367"/>
    <n v="13368"/>
    <x v="1"/>
    <s v="NJ-00033"/>
    <s v="SPRINGFIELD"/>
    <n v="7081"/>
    <s v="UNION"/>
    <s v="NJ"/>
    <n v="0"/>
    <n v="0"/>
    <n v="0"/>
    <n v="7200"/>
    <n v="0"/>
    <n v="0"/>
  </r>
  <r>
    <n v="13367"/>
    <n v="13368"/>
    <x v="1"/>
    <s v="NJ-00033"/>
    <s v="STAFFORD"/>
    <n v="8050"/>
    <s v="OCEAN"/>
    <s v="NJ"/>
    <n v="104140"/>
    <n v="89210"/>
    <n v="14930"/>
    <n v="14000"/>
    <n v="11300"/>
    <n v="2700"/>
  </r>
  <r>
    <n v="13367"/>
    <n v="13368"/>
    <x v="1"/>
    <s v="NJ-00033"/>
    <s v="STAFFORD TOWNSHIP"/>
    <n v="8050"/>
    <s v="OCEAN"/>
    <s v="NJ"/>
    <n v="67504"/>
    <n v="48923"/>
    <n v="18581"/>
    <n v="0"/>
    <n v="0"/>
    <n v="0"/>
  </r>
  <r>
    <n v="13367"/>
    <n v="13368"/>
    <x v="1"/>
    <s v="NJ-00033"/>
    <s v="STANHOPE"/>
    <n v="7874"/>
    <s v="SUSSEX"/>
    <s v="NJ"/>
    <n v="111428"/>
    <n v="111428"/>
    <n v="0"/>
    <n v="0"/>
    <n v="0"/>
    <n v="0"/>
  </r>
  <r>
    <n v="13367"/>
    <n v="13368"/>
    <x v="1"/>
    <s v="NJ-00033"/>
    <s v="STIRLING"/>
    <n v="7980"/>
    <s v="MORRIS"/>
    <s v="NJ"/>
    <n v="151475"/>
    <n v="144245"/>
    <n v="7230"/>
    <n v="222200"/>
    <n v="22200"/>
    <n v="0"/>
  </r>
  <r>
    <n v="13367"/>
    <n v="13368"/>
    <x v="1"/>
    <s v="NJ-00033"/>
    <s v="STONE HARBOR"/>
    <n v="8247"/>
    <s v="CAPE MAY"/>
    <s v="NJ"/>
    <n v="1268502"/>
    <n v="1017501"/>
    <n v="251001"/>
    <n v="217000"/>
    <n v="192700"/>
    <n v="21500"/>
  </r>
  <r>
    <n v="13367"/>
    <n v="13368"/>
    <x v="1"/>
    <s v="NJ-00033"/>
    <s v="STRATHMERE"/>
    <n v="8248"/>
    <s v="CAPE MAY"/>
    <s v="NJ"/>
    <n v="295749"/>
    <n v="220352"/>
    <n v="75397"/>
    <n v="36100"/>
    <n v="25300"/>
    <n v="10800"/>
  </r>
  <r>
    <n v="13367"/>
    <n v="13368"/>
    <x v="1"/>
    <s v="NJ-00033"/>
    <s v="SUCCASUNNA"/>
    <n v="7876"/>
    <s v="MORRIS"/>
    <s v="NJ"/>
    <n v="6103"/>
    <n v="0"/>
    <n v="6103"/>
    <n v="0"/>
    <n v="0"/>
    <n v="0"/>
  </r>
  <r>
    <n v="13367"/>
    <n v="13368"/>
    <x v="1"/>
    <s v="NJ-00033"/>
    <s v="SUMMIT"/>
    <n v="7901"/>
    <s v="UNION"/>
    <s v="NJ"/>
    <n v="7100"/>
    <n v="0"/>
    <n v="7100"/>
    <n v="0"/>
    <n v="0"/>
    <n v="0"/>
  </r>
  <r>
    <n v="13367"/>
    <n v="13368"/>
    <x v="1"/>
    <s v="NJ-00033"/>
    <s v="SURF CITY"/>
    <n v="7981"/>
    <s v="OCEAN"/>
    <s v="NJ"/>
    <n v="93878"/>
    <n v="90278"/>
    <n v="3600"/>
    <n v="0"/>
    <n v="0"/>
    <n v="0"/>
  </r>
  <r>
    <n v="13367"/>
    <n v="13368"/>
    <x v="1"/>
    <s v="NJ-00033"/>
    <s v="SURF CITY"/>
    <n v="8008"/>
    <s v="OCEAN"/>
    <s v="NJ"/>
    <n v="1552164"/>
    <n v="1111343"/>
    <n v="440821"/>
    <n v="305900"/>
    <n v="144600"/>
    <n v="111600"/>
  </r>
  <r>
    <n v="13367"/>
    <n v="13368"/>
    <x v="1"/>
    <s v="NJ-00033"/>
    <s v="TEANECK"/>
    <n v="7666"/>
    <s v="BERGEN"/>
    <s v="NJ"/>
    <n v="848919"/>
    <n v="169741"/>
    <n v="679178"/>
    <n v="385500"/>
    <n v="30600"/>
    <n v="354900"/>
  </r>
  <r>
    <n v="13367"/>
    <n v="13368"/>
    <x v="1"/>
    <s v="NJ-00033"/>
    <s v="TETERBORO"/>
    <n v="7608"/>
    <s v="BERGEN"/>
    <s v="NJ"/>
    <n v="40000"/>
    <n v="0"/>
    <n v="40000"/>
    <n v="0"/>
    <n v="0"/>
    <n v="0"/>
  </r>
  <r>
    <n v="13367"/>
    <n v="13368"/>
    <x v="1"/>
    <s v="NJ-00033"/>
    <s v="TINTON FALLS"/>
    <n v="7701"/>
    <s v="MONMOUTH"/>
    <s v="NJ"/>
    <n v="0"/>
    <n v="0"/>
    <n v="0"/>
    <n v="100000"/>
    <n v="0"/>
    <n v="0"/>
  </r>
  <r>
    <n v="13367"/>
    <n v="13368"/>
    <x v="1"/>
    <s v="NJ-00033"/>
    <s v="TINTON FALLS"/>
    <n v="7724"/>
    <s v="MONMOUTH"/>
    <s v="NJ"/>
    <n v="66693"/>
    <n v="24828"/>
    <n v="41865"/>
    <n v="184200"/>
    <n v="0"/>
    <n v="0"/>
  </r>
  <r>
    <n v="13367"/>
    <n v="13368"/>
    <x v="1"/>
    <s v="NJ-00033"/>
    <s v="TINTON FALLS"/>
    <n v="7753"/>
    <s v="MONMOUTH"/>
    <s v="NJ"/>
    <n v="0"/>
    <n v="0"/>
    <n v="0"/>
    <n v="7200"/>
    <n v="0"/>
    <n v="0"/>
  </r>
  <r>
    <n v="13367"/>
    <n v="13368"/>
    <x v="1"/>
    <s v="NJ-00033"/>
    <s v="TITUSVILLE"/>
    <n v="8560"/>
    <s v="MERCER"/>
    <s v="NJ"/>
    <n v="14768"/>
    <n v="14768"/>
    <n v="0"/>
    <n v="0"/>
    <n v="0"/>
    <n v="0"/>
  </r>
  <r>
    <n v="13367"/>
    <n v="13368"/>
    <x v="1"/>
    <s v="NJ-00033"/>
    <s v="TOMS RIVER"/>
    <n v="7853"/>
    <s v="OCEAN"/>
    <s v="NJ"/>
    <n v="22645"/>
    <n v="21545"/>
    <n v="1100"/>
    <n v="0"/>
    <n v="0"/>
    <n v="0"/>
  </r>
  <r>
    <n v="13367"/>
    <n v="13368"/>
    <x v="1"/>
    <s v="NJ-00033"/>
    <s v="TOMS RIVER"/>
    <n v="8735"/>
    <s v="OCEAN"/>
    <s v="NJ"/>
    <n v="1166712"/>
    <n v="990577"/>
    <n v="176135"/>
    <n v="804500"/>
    <n v="698700"/>
    <n v="89200"/>
  </r>
  <r>
    <n v="13367"/>
    <n v="13368"/>
    <x v="1"/>
    <s v="NJ-00033"/>
    <s v="TOMS RIVER"/>
    <n v="8738"/>
    <s v="OCEAN"/>
    <s v="NJ"/>
    <n v="118193"/>
    <n v="64478"/>
    <n v="53715"/>
    <n v="0"/>
    <n v="0"/>
    <n v="0"/>
  </r>
  <r>
    <n v="13367"/>
    <n v="13368"/>
    <x v="1"/>
    <s v="NJ-00033"/>
    <s v="TOMS RIVER"/>
    <n v="8751"/>
    <s v="OCEAN"/>
    <s v="NJ"/>
    <n v="28442"/>
    <n v="25542"/>
    <n v="2900"/>
    <n v="28500"/>
    <n v="25600"/>
    <n v="2900"/>
  </r>
  <r>
    <n v="13367"/>
    <n v="13368"/>
    <x v="1"/>
    <s v="NJ-00033"/>
    <s v="TOMS RIVER"/>
    <n v="8753"/>
    <s v="OCEAN"/>
    <s v="NJ"/>
    <n v="11611456"/>
    <n v="9230940"/>
    <n v="2380516"/>
    <n v="3995400"/>
    <n v="2397700"/>
    <n v="1145500"/>
  </r>
  <r>
    <n v="13367"/>
    <n v="13368"/>
    <x v="1"/>
    <s v="NJ-00033"/>
    <s v="TOMS RIVER"/>
    <n v="8755"/>
    <s v="OCEAN"/>
    <s v="NJ"/>
    <n v="1555615"/>
    <n v="1324027"/>
    <n v="231588"/>
    <n v="481200"/>
    <n v="8000"/>
    <n v="14000"/>
  </r>
  <r>
    <n v="13367"/>
    <n v="13368"/>
    <x v="1"/>
    <s v="NJ-00033"/>
    <s v="TOMS RIVER"/>
    <n v="8757"/>
    <s v="OCEAN"/>
    <s v="NJ"/>
    <n v="406644"/>
    <n v="139700"/>
    <n v="266944"/>
    <n v="458200"/>
    <n v="139800"/>
    <n v="259500"/>
  </r>
  <r>
    <n v="13367"/>
    <n v="13368"/>
    <x v="1"/>
    <s v="NJ-00033"/>
    <s v="TOMSRIVER"/>
    <n v="8735"/>
    <s v="OCEAN"/>
    <s v="NJ"/>
    <n v="78225"/>
    <n v="63725"/>
    <n v="14500"/>
    <n v="0"/>
    <n v="0"/>
    <n v="0"/>
  </r>
  <r>
    <n v="13367"/>
    <n v="13368"/>
    <x v="1"/>
    <s v="NJ-00033"/>
    <s v="TOWNSHIP OF LONG BEACH"/>
    <n v="8008"/>
    <s v="OCEAN"/>
    <s v="NJ"/>
    <n v="137029"/>
    <n v="115829"/>
    <n v="21200"/>
    <n v="137100"/>
    <n v="115900"/>
    <n v="21200"/>
  </r>
  <r>
    <n v="13367"/>
    <n v="13368"/>
    <x v="1"/>
    <s v="NJ-00033"/>
    <s v="TRENTON"/>
    <n v="8609"/>
    <s v="HUDSON"/>
    <s v="NJ"/>
    <n v="1450"/>
    <n v="0"/>
    <n v="1450"/>
    <n v="0"/>
    <n v="0"/>
    <n v="0"/>
  </r>
  <r>
    <n v="13367"/>
    <n v="13368"/>
    <x v="1"/>
    <s v="NJ-00033"/>
    <s v="TRENTON"/>
    <n v="8690"/>
    <s v="MERCER"/>
    <s v="NJ"/>
    <n v="39054"/>
    <n v="34254"/>
    <n v="4800"/>
    <n v="0"/>
    <n v="0"/>
    <n v="0"/>
  </r>
  <r>
    <n v="13367"/>
    <n v="13368"/>
    <x v="1"/>
    <s v="NJ-00033"/>
    <s v="TUCKERTON"/>
    <n v="8087"/>
    <s v="OCEAN"/>
    <s v="NJ"/>
    <n v="4682297"/>
    <n v="3709649"/>
    <n v="972648"/>
    <n v="1333800"/>
    <n v="827000"/>
    <n v="139200"/>
  </r>
  <r>
    <n v="13367"/>
    <n v="13368"/>
    <x v="1"/>
    <s v="NJ-00033"/>
    <s v="UNION"/>
    <n v="7081"/>
    <s v="UNION"/>
    <s v="NJ"/>
    <n v="61596"/>
    <n v="1596"/>
    <n v="60000"/>
    <n v="0"/>
    <n v="0"/>
    <n v="0"/>
  </r>
  <r>
    <n v="13367"/>
    <n v="13368"/>
    <x v="1"/>
    <s v="NJ-00033"/>
    <s v="UNION"/>
    <n v="7083"/>
    <s v="UNION"/>
    <s v="NJ"/>
    <n v="204945"/>
    <n v="2541"/>
    <n v="202404"/>
    <n v="227000"/>
    <n v="0"/>
    <n v="188100"/>
  </r>
  <r>
    <n v="13367"/>
    <n v="13368"/>
    <x v="1"/>
    <s v="NJ-00033"/>
    <s v="UNION BEACH"/>
    <n v="7733"/>
    <s v="MONMOUTH"/>
    <s v="NJ"/>
    <n v="67622"/>
    <n v="66322"/>
    <n v="1300"/>
    <n v="0"/>
    <n v="0"/>
    <n v="0"/>
  </r>
  <r>
    <n v="13367"/>
    <n v="13368"/>
    <x v="1"/>
    <s v="NJ-00033"/>
    <s v="UNION BEACH"/>
    <n v="7735"/>
    <s v="MONMOUTH"/>
    <s v="NJ"/>
    <n v="8156697"/>
    <n v="7183138"/>
    <n v="973559"/>
    <n v="2277100"/>
    <n v="1564600"/>
    <n v="460600"/>
  </r>
  <r>
    <n v="13367"/>
    <n v="13368"/>
    <x v="1"/>
    <s v="NJ-00033"/>
    <s v="UNION BEACH"/>
    <n v="7735"/>
    <s v="MORRIS"/>
    <s v="NJ"/>
    <n v="27836"/>
    <n v="13406"/>
    <n v="14430"/>
    <n v="0"/>
    <n v="0"/>
    <n v="0"/>
  </r>
  <r>
    <n v="13367"/>
    <n v="13368"/>
    <x v="1"/>
    <s v="NJ-00033"/>
    <s v="UNION CITY"/>
    <n v="7087"/>
    <s v="HUDSON"/>
    <s v="NJ"/>
    <n v="271426"/>
    <n v="173767"/>
    <n v="97659"/>
    <n v="5100"/>
    <n v="0"/>
    <n v="5100"/>
  </r>
  <r>
    <n v="13367"/>
    <n v="13368"/>
    <x v="1"/>
    <s v="NJ-00033"/>
    <s v="VENTNOR"/>
    <n v="8406"/>
    <s v="ATLANTIC"/>
    <s v="NJ"/>
    <n v="1796314"/>
    <n v="1380322"/>
    <n v="415992"/>
    <n v="485800"/>
    <n v="268600"/>
    <n v="122000"/>
  </r>
  <r>
    <n v="13367"/>
    <n v="13368"/>
    <x v="1"/>
    <s v="NJ-00033"/>
    <s v="VENTNOR CITY"/>
    <n v="8247"/>
    <s v="ATLANTIC"/>
    <s v="NJ"/>
    <n v="5161"/>
    <n v="5161"/>
    <n v="0"/>
    <n v="0"/>
    <n v="0"/>
    <n v="0"/>
  </r>
  <r>
    <n v="13367"/>
    <n v="13368"/>
    <x v="1"/>
    <s v="NJ-00033"/>
    <s v="VENTNOR CITY"/>
    <n v="8406"/>
    <s v="ATLANTIC"/>
    <s v="NJ"/>
    <n v="3202977"/>
    <n v="2602430"/>
    <n v="600547"/>
    <n v="395800"/>
    <n v="249300"/>
    <n v="113600"/>
  </r>
  <r>
    <n v="13367"/>
    <n v="13368"/>
    <x v="1"/>
    <s v="NJ-00033"/>
    <s v="VERONA"/>
    <n v="7044"/>
    <s v="ESSEX"/>
    <s v="NJ"/>
    <n v="3608"/>
    <n v="0"/>
    <n v="3608"/>
    <n v="0"/>
    <n v="0"/>
    <n v="0"/>
  </r>
  <r>
    <n v="13367"/>
    <n v="13368"/>
    <x v="1"/>
    <s v="NJ-00033"/>
    <s v="VILLAS"/>
    <n v="8251"/>
    <s v="CAPE MAY"/>
    <s v="NJ"/>
    <n v="104647"/>
    <n v="80922"/>
    <n v="23725"/>
    <n v="0"/>
    <n v="0"/>
    <n v="0"/>
  </r>
  <r>
    <n v="13367"/>
    <n v="13368"/>
    <x v="1"/>
    <s v="NJ-00033"/>
    <s v="VINELAND"/>
    <n v="8360"/>
    <s v="CUMBERLAND"/>
    <s v="NJ"/>
    <n v="30152"/>
    <n v="30152"/>
    <n v="0"/>
    <n v="0"/>
    <n v="0"/>
    <n v="0"/>
  </r>
  <r>
    <n v="13367"/>
    <n v="13368"/>
    <x v="1"/>
    <s v="NJ-00033"/>
    <s v="W. KEANSBURG"/>
    <n v="7734"/>
    <s v="MONMOUTH"/>
    <s v="NJ"/>
    <n v="5347"/>
    <n v="2941"/>
    <n v="2406"/>
    <n v="0"/>
    <n v="0"/>
    <n v="0"/>
  </r>
  <r>
    <n v="13367"/>
    <n v="13368"/>
    <x v="1"/>
    <s v="NJ-00033"/>
    <s v="WALL"/>
    <n v="7719"/>
    <s v="MONMOUTH"/>
    <s v="NJ"/>
    <n v="180092"/>
    <n v="69671"/>
    <n v="110421"/>
    <n v="429800"/>
    <n v="0"/>
    <n v="110500"/>
  </r>
  <r>
    <n v="13367"/>
    <n v="13368"/>
    <x v="1"/>
    <s v="NJ-00033"/>
    <s v="WALL"/>
    <n v="7727"/>
    <s v="MONMOUTH"/>
    <s v="NJ"/>
    <n v="176260"/>
    <n v="0"/>
    <n v="176260"/>
    <n v="0"/>
    <n v="0"/>
    <n v="0"/>
  </r>
  <r>
    <n v="13367"/>
    <n v="13368"/>
    <x v="1"/>
    <s v="NJ-00033"/>
    <s v="WALL TOWNSHIP"/>
    <n v="8724"/>
    <s v="MONMOUTH"/>
    <s v="NJ"/>
    <n v="0"/>
    <n v="0"/>
    <n v="0"/>
    <n v="77600"/>
    <n v="0"/>
    <n v="0"/>
  </r>
  <r>
    <n v="13367"/>
    <n v="13368"/>
    <x v="1"/>
    <s v="NJ-00033"/>
    <s v="WALLINGTON"/>
    <n v="7057"/>
    <s v="BERGEN"/>
    <s v="NJ"/>
    <n v="49044"/>
    <n v="12783"/>
    <n v="36261"/>
    <n v="0"/>
    <n v="0"/>
    <n v="0"/>
  </r>
  <r>
    <n v="13367"/>
    <n v="13368"/>
    <x v="1"/>
    <s v="NJ-00033"/>
    <s v="WANAQUE"/>
    <n v="7465"/>
    <s v="PASSAIC"/>
    <s v="NJ"/>
    <n v="4475"/>
    <n v="2175"/>
    <n v="2300"/>
    <n v="0"/>
    <n v="0"/>
    <n v="0"/>
  </r>
  <r>
    <n v="13367"/>
    <n v="13368"/>
    <x v="1"/>
    <s v="NJ-00033"/>
    <s v="WARETOWN"/>
    <n v="8757"/>
    <s v="OCEAN"/>
    <s v="NJ"/>
    <n v="62872"/>
    <n v="57359"/>
    <n v="5513"/>
    <n v="0"/>
    <n v="0"/>
    <n v="0"/>
  </r>
  <r>
    <n v="13367"/>
    <n v="13368"/>
    <x v="1"/>
    <s v="NJ-00033"/>
    <s v="WARETOWN"/>
    <n v="8758"/>
    <s v="OCEAN"/>
    <s v="NJ"/>
    <n v="2603104"/>
    <n v="2463289"/>
    <n v="139815"/>
    <n v="596000"/>
    <n v="467400"/>
    <n v="46300"/>
  </r>
  <r>
    <n v="13367"/>
    <n v="13368"/>
    <x v="1"/>
    <s v="NJ-00033"/>
    <s v="WARETWON"/>
    <n v="8758"/>
    <s v="OCEAN"/>
    <s v="NJ"/>
    <n v="14350"/>
    <n v="3225"/>
    <n v="11125"/>
    <n v="0"/>
    <n v="0"/>
    <n v="0"/>
  </r>
  <r>
    <n v="13367"/>
    <n v="13368"/>
    <x v="1"/>
    <s v="NJ-00033"/>
    <s v="WARREN"/>
    <n v="7059"/>
    <s v="SOMERSET"/>
    <s v="NJ"/>
    <n v="0"/>
    <n v="0"/>
    <n v="0"/>
    <n v="362100"/>
    <n v="0"/>
    <n v="0"/>
  </r>
  <r>
    <n v="13367"/>
    <n v="13368"/>
    <x v="1"/>
    <s v="NJ-00033"/>
    <s v="WASHINGTON"/>
    <n v="7882"/>
    <s v="WARREN"/>
    <s v="NJ"/>
    <n v="273193"/>
    <n v="171904"/>
    <n v="101289"/>
    <n v="56500"/>
    <n v="0"/>
    <n v="54200"/>
  </r>
  <r>
    <n v="13367"/>
    <n v="13368"/>
    <x v="1"/>
    <s v="NJ-00033"/>
    <s v="WATCHUNG"/>
    <n v="7069"/>
    <s v="SOMERSET"/>
    <s v="NJ"/>
    <n v="12171"/>
    <n v="7421"/>
    <n v="4750"/>
    <n v="47700"/>
    <n v="0"/>
    <n v="0"/>
  </r>
  <r>
    <n v="13367"/>
    <n v="13368"/>
    <x v="1"/>
    <s v="NJ-00033"/>
    <s v="WAYNE"/>
    <n v="7470"/>
    <s v="PASSAIC"/>
    <s v="NJ"/>
    <n v="27940"/>
    <n v="0"/>
    <n v="27940"/>
    <n v="28000"/>
    <n v="0"/>
    <n v="28000"/>
  </r>
  <r>
    <n v="13367"/>
    <n v="13368"/>
    <x v="1"/>
    <s v="NJ-00033"/>
    <s v="WEEHAWKEN"/>
    <n v="7086"/>
    <s v="HUDSON"/>
    <s v="NJ"/>
    <n v="1764952"/>
    <n v="1282732"/>
    <n v="482220"/>
    <n v="1176100"/>
    <n v="700300"/>
    <n v="437800"/>
  </r>
  <r>
    <n v="13367"/>
    <n v="13368"/>
    <x v="1"/>
    <s v="NJ-00033"/>
    <s v="WEST ATLANTIC CITY"/>
    <n v="8232"/>
    <s v="ATLANTIC"/>
    <s v="NJ"/>
    <n v="955148"/>
    <n v="709466"/>
    <n v="245682"/>
    <n v="0"/>
    <n v="0"/>
    <n v="0"/>
  </r>
  <r>
    <n v="13367"/>
    <n v="13368"/>
    <x v="1"/>
    <s v="NJ-00033"/>
    <s v="WEST ATLANTIC CITY"/>
    <n v="8234"/>
    <s v="ATLANTIC"/>
    <s v="NJ"/>
    <n v="461311"/>
    <n v="373373"/>
    <n v="87938"/>
    <n v="266500"/>
    <n v="190200"/>
    <n v="21700"/>
  </r>
  <r>
    <n v="13367"/>
    <n v="13368"/>
    <x v="1"/>
    <s v="NJ-00033"/>
    <s v="WEST CREEK"/>
    <n v="8092"/>
    <s v="OCEAN"/>
    <s v="NJ"/>
    <n v="785170"/>
    <n v="537500"/>
    <n v="247670"/>
    <n v="63600"/>
    <n v="21900"/>
    <n v="3000"/>
  </r>
  <r>
    <n v="13367"/>
    <n v="13368"/>
    <x v="1"/>
    <s v="NJ-00033"/>
    <s v="WEST LONG BRANCH"/>
    <n v="7764"/>
    <s v="MONMOUTH"/>
    <s v="NJ"/>
    <n v="0"/>
    <n v="0"/>
    <n v="0"/>
    <n v="78100"/>
    <n v="0"/>
    <n v="0"/>
  </r>
  <r>
    <n v="13367"/>
    <n v="13368"/>
    <x v="1"/>
    <s v="NJ-00033"/>
    <s v="WEST NEW YORK"/>
    <n v="7093"/>
    <s v="HUDSON"/>
    <s v="NJ"/>
    <n v="203817"/>
    <n v="38085"/>
    <n v="165732"/>
    <n v="0"/>
    <n v="0"/>
    <n v="0"/>
  </r>
  <r>
    <n v="13367"/>
    <n v="13368"/>
    <x v="1"/>
    <s v="NJ-00033"/>
    <s v="WEST ORANGE"/>
    <n v="7052"/>
    <s v="ESSEX"/>
    <s v="NJ"/>
    <n v="148356"/>
    <n v="55506"/>
    <n v="92850"/>
    <n v="1800"/>
    <n v="0"/>
    <n v="0"/>
  </r>
  <r>
    <n v="13367"/>
    <n v="13368"/>
    <x v="1"/>
    <s v="NJ-00033"/>
    <s v="WEST WILDWOOD"/>
    <n v="8260"/>
    <s v="CAPE MAY"/>
    <s v="NJ"/>
    <n v="940213"/>
    <n v="918693"/>
    <n v="21520"/>
    <n v="121700"/>
    <n v="109500"/>
    <n v="4200"/>
  </r>
  <r>
    <n v="13367"/>
    <n v="13368"/>
    <x v="1"/>
    <s v="NJ-00033"/>
    <s v="WESTFIELD"/>
    <n v="7090"/>
    <s v="UNION"/>
    <s v="NJ"/>
    <n v="109100"/>
    <n v="109100"/>
    <n v="0"/>
    <n v="0"/>
    <n v="0"/>
    <n v="0"/>
  </r>
  <r>
    <n v="13367"/>
    <n v="13368"/>
    <x v="1"/>
    <s v="NJ-00033"/>
    <s v="WHITING"/>
    <n v="8759"/>
    <s v="OCEAN"/>
    <s v="NJ"/>
    <n v="8870"/>
    <n v="8870"/>
    <n v="0"/>
    <n v="8900"/>
    <n v="8900"/>
    <n v="0"/>
  </r>
  <r>
    <n v="13367"/>
    <n v="13368"/>
    <x v="1"/>
    <s v="NJ-00033"/>
    <s v="WILDWOOD"/>
    <n v="8260"/>
    <s v="ATLANTIC"/>
    <s v="NJ"/>
    <n v="3045"/>
    <n v="545"/>
    <n v="2500"/>
    <n v="0"/>
    <n v="0"/>
    <n v="0"/>
  </r>
  <r>
    <n v="13367"/>
    <n v="13368"/>
    <x v="1"/>
    <s v="NJ-00033"/>
    <s v="WILDWOOD"/>
    <n v="8260"/>
    <s v="CAPE MAY"/>
    <s v="NJ"/>
    <n v="2871658"/>
    <n v="2219485"/>
    <n v="652173"/>
    <n v="1032000"/>
    <n v="551200"/>
    <n v="407700"/>
  </r>
  <r>
    <n v="13367"/>
    <n v="13368"/>
    <x v="1"/>
    <s v="NJ-00033"/>
    <s v="WILDWOOD CREST"/>
    <n v="8260"/>
    <s v="CAPE MAY"/>
    <s v="NJ"/>
    <n v="424300"/>
    <n v="364455"/>
    <n v="59845"/>
    <n v="377100"/>
    <n v="317300"/>
    <n v="59800"/>
  </r>
  <r>
    <n v="13367"/>
    <n v="13368"/>
    <x v="1"/>
    <s v="NJ-00033"/>
    <s v="WILLINGBORO"/>
    <n v="8060"/>
    <s v="BURLINGTON"/>
    <s v="NJ"/>
    <n v="7132"/>
    <n v="7132"/>
    <n v="0"/>
    <n v="0"/>
    <n v="0"/>
    <n v="0"/>
  </r>
  <r>
    <n v="13367"/>
    <n v="13368"/>
    <x v="1"/>
    <s v="NJ-00033"/>
    <s v="WOOD RIDGE"/>
    <n v="7075"/>
    <s v="BERGEN"/>
    <s v="NJ"/>
    <n v="31001"/>
    <n v="31001"/>
    <n v="0"/>
    <n v="39200"/>
    <n v="24800"/>
    <n v="0"/>
  </r>
  <r>
    <n v="13367"/>
    <n v="13368"/>
    <x v="1"/>
    <s v="NJ-00033"/>
    <s v="WOODBRIDGE"/>
    <n v="7095"/>
    <s v="MIDDLESEX"/>
    <s v="NJ"/>
    <n v="196339"/>
    <n v="18505"/>
    <n v="177834"/>
    <n v="13900"/>
    <n v="13900"/>
    <n v="0"/>
  </r>
  <r>
    <n v="13367"/>
    <n v="13368"/>
    <x v="1"/>
    <s v="NJ-00033"/>
    <s v="WOODBRIDGE"/>
    <n v="8861"/>
    <s v="MIDDLESEX"/>
    <s v="NJ"/>
    <n v="872430"/>
    <n v="27930"/>
    <n v="844500"/>
    <n v="0"/>
    <n v="0"/>
    <n v="0"/>
  </r>
  <r>
    <n v="13367"/>
    <n v="13368"/>
    <x v="1"/>
    <s v="NJ-00033"/>
    <s v="WOODLAND PARK"/>
    <n v="7424"/>
    <s v="PASSAIC"/>
    <s v="NJ"/>
    <n v="9107"/>
    <n v="9107"/>
    <n v="0"/>
    <n v="0"/>
    <n v="0"/>
    <n v="0"/>
  </r>
  <r>
    <n v="13367"/>
    <n v="13368"/>
    <x v="1"/>
    <s v="NJ-00033"/>
    <s v="WYCKOFF"/>
    <n v="7481"/>
    <s v="BERGEN"/>
    <s v="NJ"/>
    <n v="564962"/>
    <n v="464762"/>
    <n v="100200"/>
    <n v="67600"/>
    <n v="18800"/>
    <n v="0"/>
  </r>
  <r>
    <n v="13369"/>
    <n v="13370"/>
    <x v="2"/>
    <s v="CT-00028"/>
    <s v="BRANFORD"/>
    <n v="6405"/>
    <s v="NEW HAVEN"/>
    <s v="CT"/>
    <n v="921037"/>
    <n v="186057"/>
    <n v="734980"/>
    <n v="83800"/>
    <n v="62200"/>
    <n v="8400"/>
  </r>
  <r>
    <n v="13369"/>
    <n v="13370"/>
    <x v="2"/>
    <s v="CT-00028"/>
    <s v="BRIDGEPORT"/>
    <n v="6604"/>
    <s v="FAIRFIELD"/>
    <s v="CT"/>
    <n v="314068"/>
    <n v="213276"/>
    <n v="100792"/>
    <n v="123100"/>
    <n v="67000"/>
    <n v="52700"/>
  </r>
  <r>
    <n v="13369"/>
    <n v="13370"/>
    <x v="2"/>
    <s v="CT-00028"/>
    <s v="BRIDGEPORT"/>
    <n v="6605"/>
    <s v="FAIRFIELD"/>
    <s v="CT"/>
    <n v="517078"/>
    <n v="421976"/>
    <n v="95102"/>
    <n v="181400"/>
    <n v="154600"/>
    <n v="3400"/>
  </r>
  <r>
    <n v="13369"/>
    <n v="13370"/>
    <x v="2"/>
    <s v="CT-00028"/>
    <s v="BRIDGEPORT"/>
    <n v="6606"/>
    <s v="FAIRFIELD"/>
    <s v="CT"/>
    <n v="32386"/>
    <n v="28991"/>
    <n v="3395"/>
    <n v="28900"/>
    <n v="23900"/>
    <n v="0"/>
  </r>
  <r>
    <n v="13369"/>
    <n v="13370"/>
    <x v="2"/>
    <s v="CT-00028"/>
    <s v="BRIDGEPORT"/>
    <n v="6607"/>
    <s v="FAIRFIELD"/>
    <s v="CT"/>
    <n v="1474373"/>
    <n v="99909"/>
    <n v="1374464"/>
    <n v="29700"/>
    <n v="29700"/>
    <n v="0"/>
  </r>
  <r>
    <n v="13369"/>
    <n v="13370"/>
    <x v="2"/>
    <s v="CT-00028"/>
    <s v="BRIDGEPORT"/>
    <n v="6608"/>
    <s v="FAIRFIELD"/>
    <s v="CT"/>
    <n v="137644"/>
    <n v="137644"/>
    <n v="0"/>
    <n v="0"/>
    <n v="0"/>
    <n v="0"/>
  </r>
  <r>
    <n v="13369"/>
    <n v="13370"/>
    <x v="2"/>
    <s v="CT-00028"/>
    <s v="BRIDGEPORT"/>
    <n v="6610"/>
    <s v="FAIRFIELD"/>
    <s v="CT"/>
    <n v="3722"/>
    <n v="3722"/>
    <n v="0"/>
    <n v="11100"/>
    <n v="0"/>
    <n v="0"/>
  </r>
  <r>
    <n v="13369"/>
    <n v="13370"/>
    <x v="2"/>
    <s v="CT-00028"/>
    <s v="CLINTON"/>
    <n v="6413"/>
    <s v="MIDDLESEX"/>
    <s v="CT"/>
    <n v="210373"/>
    <n v="209773"/>
    <n v="600"/>
    <n v="58300"/>
    <n v="58300"/>
    <n v="0"/>
  </r>
  <r>
    <n v="13369"/>
    <n v="13370"/>
    <x v="2"/>
    <s v="CT-00028"/>
    <s v="COS COB"/>
    <n v="6807"/>
    <s v="FAIRFIELD"/>
    <s v="CT"/>
    <n v="169991"/>
    <n v="163141"/>
    <n v="6850"/>
    <n v="0"/>
    <n v="0"/>
    <n v="0"/>
  </r>
  <r>
    <n v="13369"/>
    <n v="13370"/>
    <x v="2"/>
    <s v="CT-00028"/>
    <s v="CROSS RIVER"/>
    <n v="10518"/>
    <s v="WESTCHESTER"/>
    <s v="NY"/>
    <n v="0"/>
    <n v="0"/>
    <n v="0"/>
    <n v="85800"/>
    <n v="0"/>
    <n v="0"/>
  </r>
  <r>
    <n v="13369"/>
    <n v="13370"/>
    <x v="2"/>
    <s v="CT-00028"/>
    <s v="DANBURY"/>
    <n v="6810"/>
    <s v="FAIRFIELD"/>
    <s v="CT"/>
    <n v="47475"/>
    <n v="30460"/>
    <n v="17015"/>
    <n v="0"/>
    <n v="0"/>
    <n v="0"/>
  </r>
  <r>
    <n v="13369"/>
    <n v="13370"/>
    <x v="2"/>
    <s v="CT-00028"/>
    <s v="DARIEN"/>
    <n v="6820"/>
    <s v="FAIRFIELD"/>
    <s v="CT"/>
    <n v="810231"/>
    <n v="738041"/>
    <n v="72190"/>
    <n v="527900"/>
    <n v="486300"/>
    <n v="29100"/>
  </r>
  <r>
    <n v="13369"/>
    <n v="13370"/>
    <x v="2"/>
    <s v="CT-00028"/>
    <s v="DERBY"/>
    <n v="6418"/>
    <s v="NEW HAVEN"/>
    <s v="CT"/>
    <n v="5421"/>
    <n v="5421"/>
    <n v="0"/>
    <n v="5500"/>
    <n v="5500"/>
    <n v="0"/>
  </r>
  <r>
    <n v="13369"/>
    <n v="13370"/>
    <x v="2"/>
    <s v="CT-00028"/>
    <s v="EAST HAVEN"/>
    <n v="6512"/>
    <s v="NEW HAVEN"/>
    <s v="CT"/>
    <n v="293619"/>
    <n v="197045"/>
    <n v="96574"/>
    <n v="198000"/>
    <n v="59000"/>
    <n v="80000"/>
  </r>
  <r>
    <n v="13369"/>
    <n v="13370"/>
    <x v="2"/>
    <s v="CT-00028"/>
    <s v="ESSEX"/>
    <n v="6426"/>
    <s v="MIDDLESEX"/>
    <s v="CT"/>
    <n v="46128"/>
    <n v="36459"/>
    <n v="9669"/>
    <n v="0"/>
    <n v="0"/>
    <n v="0"/>
  </r>
  <r>
    <n v="13369"/>
    <n v="13370"/>
    <x v="2"/>
    <s v="CT-00028"/>
    <s v="FAIRFIELD"/>
    <n v="6824"/>
    <s v="FAIRFIELD"/>
    <s v="CT"/>
    <n v="4003328"/>
    <n v="3640653"/>
    <n v="362675"/>
    <n v="2930700"/>
    <n v="2433400"/>
    <n v="160000"/>
  </r>
  <r>
    <n v="13369"/>
    <n v="13370"/>
    <x v="2"/>
    <s v="CT-00028"/>
    <s v="GREENWICH"/>
    <n v="6830"/>
    <s v="FAIRFIELD"/>
    <s v="CT"/>
    <n v="34582"/>
    <n v="33582"/>
    <n v="1000"/>
    <n v="0"/>
    <n v="0"/>
    <n v="0"/>
  </r>
  <r>
    <n v="13369"/>
    <n v="13370"/>
    <x v="2"/>
    <s v="CT-00028"/>
    <s v="GROTON"/>
    <n v="6340"/>
    <s v="NEW LONDON"/>
    <s v="CT"/>
    <n v="317322"/>
    <n v="296472"/>
    <n v="20850"/>
    <n v="297900"/>
    <n v="280600"/>
    <n v="17300"/>
  </r>
  <r>
    <n v="13369"/>
    <n v="13370"/>
    <x v="2"/>
    <s v="CT-00028"/>
    <s v="HASTINGS ON HUDSON"/>
    <n v="10706"/>
    <s v="WESTCHESTER"/>
    <s v="NY"/>
    <n v="0"/>
    <n v="0"/>
    <n v="0"/>
    <n v="4400"/>
    <n v="0"/>
    <n v="0"/>
  </r>
  <r>
    <n v="13369"/>
    <n v="13370"/>
    <x v="2"/>
    <s v="CT-00028"/>
    <s v="IRVINGTON"/>
    <n v="10533"/>
    <s v="WESTCHESTER"/>
    <s v="NY"/>
    <n v="0"/>
    <n v="0"/>
    <n v="0"/>
    <n v="13900"/>
    <n v="0"/>
    <n v="0"/>
  </r>
  <r>
    <n v="13369"/>
    <n v="13370"/>
    <x v="2"/>
    <s v="CT-00028"/>
    <s v="LARCHMONT"/>
    <n v="10538"/>
    <s v="WESTCHESTER"/>
    <s v="NY"/>
    <n v="0"/>
    <n v="0"/>
    <n v="0"/>
    <n v="22700"/>
    <n v="0"/>
    <n v="0"/>
  </r>
  <r>
    <n v="13369"/>
    <n v="13370"/>
    <x v="2"/>
    <s v="CT-00028"/>
    <s v="MADISON"/>
    <n v="6443"/>
    <s v="NEW HAVEN"/>
    <s v="CT"/>
    <n v="352986"/>
    <n v="349786"/>
    <n v="3200"/>
    <n v="0"/>
    <n v="0"/>
    <n v="0"/>
  </r>
  <r>
    <n v="13369"/>
    <n v="13370"/>
    <x v="2"/>
    <s v="CT-00028"/>
    <s v="MIDDLETOWN"/>
    <n v="6459"/>
    <s v="MIDDLESEX"/>
    <s v="CT"/>
    <n v="110233"/>
    <n v="110233"/>
    <n v="0"/>
    <n v="0"/>
    <n v="0"/>
    <n v="0"/>
  </r>
  <r>
    <n v="13369"/>
    <n v="13370"/>
    <x v="2"/>
    <s v="CT-00028"/>
    <s v="MILFORD"/>
    <n v="6460"/>
    <s v="FAIRFIELD"/>
    <s v="CT"/>
    <n v="5749"/>
    <n v="0"/>
    <n v="5749"/>
    <n v="0"/>
    <n v="0"/>
    <n v="0"/>
  </r>
  <r>
    <n v="13369"/>
    <n v="13370"/>
    <x v="2"/>
    <s v="CT-00028"/>
    <s v="MILFORD"/>
    <n v="6460"/>
    <s v="NEW HAVEN"/>
    <s v="CT"/>
    <n v="2720362"/>
    <n v="2631344"/>
    <n v="89018"/>
    <n v="268300"/>
    <n v="233500"/>
    <n v="11600"/>
  </r>
  <r>
    <n v="13369"/>
    <n v="13370"/>
    <x v="2"/>
    <s v="CT-00028"/>
    <s v="MYSTIC"/>
    <n v="6355"/>
    <s v="NEW LONDON"/>
    <s v="CT"/>
    <n v="988781"/>
    <n v="959313"/>
    <n v="29468"/>
    <n v="48500"/>
    <n v="30700"/>
    <n v="12800"/>
  </r>
  <r>
    <n v="13369"/>
    <n v="13370"/>
    <x v="2"/>
    <s v="CT-00028"/>
    <s v="NEW CANAAN"/>
    <n v="6840"/>
    <s v="FAIRFIELD"/>
    <s v="CT"/>
    <n v="82375"/>
    <n v="7407"/>
    <n v="74968"/>
    <n v="181000"/>
    <n v="0"/>
    <n v="64400"/>
  </r>
  <r>
    <n v="13369"/>
    <n v="13370"/>
    <x v="2"/>
    <s v="CT-00028"/>
    <s v="NEW HAVEN"/>
    <n v="6510"/>
    <s v="FAIRFIELD"/>
    <s v="CT"/>
    <n v="0"/>
    <n v="0"/>
    <n v="0"/>
    <n v="132000"/>
    <n v="0"/>
    <n v="0"/>
  </r>
  <r>
    <n v="13369"/>
    <n v="13370"/>
    <x v="2"/>
    <s v="CT-00028"/>
    <s v="NEW HAVEN"/>
    <n v="6511"/>
    <s v="NEW HAVEN"/>
    <s v="CT"/>
    <n v="71639"/>
    <n v="71639"/>
    <n v="0"/>
    <n v="206000"/>
    <n v="55600"/>
    <n v="0"/>
  </r>
  <r>
    <n v="13369"/>
    <n v="13370"/>
    <x v="2"/>
    <s v="CT-00028"/>
    <s v="NEW HAVEN"/>
    <n v="6512"/>
    <s v="NEW HAVEN"/>
    <s v="CT"/>
    <n v="20713"/>
    <n v="0"/>
    <n v="20713"/>
    <n v="0"/>
    <n v="0"/>
    <n v="0"/>
  </r>
  <r>
    <n v="13369"/>
    <n v="13370"/>
    <x v="2"/>
    <s v="CT-00028"/>
    <s v="NEW HAVEN"/>
    <n v="6513"/>
    <s v="NEW HAVEN"/>
    <s v="CT"/>
    <n v="23680"/>
    <n v="23680"/>
    <n v="0"/>
    <n v="20800"/>
    <n v="20800"/>
    <n v="0"/>
  </r>
  <r>
    <n v="13369"/>
    <n v="13370"/>
    <x v="2"/>
    <s v="CT-00028"/>
    <s v="NEW HAVEN"/>
    <n v="6515"/>
    <s v="NEW HAVEN"/>
    <s v="CT"/>
    <n v="27763"/>
    <n v="27763"/>
    <n v="0"/>
    <n v="12100"/>
    <n v="12100"/>
    <n v="0"/>
  </r>
  <r>
    <n v="13369"/>
    <n v="13370"/>
    <x v="2"/>
    <s v="CT-00028"/>
    <s v="NEW HAVEN"/>
    <n v="6519"/>
    <s v="NEW HAVEN"/>
    <s v="CT"/>
    <n v="2128776"/>
    <n v="2104200"/>
    <n v="24576"/>
    <n v="2000000"/>
    <n v="1975400"/>
    <n v="24600"/>
  </r>
  <r>
    <n v="13369"/>
    <n v="13370"/>
    <x v="2"/>
    <s v="CT-00028"/>
    <s v="NEW LONDON"/>
    <n v="6320"/>
    <s v="NEW LONDON"/>
    <s v="CT"/>
    <n v="665500"/>
    <n v="566015"/>
    <n v="99485"/>
    <n v="257000"/>
    <n v="219500"/>
    <n v="3700"/>
  </r>
  <r>
    <n v="13369"/>
    <n v="13370"/>
    <x v="2"/>
    <s v="CT-00028"/>
    <s v="NIANTIC"/>
    <n v="6357"/>
    <s v="NEW LONDON"/>
    <s v="CT"/>
    <n v="193107"/>
    <n v="190532"/>
    <n v="2575"/>
    <n v="193100"/>
    <n v="190500"/>
    <n v="2600"/>
  </r>
  <r>
    <n v="13369"/>
    <n v="13370"/>
    <x v="2"/>
    <s v="CT-00028"/>
    <s v="NORWALK"/>
    <n v="6850"/>
    <s v="FAIRFIELD"/>
    <s v="CT"/>
    <n v="7568"/>
    <n v="7568"/>
    <n v="0"/>
    <n v="7600"/>
    <n v="7600"/>
    <n v="0"/>
  </r>
  <r>
    <n v="13369"/>
    <n v="13370"/>
    <x v="2"/>
    <s v="CT-00028"/>
    <s v="NORWALK"/>
    <n v="6853"/>
    <s v="FAIRFIELD"/>
    <s v="CT"/>
    <n v="223988"/>
    <n v="142943"/>
    <n v="81045"/>
    <n v="84000"/>
    <n v="74700"/>
    <n v="3200"/>
  </r>
  <r>
    <n v="13369"/>
    <n v="13370"/>
    <x v="2"/>
    <s v="CT-00028"/>
    <s v="NORWALK"/>
    <n v="6854"/>
    <s v="FAIRFIELD"/>
    <s v="CT"/>
    <n v="1656251"/>
    <n v="1421003"/>
    <n v="235248"/>
    <n v="947400"/>
    <n v="786800"/>
    <n v="145900"/>
  </r>
  <r>
    <n v="13369"/>
    <n v="13370"/>
    <x v="2"/>
    <s v="CT-00028"/>
    <s v="NORWALK"/>
    <n v="6855"/>
    <s v="FAIRFIELD"/>
    <s v="CT"/>
    <n v="65649"/>
    <n v="21706"/>
    <n v="43943"/>
    <n v="60700"/>
    <n v="21800"/>
    <n v="38900"/>
  </r>
  <r>
    <n v="13369"/>
    <n v="13370"/>
    <x v="2"/>
    <s v="CT-00028"/>
    <s v="NORWICH"/>
    <n v="6360"/>
    <s v="NEW LONDON"/>
    <s v="CT"/>
    <n v="116525"/>
    <n v="116525"/>
    <n v="0"/>
    <n v="0"/>
    <n v="0"/>
    <n v="0"/>
  </r>
  <r>
    <n v="13369"/>
    <n v="13370"/>
    <x v="2"/>
    <s v="CT-00028"/>
    <s v="OLD GREENWICH"/>
    <n v="6824"/>
    <s v="FAIRFIELD"/>
    <s v="CT"/>
    <n v="320726"/>
    <n v="314176"/>
    <n v="6550"/>
    <n v="297500"/>
    <n v="278100"/>
    <n v="6600"/>
  </r>
  <r>
    <n v="13369"/>
    <n v="13370"/>
    <x v="2"/>
    <s v="CT-00028"/>
    <s v="OLD GREENWICH"/>
    <n v="6870"/>
    <s v="FAIRFIELD"/>
    <s v="CT"/>
    <n v="463728"/>
    <n v="411653"/>
    <n v="52075"/>
    <n v="332700"/>
    <n v="224300"/>
    <n v="17300"/>
  </r>
  <r>
    <n v="13369"/>
    <n v="13370"/>
    <x v="2"/>
    <s v="CT-00028"/>
    <s v="OLD LYME"/>
    <n v="6371"/>
    <s v="NEW LONDON"/>
    <s v="CT"/>
    <n v="100739"/>
    <n v="88554"/>
    <n v="12185"/>
    <n v="0"/>
    <n v="0"/>
    <n v="0"/>
  </r>
  <r>
    <n v="13369"/>
    <n v="13370"/>
    <x v="2"/>
    <s v="CT-00028"/>
    <s v="OLD SAYBROOK"/>
    <n v="6475"/>
    <s v="MIDDLESEX"/>
    <s v="CT"/>
    <n v="2241425"/>
    <n v="2241425"/>
    <n v="0"/>
    <n v="9800"/>
    <n v="9800"/>
    <n v="0"/>
  </r>
  <r>
    <n v="13369"/>
    <n v="13370"/>
    <x v="2"/>
    <s v="CT-00028"/>
    <s v="PORT CHESTER"/>
    <n v="10573"/>
    <s v="WESTCHESTER"/>
    <s v="NY"/>
    <n v="0"/>
    <n v="0"/>
    <n v="0"/>
    <n v="5000"/>
    <n v="0"/>
    <n v="0"/>
  </r>
  <r>
    <n v="13369"/>
    <n v="13370"/>
    <x v="2"/>
    <s v="CT-00028"/>
    <s v="QUAKER HILL"/>
    <n v="6375"/>
    <s v="NEW LONDON"/>
    <s v="CT"/>
    <n v="75142"/>
    <n v="71942"/>
    <n v="3200"/>
    <n v="17200"/>
    <n v="14000"/>
    <n v="3200"/>
  </r>
  <r>
    <n v="13369"/>
    <n v="13370"/>
    <x v="2"/>
    <s v="CT-00028"/>
    <s v="ROWAYTON"/>
    <n v="6853"/>
    <s v="FAIRFIELD"/>
    <s v="CT"/>
    <n v="2935959"/>
    <n v="2732065"/>
    <n v="203894"/>
    <n v="1651400"/>
    <n v="1651400"/>
    <n v="0"/>
  </r>
  <r>
    <n v="13369"/>
    <n v="13370"/>
    <x v="2"/>
    <s v="CT-00028"/>
    <s v="SHELTON"/>
    <n v="6484"/>
    <s v="FAIRFIELD"/>
    <s v="CT"/>
    <n v="62495"/>
    <n v="13780"/>
    <n v="48715"/>
    <n v="11000"/>
    <n v="0"/>
    <n v="11000"/>
  </r>
  <r>
    <n v="13369"/>
    <n v="13370"/>
    <x v="2"/>
    <s v="CT-00028"/>
    <s v="SOUTH NORWALK"/>
    <n v="6854"/>
    <s v="FAIRFIELD"/>
    <s v="CT"/>
    <n v="481229"/>
    <n v="140377"/>
    <n v="340852"/>
    <n v="369900"/>
    <n v="1000"/>
    <n v="340900"/>
  </r>
  <r>
    <n v="13369"/>
    <n v="13370"/>
    <x v="2"/>
    <s v="CT-00028"/>
    <s v="SOUTH RIVER"/>
    <n v="8882"/>
    <s v="MIDDLESEX"/>
    <s v="NJ"/>
    <n v="22758"/>
    <n v="6713"/>
    <n v="16045"/>
    <n v="0"/>
    <n v="0"/>
    <n v="0"/>
  </r>
  <r>
    <n v="13369"/>
    <n v="13370"/>
    <x v="2"/>
    <s v="CT-00028"/>
    <s v="SOUTHPORT"/>
    <n v="6890"/>
    <s v="FAIRFIELD"/>
    <s v="CT"/>
    <n v="235424"/>
    <n v="221877"/>
    <n v="13547"/>
    <n v="0"/>
    <n v="0"/>
    <n v="0"/>
  </r>
  <r>
    <n v="13369"/>
    <n v="13370"/>
    <x v="2"/>
    <s v="CT-00028"/>
    <s v="STAMFORD"/>
    <n v="6902"/>
    <s v="FAIRFIELD"/>
    <s v="CT"/>
    <n v="221097"/>
    <n v="202287"/>
    <n v="18810"/>
    <n v="74300"/>
    <n v="68300"/>
    <n v="6000"/>
  </r>
  <r>
    <n v="13369"/>
    <n v="13370"/>
    <x v="2"/>
    <s v="CT-00028"/>
    <s v="STAMFORD"/>
    <n v="6903"/>
    <s v="FAIRFIELD"/>
    <s v="CT"/>
    <n v="20617"/>
    <n v="20617"/>
    <n v="0"/>
    <n v="0"/>
    <n v="0"/>
    <n v="0"/>
  </r>
  <r>
    <n v="13369"/>
    <n v="13370"/>
    <x v="2"/>
    <s v="CT-00028"/>
    <s v="STAMFORD"/>
    <n v="6906"/>
    <s v="FAIRFIELD"/>
    <s v="CT"/>
    <n v="121538"/>
    <n v="118338"/>
    <n v="3200"/>
    <n v="0"/>
    <n v="0"/>
    <n v="0"/>
  </r>
  <r>
    <n v="13369"/>
    <n v="13370"/>
    <x v="2"/>
    <s v="CT-00028"/>
    <s v="STRATFORD"/>
    <n v="6614"/>
    <s v="FAIRFIELD"/>
    <s v="CT"/>
    <n v="10027"/>
    <n v="10027"/>
    <n v="0"/>
    <n v="14500"/>
    <n v="10100"/>
    <n v="0"/>
  </r>
  <r>
    <n v="13369"/>
    <n v="13370"/>
    <x v="2"/>
    <s v="CT-00028"/>
    <s v="STRATFORD"/>
    <n v="6615"/>
    <s v="FAIRFIELD"/>
    <s v="CT"/>
    <n v="745056"/>
    <n v="642581"/>
    <n v="102475"/>
    <n v="271000"/>
    <n v="143800"/>
    <n v="15600"/>
  </r>
  <r>
    <n v="13369"/>
    <n v="13370"/>
    <x v="2"/>
    <s v="CT-00028"/>
    <s v="STRATFORD"/>
    <n v="6614"/>
    <s v="NEW HAVEN"/>
    <s v="CT"/>
    <n v="72474"/>
    <n v="72474"/>
    <n v="0"/>
    <n v="76500"/>
    <n v="72500"/>
    <n v="0"/>
  </r>
  <r>
    <n v="13369"/>
    <n v="13370"/>
    <x v="2"/>
    <s v="CT-00028"/>
    <s v="WATERBURY"/>
    <n v="6705"/>
    <s v="NEW HAVEN"/>
    <s v="CT"/>
    <n v="16535"/>
    <n v="16535"/>
    <n v="0"/>
    <n v="0"/>
    <n v="0"/>
    <n v="0"/>
  </r>
  <r>
    <n v="13369"/>
    <n v="13370"/>
    <x v="2"/>
    <s v="CT-00028"/>
    <s v="WATERBURY"/>
    <n v="6710"/>
    <s v="NEW HAVEN"/>
    <s v="CT"/>
    <n v="59312"/>
    <n v="59312"/>
    <n v="0"/>
    <n v="0"/>
    <n v="0"/>
    <n v="0"/>
  </r>
  <r>
    <n v="13369"/>
    <n v="13370"/>
    <x v="2"/>
    <s v="CT-00028"/>
    <s v="WEST HAVEN"/>
    <n v="6516"/>
    <s v="NEW HAVEN"/>
    <s v="CT"/>
    <n v="1181920"/>
    <n v="1165070"/>
    <n v="16850"/>
    <n v="1144900"/>
    <n v="1129300"/>
    <n v="15600"/>
  </r>
  <r>
    <n v="13369"/>
    <n v="13370"/>
    <x v="2"/>
    <s v="CT-00028"/>
    <s v="WEST MYSTIC"/>
    <n v="6388"/>
    <s v="NEW LONDON"/>
    <s v="CT"/>
    <n v="72199"/>
    <n v="69436"/>
    <n v="2763"/>
    <n v="78000"/>
    <n v="69500"/>
    <n v="2700"/>
  </r>
  <r>
    <n v="13369"/>
    <n v="13370"/>
    <x v="2"/>
    <s v="CT-00028"/>
    <s v="WESTBROOK"/>
    <n v="6498"/>
    <s v="MIDDLESEX"/>
    <s v="CT"/>
    <n v="338916"/>
    <n v="297130"/>
    <n v="41786"/>
    <n v="170800"/>
    <n v="135800"/>
    <n v="32800"/>
  </r>
  <r>
    <n v="13369"/>
    <n v="13370"/>
    <x v="2"/>
    <s v="CT-00028"/>
    <s v="WESTPORT"/>
    <n v="6880"/>
    <s v="FAIRFIELD"/>
    <s v="CT"/>
    <n v="1662008"/>
    <n v="1540708"/>
    <n v="121300"/>
    <n v="191700"/>
    <n v="129900"/>
    <n v="0"/>
  </r>
  <r>
    <n v="13369"/>
    <n v="13370"/>
    <x v="2"/>
    <s v="CT-00028"/>
    <s v="WILTON"/>
    <n v="6897"/>
    <s v="FAIRFIELD"/>
    <s v="CT"/>
    <n v="156366"/>
    <n v="156366"/>
    <n v="0"/>
    <n v="0"/>
    <n v="0"/>
    <n v="0"/>
  </r>
  <r>
    <n v="13387"/>
    <n v="13388"/>
    <x v="3"/>
    <s v="RI-00010"/>
    <s v="CHARLESTOWN"/>
    <n v="2813"/>
    <s v="WASHINGTON"/>
    <s v="RI"/>
    <n v="99767"/>
    <n v="99767"/>
    <n v="0"/>
    <n v="0"/>
    <n v="0"/>
    <n v="0"/>
  </r>
  <r>
    <n v="13387"/>
    <n v="13388"/>
    <x v="3"/>
    <s v="RI-00010"/>
    <s v="NARRAGANSETT"/>
    <n v="2882"/>
    <s v="NEWPORT"/>
    <s v="RI"/>
    <n v="80425"/>
    <n v="42947"/>
    <n v="37478"/>
    <n v="105600"/>
    <n v="33000"/>
    <n v="24500"/>
  </r>
  <r>
    <n v="13387"/>
    <n v="13388"/>
    <x v="3"/>
    <s v="RI-00010"/>
    <s v="NARRAGANSETT"/>
    <n v="2882"/>
    <s v="WASHINGTON"/>
    <s v="RI"/>
    <n v="1263026"/>
    <n v="847164"/>
    <n v="415862"/>
    <n v="1072700"/>
    <n v="190300"/>
    <n v="287000"/>
  </r>
  <r>
    <n v="13387"/>
    <n v="13388"/>
    <x v="3"/>
    <s v="RI-00010"/>
    <s v="NEWPORT"/>
    <n v="2840"/>
    <s v="NEWPORT"/>
    <s v="RI"/>
    <n v="159073"/>
    <n v="159073"/>
    <n v="0"/>
    <n v="10000"/>
    <n v="10000"/>
    <n v="0"/>
  </r>
  <r>
    <n v="13387"/>
    <n v="13388"/>
    <x v="3"/>
    <s v="RI-00010"/>
    <s v="SOUTH KINGSTOWN"/>
    <n v="2879"/>
    <s v="WASHINGTON"/>
    <s v="RI"/>
    <n v="158291"/>
    <n v="142435"/>
    <n v="15856"/>
    <n v="0"/>
    <n v="0"/>
    <n v="0"/>
  </r>
  <r>
    <n v="13387"/>
    <n v="13388"/>
    <x v="3"/>
    <s v="RI-00010"/>
    <s v="WAKEFIELD"/>
    <n v="2879"/>
    <s v="WASHINGTON"/>
    <s v="RI"/>
    <n v="152670"/>
    <n v="146380"/>
    <n v="6290"/>
    <n v="45000"/>
    <n v="45000"/>
    <n v="0"/>
  </r>
  <r>
    <n v="13387"/>
    <n v="13388"/>
    <x v="3"/>
    <s v="RI-00010"/>
    <s v="WESTERLY"/>
    <n v="2891"/>
    <s v="WASHINGTON"/>
    <s v="RI"/>
    <n v="1681619"/>
    <n v="1543205"/>
    <n v="138414"/>
    <n v="177900"/>
    <n v="88900"/>
    <n v="56500"/>
  </r>
  <r>
    <n v="13425"/>
    <n v="13426"/>
    <x v="4"/>
    <s v="MD-00024"/>
    <s v="CRISFIELD"/>
    <n v="21817"/>
    <s v="SOMERSET"/>
    <s v="MD"/>
    <n v="2978531"/>
    <n v="1845791"/>
    <n v="1132740"/>
    <n v="542700"/>
    <n v="306700"/>
    <n v="192700"/>
  </r>
  <r>
    <n v="13425"/>
    <n v="13426"/>
    <x v="4"/>
    <s v="MD-00024"/>
    <s v="CRISFIELD"/>
    <n v="91618"/>
    <s v="SOMERSET"/>
    <s v="MD"/>
    <n v="3500"/>
    <n v="0"/>
    <n v="3500"/>
    <n v="0"/>
    <n v="0"/>
    <n v="0"/>
  </r>
  <r>
    <n v="13425"/>
    <n v="13426"/>
    <x v="4"/>
    <s v="MD-00024"/>
    <s v="DEAL ISLAND"/>
    <n v="21821"/>
    <s v="SOMERSET"/>
    <s v="MD"/>
    <n v="25664"/>
    <n v="25664"/>
    <n v="0"/>
    <n v="0"/>
    <n v="0"/>
    <n v="0"/>
  </r>
  <r>
    <n v="13425"/>
    <n v="13426"/>
    <x v="4"/>
    <s v="MD-00024"/>
    <s v="EWELL"/>
    <n v="21824"/>
    <s v="SOMERSET"/>
    <s v="MD"/>
    <n v="598285"/>
    <n v="462415"/>
    <n v="135870"/>
    <n v="90700"/>
    <n v="19100"/>
    <n v="39100"/>
  </r>
  <r>
    <n v="13425"/>
    <n v="13426"/>
    <x v="4"/>
    <s v="MD-00024"/>
    <s v="MARION STATION"/>
    <n v="21838"/>
    <s v="SOMERSET"/>
    <s v="MD"/>
    <n v="42983"/>
    <n v="27433"/>
    <n v="15550"/>
    <n v="0"/>
    <n v="0"/>
    <n v="0"/>
  </r>
  <r>
    <n v="13425"/>
    <n v="13426"/>
    <x v="4"/>
    <s v="MD-00024"/>
    <s v="POCOMOKE CITY"/>
    <n v="21851"/>
    <s v="SOMERSET"/>
    <s v="MD"/>
    <n v="130283"/>
    <n v="79118"/>
    <n v="51165"/>
    <n v="0"/>
    <n v="0"/>
    <n v="0"/>
  </r>
  <r>
    <n v="13425"/>
    <n v="13426"/>
    <x v="4"/>
    <s v="MD-00024"/>
    <s v="TYLERTON"/>
    <n v="21866"/>
    <s v="SOMERSET"/>
    <s v="MD"/>
    <n v="29318"/>
    <n v="28118"/>
    <n v="1200"/>
    <n v="29400"/>
    <n v="28200"/>
    <n v="1200"/>
  </r>
  <r>
    <n v="13425"/>
    <n v="13426"/>
    <x v="4"/>
    <s v="MD-00024"/>
    <s v="WESTOER"/>
    <n v="21871"/>
    <s v="SOMERSET"/>
    <s v="MD"/>
    <n v="20707"/>
    <n v="20707"/>
    <n v="0"/>
    <n v="0"/>
    <n v="0"/>
    <n v="0"/>
  </r>
  <r>
    <n v="13425"/>
    <n v="13426"/>
    <x v="4"/>
    <s v="MD-00024"/>
    <s v="WESTOVER"/>
    <n v="21871"/>
    <s v="SOMERSET"/>
    <s v="MD"/>
    <n v="296446"/>
    <n v="179928"/>
    <n v="116518"/>
    <n v="174000"/>
    <n v="89600"/>
    <n v="84400"/>
  </r>
  <r>
    <n v="13492"/>
    <n v="13493"/>
    <x v="5"/>
    <s v="MS-00064"/>
    <s v="HATTIESBURG"/>
    <n v="39401"/>
    <s v="FORREST"/>
    <s v="MS"/>
    <n v="3483953"/>
    <n v="2962339"/>
    <n v="521614"/>
    <n v="1142100"/>
    <n v="789800"/>
    <n v="352300"/>
  </r>
  <r>
    <n v="13492"/>
    <n v="13493"/>
    <x v="5"/>
    <s v="MS-00064"/>
    <s v="HATTIESBURG"/>
    <n v="39402"/>
    <s v="FORREST"/>
    <s v="MS"/>
    <n v="278990"/>
    <n v="0"/>
    <n v="278990"/>
    <n v="0"/>
    <n v="0"/>
    <n v="0"/>
  </r>
  <r>
    <n v="13492"/>
    <n v="13493"/>
    <x v="5"/>
    <s v="MS-00064"/>
    <s v="HATTIESBURG"/>
    <n v="39402"/>
    <s v="LAMAR"/>
    <s v="MS"/>
    <n v="244261"/>
    <n v="241831"/>
    <n v="2430"/>
    <n v="0"/>
    <n v="0"/>
    <n v="0"/>
  </r>
  <r>
    <n v="13492"/>
    <n v="13493"/>
    <x v="5"/>
    <s v="MS-00064"/>
    <s v="PETAL"/>
    <n v="39465"/>
    <s v="FORREST"/>
    <s v="MS"/>
    <n v="1348923"/>
    <n v="1123249"/>
    <n v="225674"/>
    <n v="0"/>
    <n v="0"/>
    <n v="0"/>
  </r>
  <r>
    <n v="13492"/>
    <n v="13493"/>
    <x v="5"/>
    <s v="MS-00064"/>
    <s v="PRENTISS"/>
    <n v="39474"/>
    <s v="JEFFERSON DAVIS"/>
    <s v="MS"/>
    <n v="66410"/>
    <n v="66410"/>
    <n v="0"/>
    <n v="24800"/>
    <n v="24800"/>
    <n v="0"/>
  </r>
  <r>
    <n v="13492"/>
    <n v="13493"/>
    <x v="5"/>
    <s v="MS-00064"/>
    <s v="WAYNESBORO"/>
    <n v="39367"/>
    <s v="WAYNE"/>
    <s v="MS"/>
    <n v="23902"/>
    <n v="20652"/>
    <n v="3250"/>
    <n v="24000"/>
    <n v="20700"/>
    <n v="3300"/>
  </r>
  <r>
    <n v="13579"/>
    <n v="13580"/>
    <x v="6"/>
    <s v="IL-00041"/>
    <s v="ADDISON"/>
    <n v="60101"/>
    <s v="DUPAGE"/>
    <s v="IL"/>
    <n v="12612"/>
    <n v="0"/>
    <n v="12612"/>
    <n v="0"/>
    <n v="0"/>
    <n v="0"/>
  </r>
  <r>
    <n v="13579"/>
    <n v="13580"/>
    <x v="6"/>
    <s v="IL-00041"/>
    <s v="ANTIOCH"/>
    <n v="60002"/>
    <s v="LAKE"/>
    <s v="IL"/>
    <n v="94473"/>
    <n v="94473"/>
    <n v="0"/>
    <n v="0"/>
    <n v="0"/>
    <n v="0"/>
  </r>
  <r>
    <n v="13579"/>
    <n v="13580"/>
    <x v="6"/>
    <s v="IL-00041"/>
    <s v="ATKINSON"/>
    <n v="61235"/>
    <s v="HENRY"/>
    <s v="IL"/>
    <n v="2190"/>
    <n v="0"/>
    <n v="2190"/>
    <n v="2200"/>
    <n v="0"/>
    <n v="2200"/>
  </r>
  <r>
    <n v="13579"/>
    <n v="13580"/>
    <x v="6"/>
    <s v="IL-00041"/>
    <s v="AURORA"/>
    <n v="60504"/>
    <s v="DUPAGE"/>
    <s v="IL"/>
    <n v="14280"/>
    <n v="14280"/>
    <n v="0"/>
    <n v="14000"/>
    <n v="14000"/>
    <n v="0"/>
  </r>
  <r>
    <n v="13579"/>
    <n v="13580"/>
    <x v="6"/>
    <s v="IL-00041"/>
    <s v="AURORA"/>
    <n v="60506"/>
    <s v="KANE"/>
    <s v="IL"/>
    <n v="12155"/>
    <n v="9355"/>
    <n v="2800"/>
    <n v="10200"/>
    <n v="9400"/>
    <n v="800"/>
  </r>
  <r>
    <n v="13579"/>
    <n v="13580"/>
    <x v="6"/>
    <s v="IL-00041"/>
    <s v="BARTONVILLE"/>
    <n v="61607"/>
    <s v="PEORIA"/>
    <s v="IL"/>
    <n v="151201"/>
    <n v="151201"/>
    <n v="0"/>
    <n v="0"/>
    <n v="0"/>
    <n v="0"/>
  </r>
  <r>
    <n v="13579"/>
    <n v="13580"/>
    <x v="6"/>
    <s v="IL-00041"/>
    <s v="BATAVIA"/>
    <n v="60510"/>
    <s v="KANE"/>
    <s v="IL"/>
    <n v="29188"/>
    <n v="29188"/>
    <n v="0"/>
    <n v="14000"/>
    <n v="14000"/>
    <n v="0"/>
  </r>
  <r>
    <n v="13579"/>
    <n v="13580"/>
    <x v="6"/>
    <s v="IL-00041"/>
    <s v="BATCHTOWN"/>
    <n v="62006"/>
    <s v="CALHOUN"/>
    <s v="IL"/>
    <n v="0"/>
    <n v="0"/>
    <n v="0"/>
    <n v="75600"/>
    <n v="0"/>
    <n v="0"/>
  </r>
  <r>
    <n v="13579"/>
    <n v="13580"/>
    <x v="6"/>
    <s v="IL-00041"/>
    <s v="BEACH PARK"/>
    <n v="60087"/>
    <s v="LAKE"/>
    <s v="IL"/>
    <n v="23538"/>
    <n v="21038"/>
    <n v="2500"/>
    <n v="0"/>
    <n v="0"/>
    <n v="0"/>
  </r>
  <r>
    <n v="13579"/>
    <n v="13580"/>
    <x v="6"/>
    <s v="IL-00041"/>
    <s v="BELLWOOD"/>
    <n v="60104"/>
    <s v="COOK"/>
    <s v="IL"/>
    <n v="89058"/>
    <n v="71388"/>
    <n v="17670"/>
    <n v="22900"/>
    <n v="14400"/>
    <n v="8500"/>
  </r>
  <r>
    <n v="13579"/>
    <n v="13580"/>
    <x v="6"/>
    <s v="IL-00041"/>
    <s v="BERKELEY"/>
    <n v="60163"/>
    <s v="COOK"/>
    <s v="IL"/>
    <n v="20360"/>
    <n v="20360"/>
    <n v="0"/>
    <n v="20400"/>
    <n v="20400"/>
    <n v="0"/>
  </r>
  <r>
    <n v="13579"/>
    <n v="13580"/>
    <x v="6"/>
    <s v="IL-00041"/>
    <s v="BOLINGBROOK"/>
    <n v="60440"/>
    <s v="WILL"/>
    <s v="IL"/>
    <n v="436387"/>
    <n v="4067"/>
    <n v="432320"/>
    <n v="0"/>
    <n v="0"/>
    <n v="0"/>
  </r>
  <r>
    <n v="13579"/>
    <n v="13580"/>
    <x v="6"/>
    <s v="IL-00041"/>
    <s v="BOLINGBROOK"/>
    <n v="60490"/>
    <s v="WILL"/>
    <s v="IL"/>
    <n v="2156"/>
    <n v="1156"/>
    <n v="1000"/>
    <n v="0"/>
    <n v="0"/>
    <n v="0"/>
  </r>
  <r>
    <n v="13579"/>
    <n v="13580"/>
    <x v="6"/>
    <s v="IL-00041"/>
    <s v="BROADVIEW"/>
    <n v="60155"/>
    <s v="COOK"/>
    <s v="IL"/>
    <n v="44943"/>
    <n v="42968"/>
    <n v="1975"/>
    <n v="42600"/>
    <n v="41200"/>
    <n v="1400"/>
  </r>
  <r>
    <n v="13579"/>
    <n v="13580"/>
    <x v="6"/>
    <s v="IL-00041"/>
    <s v="BROOKFIELD"/>
    <n v="60513"/>
    <s v="COOK"/>
    <s v="IL"/>
    <n v="39913"/>
    <n v="22683"/>
    <n v="17230"/>
    <n v="39500"/>
    <n v="22700"/>
    <n v="16800"/>
  </r>
  <r>
    <n v="13579"/>
    <n v="13580"/>
    <x v="6"/>
    <s v="IL-00041"/>
    <s v="CALUMET CITY"/>
    <n v="60409"/>
    <s v="COOK"/>
    <s v="IL"/>
    <n v="308377"/>
    <n v="222476"/>
    <n v="85901"/>
    <n v="70600"/>
    <n v="21400"/>
    <n v="49200"/>
  </r>
  <r>
    <n v="13579"/>
    <n v="13580"/>
    <x v="6"/>
    <s v="IL-00041"/>
    <s v="CALUMET PARK"/>
    <n v="60827"/>
    <s v="COOK"/>
    <s v="IL"/>
    <n v="54569"/>
    <n v="43723"/>
    <n v="10846"/>
    <n v="27600"/>
    <n v="18900"/>
    <n v="8700"/>
  </r>
  <r>
    <n v="13579"/>
    <n v="13580"/>
    <x v="6"/>
    <s v="IL-00041"/>
    <s v="CEDAR POINT"/>
    <n v="61316"/>
    <s v="LA SALLE"/>
    <s v="IL"/>
    <n v="141788"/>
    <n v="136988"/>
    <n v="4800"/>
    <n v="296800"/>
    <n v="137000"/>
    <n v="4800"/>
  </r>
  <r>
    <n v="13579"/>
    <n v="13580"/>
    <x v="6"/>
    <s v="IL-00041"/>
    <s v="CHICAGO"/>
    <n v="60609"/>
    <s v="COOK"/>
    <s v="IL"/>
    <n v="6109"/>
    <n v="2219"/>
    <n v="3890"/>
    <n v="0"/>
    <n v="0"/>
    <n v="0"/>
  </r>
  <r>
    <n v="13579"/>
    <n v="13580"/>
    <x v="6"/>
    <s v="IL-00041"/>
    <s v="CHICAGO"/>
    <n v="60612"/>
    <s v="COOK"/>
    <s v="IL"/>
    <n v="57134"/>
    <n v="54234"/>
    <n v="2900"/>
    <n v="25000"/>
    <n v="25000"/>
    <n v="0"/>
  </r>
  <r>
    <n v="13579"/>
    <n v="13580"/>
    <x v="6"/>
    <s v="IL-00041"/>
    <s v="CHICAGO"/>
    <n v="60613"/>
    <s v="COOK"/>
    <s v="IL"/>
    <n v="16325"/>
    <n v="16325"/>
    <n v="0"/>
    <n v="0"/>
    <n v="0"/>
    <n v="0"/>
  </r>
  <r>
    <n v="13579"/>
    <n v="13580"/>
    <x v="6"/>
    <s v="IL-00041"/>
    <s v="CHICAGO"/>
    <n v="60615"/>
    <s v="COOK"/>
    <s v="IL"/>
    <n v="83273"/>
    <n v="82873"/>
    <n v="400"/>
    <n v="41500"/>
    <n v="41500"/>
    <n v="0"/>
  </r>
  <r>
    <n v="13579"/>
    <n v="13580"/>
    <x v="6"/>
    <s v="IL-00041"/>
    <s v="CHICAGO"/>
    <n v="60617"/>
    <s v="COOK"/>
    <s v="IL"/>
    <n v="325594"/>
    <n v="317314"/>
    <n v="8280"/>
    <n v="187800"/>
    <n v="183800"/>
    <n v="4000"/>
  </r>
  <r>
    <n v="13579"/>
    <n v="13580"/>
    <x v="6"/>
    <s v="IL-00041"/>
    <s v="CHICAGO"/>
    <n v="60618"/>
    <s v="COOK"/>
    <s v="IL"/>
    <n v="68573"/>
    <n v="51279"/>
    <n v="17294"/>
    <n v="14000"/>
    <n v="8600"/>
    <n v="5400"/>
  </r>
  <r>
    <n v="13579"/>
    <n v="13580"/>
    <x v="6"/>
    <s v="IL-00041"/>
    <s v="CHICAGO"/>
    <n v="60619"/>
    <s v="COOK"/>
    <s v="IL"/>
    <n v="484548"/>
    <n v="412027"/>
    <n v="72521"/>
    <n v="226700"/>
    <n v="207500"/>
    <n v="17800"/>
  </r>
  <r>
    <n v="13579"/>
    <n v="13580"/>
    <x v="6"/>
    <s v="IL-00041"/>
    <s v="CHICAGO"/>
    <n v="60620"/>
    <s v="COOK"/>
    <s v="IL"/>
    <n v="560220"/>
    <n v="523507"/>
    <n v="36713"/>
    <n v="285400"/>
    <n v="264100"/>
    <n v="18400"/>
  </r>
  <r>
    <n v="13579"/>
    <n v="13580"/>
    <x v="6"/>
    <s v="IL-00041"/>
    <s v="CHICAGO"/>
    <n v="60621"/>
    <s v="COOK"/>
    <s v="IL"/>
    <n v="213223"/>
    <n v="188411"/>
    <n v="24812"/>
    <n v="120300"/>
    <n v="116500"/>
    <n v="2800"/>
  </r>
  <r>
    <n v="13579"/>
    <n v="13580"/>
    <x v="6"/>
    <s v="IL-00041"/>
    <s v="CHICAGO"/>
    <n v="60623"/>
    <s v="COOK"/>
    <s v="IL"/>
    <n v="388346"/>
    <n v="367771"/>
    <n v="20575"/>
    <n v="17700"/>
    <n v="15900"/>
    <n v="1800"/>
  </r>
  <r>
    <n v="13579"/>
    <n v="13580"/>
    <x v="6"/>
    <s v="IL-00041"/>
    <s v="CHICAGO"/>
    <n v="60624"/>
    <s v="COOK"/>
    <s v="IL"/>
    <n v="21856"/>
    <n v="20356"/>
    <n v="1500"/>
    <n v="0"/>
    <n v="0"/>
    <n v="0"/>
  </r>
  <r>
    <n v="13579"/>
    <n v="13580"/>
    <x v="6"/>
    <s v="IL-00041"/>
    <s v="CHICAGO"/>
    <n v="60625"/>
    <s v="COOK"/>
    <s v="IL"/>
    <n v="7415"/>
    <n v="7415"/>
    <n v="0"/>
    <n v="7500"/>
    <n v="7500"/>
    <n v="0"/>
  </r>
  <r>
    <n v="13579"/>
    <n v="13580"/>
    <x v="6"/>
    <s v="IL-00041"/>
    <s v="CHICAGO"/>
    <n v="60626"/>
    <s v="COOK"/>
    <s v="IL"/>
    <n v="1410"/>
    <n v="1410"/>
    <n v="0"/>
    <n v="1500"/>
    <n v="1500"/>
    <n v="0"/>
  </r>
  <r>
    <n v="13579"/>
    <n v="13580"/>
    <x v="6"/>
    <s v="IL-00041"/>
    <s v="CHICAGO"/>
    <n v="60628"/>
    <s v="COOK"/>
    <s v="IL"/>
    <n v="754631"/>
    <n v="659128"/>
    <n v="95503"/>
    <n v="434800"/>
    <n v="407200"/>
    <n v="27600"/>
  </r>
  <r>
    <n v="13579"/>
    <n v="13580"/>
    <x v="6"/>
    <s v="IL-00041"/>
    <s v="CHICAGO"/>
    <n v="60629"/>
    <s v="COOK"/>
    <s v="IL"/>
    <n v="89536"/>
    <n v="68886"/>
    <n v="20650"/>
    <n v="46100"/>
    <n v="34800"/>
    <n v="11300"/>
  </r>
  <r>
    <n v="13579"/>
    <n v="13580"/>
    <x v="6"/>
    <s v="IL-00041"/>
    <s v="CHICAGO"/>
    <n v="60630"/>
    <s v="COOK"/>
    <s v="IL"/>
    <n v="65758"/>
    <n v="47939"/>
    <n v="17819"/>
    <n v="8100"/>
    <n v="0"/>
    <n v="8100"/>
  </r>
  <r>
    <n v="13579"/>
    <n v="13580"/>
    <x v="6"/>
    <s v="IL-00041"/>
    <s v="CHICAGO"/>
    <n v="60631"/>
    <s v="COOK"/>
    <s v="IL"/>
    <n v="166881"/>
    <n v="107140"/>
    <n v="59741"/>
    <n v="108300"/>
    <n v="48500"/>
    <n v="59800"/>
  </r>
  <r>
    <n v="13579"/>
    <n v="13580"/>
    <x v="6"/>
    <s v="IL-00041"/>
    <s v="CHICAGO"/>
    <n v="60632"/>
    <s v="COOK"/>
    <s v="IL"/>
    <n v="13624"/>
    <n v="13624"/>
    <n v="0"/>
    <n v="0"/>
    <n v="0"/>
    <n v="0"/>
  </r>
  <r>
    <n v="13579"/>
    <n v="13580"/>
    <x v="6"/>
    <s v="IL-00041"/>
    <s v="CHICAGO"/>
    <n v="60634"/>
    <s v="COOK"/>
    <s v="IL"/>
    <n v="102801"/>
    <n v="93941"/>
    <n v="8860"/>
    <n v="40700"/>
    <n v="39400"/>
    <n v="1300"/>
  </r>
  <r>
    <n v="13579"/>
    <n v="13580"/>
    <x v="6"/>
    <s v="IL-00041"/>
    <s v="CHICAGO"/>
    <n v="60636"/>
    <s v="COOK"/>
    <s v="IL"/>
    <n v="163151"/>
    <n v="149052"/>
    <n v="14099"/>
    <n v="84000"/>
    <n v="84000"/>
    <n v="0"/>
  </r>
  <r>
    <n v="13579"/>
    <n v="13580"/>
    <x v="6"/>
    <s v="IL-00041"/>
    <s v="CHICAGO"/>
    <n v="60637"/>
    <s v="COOK"/>
    <s v="IL"/>
    <n v="111996"/>
    <n v="104676"/>
    <n v="7320"/>
    <n v="21000"/>
    <n v="18200"/>
    <n v="300"/>
  </r>
  <r>
    <n v="13579"/>
    <n v="13580"/>
    <x v="6"/>
    <s v="IL-00041"/>
    <s v="CHICAGO"/>
    <n v="60638"/>
    <s v="COOK"/>
    <s v="IL"/>
    <n v="27888"/>
    <n v="25998"/>
    <n v="1890"/>
    <n v="0"/>
    <n v="0"/>
    <n v="0"/>
  </r>
  <r>
    <n v="13579"/>
    <n v="13580"/>
    <x v="6"/>
    <s v="IL-00041"/>
    <s v="CHICAGO"/>
    <n v="60639"/>
    <s v="COOK"/>
    <s v="IL"/>
    <n v="31107"/>
    <n v="18977"/>
    <n v="12130"/>
    <n v="24100"/>
    <n v="19000"/>
    <n v="5100"/>
  </r>
  <r>
    <n v="13579"/>
    <n v="13580"/>
    <x v="6"/>
    <s v="IL-00041"/>
    <s v="CHICAGO"/>
    <n v="60641"/>
    <s v="COOK"/>
    <s v="IL"/>
    <n v="21600"/>
    <n v="21600"/>
    <n v="0"/>
    <n v="0"/>
    <n v="0"/>
    <n v="0"/>
  </r>
  <r>
    <n v="13579"/>
    <n v="13580"/>
    <x v="6"/>
    <s v="IL-00041"/>
    <s v="CHICAGO"/>
    <n v="60643"/>
    <s v="COOK"/>
    <s v="IL"/>
    <n v="105082"/>
    <n v="96093"/>
    <n v="8989"/>
    <n v="91500"/>
    <n v="91500"/>
    <n v="0"/>
  </r>
  <r>
    <n v="13579"/>
    <n v="13580"/>
    <x v="6"/>
    <s v="IL-00041"/>
    <s v="CHICAGO"/>
    <n v="60644"/>
    <s v="COOK"/>
    <s v="IL"/>
    <n v="127589"/>
    <n v="120364"/>
    <n v="7225"/>
    <n v="65900"/>
    <n v="64100"/>
    <n v="1800"/>
  </r>
  <r>
    <n v="13579"/>
    <n v="13580"/>
    <x v="6"/>
    <s v="IL-00041"/>
    <s v="CHICAGO"/>
    <n v="60645"/>
    <s v="COOK"/>
    <s v="IL"/>
    <n v="17833"/>
    <n v="13493"/>
    <n v="4340"/>
    <n v="4400"/>
    <n v="0"/>
    <n v="4400"/>
  </r>
  <r>
    <n v="13579"/>
    <n v="13580"/>
    <x v="6"/>
    <s v="IL-00041"/>
    <s v="CHICAGO"/>
    <n v="60646"/>
    <s v="COOK"/>
    <s v="IL"/>
    <n v="62850"/>
    <n v="60050"/>
    <n v="2800"/>
    <n v="62800"/>
    <n v="60000"/>
    <n v="2800"/>
  </r>
  <r>
    <n v="13579"/>
    <n v="13580"/>
    <x v="6"/>
    <s v="IL-00041"/>
    <s v="CHICAGO"/>
    <n v="60649"/>
    <s v="COOK"/>
    <s v="IL"/>
    <n v="67223"/>
    <n v="45503"/>
    <n v="21720"/>
    <n v="25600"/>
    <n v="17500"/>
    <n v="4800"/>
  </r>
  <r>
    <n v="13579"/>
    <n v="13580"/>
    <x v="6"/>
    <s v="IL-00041"/>
    <s v="CHICAGO"/>
    <n v="60651"/>
    <s v="COOK"/>
    <s v="IL"/>
    <n v="173425"/>
    <n v="155149"/>
    <n v="18276"/>
    <n v="46100"/>
    <n v="33100"/>
    <n v="13000"/>
  </r>
  <r>
    <n v="13579"/>
    <n v="13580"/>
    <x v="6"/>
    <s v="IL-00041"/>
    <s v="CHICAGO"/>
    <n v="60652"/>
    <s v="COOK"/>
    <s v="IL"/>
    <n v="189248"/>
    <n v="177373"/>
    <n v="11875"/>
    <n v="31000"/>
    <n v="27800"/>
    <n v="3200"/>
  </r>
  <r>
    <n v="13579"/>
    <n v="13580"/>
    <x v="6"/>
    <s v="IL-00041"/>
    <s v="CHICAGO"/>
    <n v="60653"/>
    <s v="COOK"/>
    <s v="IL"/>
    <n v="8663"/>
    <n v="8063"/>
    <n v="600"/>
    <n v="8600"/>
    <n v="8100"/>
    <n v="0"/>
  </r>
  <r>
    <n v="13579"/>
    <n v="13580"/>
    <x v="6"/>
    <s v="IL-00041"/>
    <s v="CHICAGO"/>
    <n v="60827"/>
    <s v="COOK"/>
    <s v="IL"/>
    <n v="1200"/>
    <n v="0"/>
    <n v="1200"/>
    <n v="0"/>
    <n v="0"/>
    <n v="0"/>
  </r>
  <r>
    <n v="13579"/>
    <n v="13580"/>
    <x v="6"/>
    <s v="IL-00041"/>
    <s v="CHICAGO HEIGHTS"/>
    <n v="60411"/>
    <s v="COOK"/>
    <s v="IL"/>
    <n v="59438"/>
    <n v="50646"/>
    <n v="8792"/>
    <n v="16400"/>
    <n v="12000"/>
    <n v="2000"/>
  </r>
  <r>
    <n v="13579"/>
    <n v="13580"/>
    <x v="6"/>
    <s v="IL-00041"/>
    <s v="CHICAGO HTS"/>
    <n v="60411"/>
    <s v="COOK"/>
    <s v="IL"/>
    <n v="11986"/>
    <n v="7350"/>
    <n v="4636"/>
    <n v="12000"/>
    <n v="7400"/>
    <n v="4600"/>
  </r>
  <r>
    <n v="13579"/>
    <n v="13580"/>
    <x v="6"/>
    <s v="IL-00041"/>
    <s v="CHILLICOTHE"/>
    <n v="61523"/>
    <s v="PEORIA"/>
    <s v="IL"/>
    <n v="493814"/>
    <n v="459299"/>
    <n v="34515"/>
    <n v="165900"/>
    <n v="149600"/>
    <n v="6900"/>
  </r>
  <r>
    <n v="13579"/>
    <n v="13580"/>
    <x v="6"/>
    <s v="IL-00041"/>
    <s v="COUNTRY CLUB HILLS"/>
    <n v="60478"/>
    <s v="COOK"/>
    <s v="IL"/>
    <n v="99411"/>
    <n v="87396"/>
    <n v="12015"/>
    <n v="14000"/>
    <n v="14000"/>
    <n v="0"/>
  </r>
  <r>
    <n v="13579"/>
    <n v="13580"/>
    <x v="6"/>
    <s v="IL-00041"/>
    <s v="CUBA"/>
    <n v="61427"/>
    <s v="FULTON"/>
    <s v="IL"/>
    <n v="8025"/>
    <n v="7525"/>
    <n v="500"/>
    <n v="0"/>
    <n v="0"/>
    <n v="0"/>
  </r>
  <r>
    <n v="13579"/>
    <n v="13580"/>
    <x v="6"/>
    <s v="IL-00041"/>
    <s v="DEERFIELD"/>
    <n v="60015"/>
    <s v="LAKE"/>
    <s v="IL"/>
    <n v="4000"/>
    <n v="0"/>
    <n v="4000"/>
    <n v="0"/>
    <n v="0"/>
    <n v="0"/>
  </r>
  <r>
    <n v="13579"/>
    <n v="13580"/>
    <x v="6"/>
    <s v="IL-00041"/>
    <s v="DES PLAINES"/>
    <n v="60016"/>
    <s v="COOK"/>
    <s v="IL"/>
    <n v="234142"/>
    <n v="187178"/>
    <n v="46964"/>
    <n v="0"/>
    <n v="0"/>
    <n v="0"/>
  </r>
  <r>
    <n v="13579"/>
    <n v="13580"/>
    <x v="6"/>
    <s v="IL-00041"/>
    <s v="DES PLAINES"/>
    <n v="60018"/>
    <s v="COOK"/>
    <s v="IL"/>
    <n v="190422"/>
    <n v="26740"/>
    <n v="163682"/>
    <n v="0"/>
    <n v="0"/>
    <n v="0"/>
  </r>
  <r>
    <n v="13579"/>
    <n v="13580"/>
    <x v="6"/>
    <s v="IL-00041"/>
    <s v="DOLTON"/>
    <n v="60419"/>
    <s v="COOK"/>
    <s v="IL"/>
    <n v="208072"/>
    <n v="183924"/>
    <n v="24148"/>
    <n v="84700"/>
    <n v="72800"/>
    <n v="6900"/>
  </r>
  <r>
    <n v="13579"/>
    <n v="13580"/>
    <x v="6"/>
    <s v="IL-00041"/>
    <s v="DOWNERS GROVE"/>
    <n v="60515"/>
    <s v="DUPAGE"/>
    <s v="IL"/>
    <n v="76440"/>
    <n v="38225"/>
    <n v="38215"/>
    <n v="35900"/>
    <n v="35900"/>
    <n v="0"/>
  </r>
  <r>
    <n v="13579"/>
    <n v="13580"/>
    <x v="6"/>
    <s v="IL-00041"/>
    <s v="DOWNERS GROVE"/>
    <n v="60516"/>
    <s v="DUPAGE"/>
    <s v="IL"/>
    <n v="4878"/>
    <n v="4878"/>
    <n v="0"/>
    <n v="0"/>
    <n v="0"/>
    <n v="0"/>
  </r>
  <r>
    <n v="13579"/>
    <n v="13580"/>
    <x v="6"/>
    <s v="IL-00041"/>
    <s v="EAST HAZEL CREST"/>
    <n v="60429"/>
    <s v="COOK"/>
    <s v="IL"/>
    <n v="47994"/>
    <n v="47994"/>
    <n v="0"/>
    <n v="0"/>
    <n v="0"/>
    <n v="0"/>
  </r>
  <r>
    <n v="13579"/>
    <n v="13580"/>
    <x v="6"/>
    <s v="IL-00041"/>
    <s v="EAST MOLINE"/>
    <n v="61244"/>
    <s v="ROCK ISLAND"/>
    <s v="IL"/>
    <n v="26585"/>
    <n v="24205"/>
    <n v="2380"/>
    <n v="188800"/>
    <n v="11600"/>
    <n v="2400"/>
  </r>
  <r>
    <n v="13579"/>
    <n v="13580"/>
    <x v="6"/>
    <s v="IL-00041"/>
    <s v="ELGIN"/>
    <n v="60120"/>
    <s v="KANE"/>
    <s v="IL"/>
    <n v="20144"/>
    <n v="20144"/>
    <n v="0"/>
    <n v="0"/>
    <n v="0"/>
    <n v="0"/>
  </r>
  <r>
    <n v="13579"/>
    <n v="13580"/>
    <x v="6"/>
    <s v="IL-00041"/>
    <s v="ELMHURST"/>
    <n v="60126"/>
    <s v="DUPAGE"/>
    <s v="IL"/>
    <n v="19169"/>
    <n v="9013"/>
    <n v="10156"/>
    <n v="0"/>
    <n v="0"/>
    <n v="0"/>
  </r>
  <r>
    <n v="13579"/>
    <n v="13580"/>
    <x v="6"/>
    <s v="IL-00041"/>
    <s v="EVANSTON"/>
    <n v="60201"/>
    <s v="COOK"/>
    <s v="IL"/>
    <n v="28983"/>
    <n v="27083"/>
    <n v="1900"/>
    <n v="0"/>
    <n v="0"/>
    <n v="0"/>
  </r>
  <r>
    <n v="13579"/>
    <n v="13580"/>
    <x v="6"/>
    <s v="IL-00041"/>
    <s v="EVANSTON"/>
    <n v="60202"/>
    <s v="COOK"/>
    <s v="IL"/>
    <n v="41970"/>
    <n v="41970"/>
    <n v="0"/>
    <n v="42000"/>
    <n v="42000"/>
    <n v="0"/>
  </r>
  <r>
    <n v="13579"/>
    <n v="13580"/>
    <x v="6"/>
    <s v="IL-00041"/>
    <s v="EVERGREEN PARK"/>
    <n v="60805"/>
    <s v="COOK"/>
    <s v="IL"/>
    <n v="27631"/>
    <n v="11900"/>
    <n v="15731"/>
    <n v="0"/>
    <n v="0"/>
    <n v="0"/>
  </r>
  <r>
    <n v="13579"/>
    <n v="13580"/>
    <x v="6"/>
    <s v="IL-00041"/>
    <s v="FORD HEIGHTS"/>
    <n v="60411"/>
    <s v="COOK"/>
    <s v="IL"/>
    <n v="67109"/>
    <n v="60389"/>
    <n v="6720"/>
    <n v="30200"/>
    <n v="28000"/>
    <n v="2200"/>
  </r>
  <r>
    <n v="13579"/>
    <n v="13580"/>
    <x v="6"/>
    <s v="IL-00041"/>
    <s v="FOREST VIEW"/>
    <n v="60402"/>
    <s v="COOK"/>
    <s v="IL"/>
    <n v="130127"/>
    <n v="75126"/>
    <n v="55001"/>
    <n v="0"/>
    <n v="0"/>
    <n v="0"/>
  </r>
  <r>
    <n v="13579"/>
    <n v="13580"/>
    <x v="6"/>
    <s v="IL-00041"/>
    <s v="FOX LAKE"/>
    <n v="60020"/>
    <s v="LAKE"/>
    <s v="IL"/>
    <n v="378547"/>
    <n v="372147"/>
    <n v="6400"/>
    <n v="0"/>
    <n v="0"/>
    <n v="0"/>
  </r>
  <r>
    <n v="13579"/>
    <n v="13580"/>
    <x v="6"/>
    <s v="IL-00041"/>
    <s v="FRANKFORT"/>
    <n v="60423"/>
    <s v="WILL"/>
    <s v="IL"/>
    <n v="179995"/>
    <n v="28400"/>
    <n v="151595"/>
    <n v="24500"/>
    <n v="2300"/>
    <n v="22200"/>
  </r>
  <r>
    <n v="13579"/>
    <n v="13580"/>
    <x v="6"/>
    <s v="IL-00041"/>
    <s v="GALESBURG"/>
    <n v="61401"/>
    <s v="KNOX"/>
    <s v="IL"/>
    <n v="30937"/>
    <n v="21977"/>
    <n v="8960"/>
    <n v="6800"/>
    <n v="0"/>
    <n v="6800"/>
  </r>
  <r>
    <n v="13579"/>
    <n v="13580"/>
    <x v="6"/>
    <s v="IL-00041"/>
    <s v="GLEN ELLYN"/>
    <n v="60137"/>
    <s v="DUPAGE"/>
    <s v="IL"/>
    <n v="47144"/>
    <n v="38444"/>
    <n v="8700"/>
    <n v="46200"/>
    <n v="38500"/>
    <n v="7700"/>
  </r>
  <r>
    <n v="13579"/>
    <n v="13580"/>
    <x v="6"/>
    <s v="IL-00041"/>
    <s v="GLENVIEW"/>
    <n v="60025"/>
    <s v="COOK"/>
    <s v="IL"/>
    <n v="10939"/>
    <n v="248"/>
    <n v="10691"/>
    <n v="0"/>
    <n v="0"/>
    <n v="0"/>
  </r>
  <r>
    <n v="13579"/>
    <n v="13580"/>
    <x v="6"/>
    <s v="IL-00041"/>
    <s v="GLENWOOD"/>
    <n v="60425"/>
    <s v="COOK"/>
    <s v="IL"/>
    <n v="11964"/>
    <n v="11364"/>
    <n v="600"/>
    <n v="12000"/>
    <n v="11400"/>
    <n v="600"/>
  </r>
  <r>
    <n v="13579"/>
    <n v="13580"/>
    <x v="6"/>
    <s v="IL-00041"/>
    <s v="HARVEY"/>
    <n v="60426"/>
    <s v="COOK"/>
    <s v="IL"/>
    <n v="188968"/>
    <n v="175215"/>
    <n v="13753"/>
    <n v="113200"/>
    <n v="101800"/>
    <n v="10200"/>
  </r>
  <r>
    <n v="13579"/>
    <n v="13580"/>
    <x v="6"/>
    <s v="IL-00041"/>
    <s v="HAZEL CREST"/>
    <n v="60429"/>
    <s v="COOK"/>
    <s v="IL"/>
    <n v="30868"/>
    <n v="29368"/>
    <n v="1500"/>
    <n v="30900"/>
    <n v="29400"/>
    <n v="1500"/>
  </r>
  <r>
    <n v="13579"/>
    <n v="13580"/>
    <x v="6"/>
    <s v="IL-00041"/>
    <s v="HILLSIDE"/>
    <n v="60162"/>
    <s v="COOK"/>
    <s v="IL"/>
    <n v="46865"/>
    <n v="11015"/>
    <n v="35850"/>
    <n v="0"/>
    <n v="0"/>
    <n v="0"/>
  </r>
  <r>
    <n v="13579"/>
    <n v="13580"/>
    <x v="6"/>
    <s v="IL-00041"/>
    <s v="HINSDALE"/>
    <n v="60521"/>
    <s v="DUPAGE"/>
    <s v="IL"/>
    <n v="28921"/>
    <n v="24421"/>
    <n v="4500"/>
    <n v="29000"/>
    <n v="24500"/>
    <n v="4500"/>
  </r>
  <r>
    <n v="13579"/>
    <n v="13580"/>
    <x v="6"/>
    <s v="IL-00041"/>
    <s v="HOMEWOOD"/>
    <n v="60430"/>
    <s v="COOK"/>
    <s v="IL"/>
    <n v="276508"/>
    <n v="231908"/>
    <n v="44600"/>
    <n v="0"/>
    <n v="0"/>
    <n v="0"/>
  </r>
  <r>
    <n v="13579"/>
    <n v="13580"/>
    <x v="6"/>
    <s v="IL-00041"/>
    <s v="INGLESIDE"/>
    <n v="60041"/>
    <s v="LAKE"/>
    <s v="IL"/>
    <n v="182352"/>
    <n v="169567"/>
    <n v="12785"/>
    <n v="0"/>
    <n v="0"/>
    <n v="0"/>
  </r>
  <r>
    <n v="13579"/>
    <n v="13580"/>
    <x v="6"/>
    <s v="IL-00041"/>
    <s v="JOLIET"/>
    <n v="60431"/>
    <s v="WILL"/>
    <s v="IL"/>
    <n v="40236"/>
    <n v="36536"/>
    <n v="3700"/>
    <n v="40300"/>
    <n v="36600"/>
    <n v="3700"/>
  </r>
  <r>
    <n v="13579"/>
    <n v="13580"/>
    <x v="6"/>
    <s v="IL-00041"/>
    <s v="JOLIET"/>
    <n v="60432"/>
    <s v="WILL"/>
    <s v="IL"/>
    <n v="15234"/>
    <n v="11668"/>
    <n v="3566"/>
    <n v="7900"/>
    <n v="4400"/>
    <n v="3500"/>
  </r>
  <r>
    <n v="13579"/>
    <n v="13580"/>
    <x v="6"/>
    <s v="IL-00041"/>
    <s v="LA SALLE"/>
    <n v="61301"/>
    <s v="LA SALLE"/>
    <s v="IL"/>
    <n v="45194"/>
    <n v="45194"/>
    <n v="0"/>
    <n v="21400"/>
    <n v="21400"/>
    <n v="0"/>
  </r>
  <r>
    <n v="13579"/>
    <n v="13580"/>
    <x v="6"/>
    <s v="IL-00041"/>
    <s v="LEWISTOWN"/>
    <n v="61542"/>
    <s v="FULTON"/>
    <s v="IL"/>
    <n v="0"/>
    <n v="0"/>
    <n v="0"/>
    <n v="5000"/>
    <n v="0"/>
    <n v="0"/>
  </r>
  <r>
    <n v="13579"/>
    <n v="13580"/>
    <x v="6"/>
    <s v="IL-00041"/>
    <s v="LINCOLNWOOD"/>
    <n v="60712"/>
    <s v="COOK"/>
    <s v="IL"/>
    <n v="145925"/>
    <n v="120616"/>
    <n v="25309"/>
    <n v="146000"/>
    <n v="120700"/>
    <n v="25300"/>
  </r>
  <r>
    <n v="13579"/>
    <n v="13580"/>
    <x v="6"/>
    <s v="IL-00041"/>
    <s v="LISLE"/>
    <n v="60532"/>
    <s v="DUPAGE"/>
    <s v="IL"/>
    <n v="2067462"/>
    <n v="444746"/>
    <n v="1622716"/>
    <n v="723100"/>
    <n v="93400"/>
    <n v="629700"/>
  </r>
  <r>
    <n v="13579"/>
    <n v="13580"/>
    <x v="6"/>
    <s v="IL-00041"/>
    <s v="LOMBARD"/>
    <n v="60148"/>
    <s v="DUPAGE"/>
    <s v="IL"/>
    <n v="20230"/>
    <n v="20230"/>
    <n v="0"/>
    <n v="20200"/>
    <n v="20200"/>
    <n v="0"/>
  </r>
  <r>
    <n v="13579"/>
    <n v="13580"/>
    <x v="6"/>
    <s v="IL-00041"/>
    <s v="LYONS"/>
    <n v="60534"/>
    <s v="COOK"/>
    <s v="IL"/>
    <n v="52715"/>
    <n v="51615"/>
    <n v="1100"/>
    <n v="52300"/>
    <n v="51600"/>
    <n v="700"/>
  </r>
  <r>
    <n v="13579"/>
    <n v="13580"/>
    <x v="6"/>
    <s v="IL-00041"/>
    <s v="MACOMB"/>
    <n v="61455"/>
    <s v="MCDONOUGH"/>
    <s v="IL"/>
    <n v="124807"/>
    <n v="116157"/>
    <n v="8650"/>
    <n v="34200"/>
    <n v="33400"/>
    <n v="800"/>
  </r>
  <r>
    <n v="13579"/>
    <n v="13580"/>
    <x v="6"/>
    <s v="IL-00041"/>
    <s v="MANVILLE"/>
    <n v="61319"/>
    <s v="LIVINGSTON"/>
    <s v="IL"/>
    <n v="111437"/>
    <n v="109437"/>
    <n v="2000"/>
    <n v="0"/>
    <n v="0"/>
    <n v="0"/>
  </r>
  <r>
    <n v="13579"/>
    <n v="13580"/>
    <x v="6"/>
    <s v="IL-00041"/>
    <s v="MARKHAM"/>
    <n v="60428"/>
    <s v="COOK"/>
    <s v="IL"/>
    <n v="17545"/>
    <n v="13875"/>
    <n v="3670"/>
    <n v="0"/>
    <n v="0"/>
    <n v="0"/>
  </r>
  <r>
    <n v="13579"/>
    <n v="13580"/>
    <x v="6"/>
    <s v="IL-00041"/>
    <s v="MARSEILLES"/>
    <n v="61341"/>
    <s v="LA SALLE"/>
    <s v="IL"/>
    <n v="518751"/>
    <n v="452701"/>
    <n v="66050"/>
    <n v="165700"/>
    <n v="141000"/>
    <n v="15100"/>
  </r>
  <r>
    <n v="13579"/>
    <n v="13580"/>
    <x v="6"/>
    <s v="IL-00041"/>
    <s v="MATTESON"/>
    <n v="60443"/>
    <s v="COOK"/>
    <s v="IL"/>
    <n v="183015"/>
    <n v="173427"/>
    <n v="9588"/>
    <n v="0"/>
    <n v="0"/>
    <n v="0"/>
  </r>
  <r>
    <n v="13579"/>
    <n v="13580"/>
    <x v="6"/>
    <s v="IL-00041"/>
    <s v="MAYWOOD"/>
    <n v="60153"/>
    <s v="COOK"/>
    <s v="IL"/>
    <n v="199564"/>
    <n v="147399"/>
    <n v="52165"/>
    <n v="54400"/>
    <n v="17400"/>
    <n v="37000"/>
  </r>
  <r>
    <n v="13579"/>
    <n v="13580"/>
    <x v="6"/>
    <s v="IL-00041"/>
    <s v="MELROSE PARK"/>
    <n v="60160"/>
    <s v="COOK"/>
    <s v="IL"/>
    <n v="126404"/>
    <n v="123204"/>
    <n v="3200"/>
    <n v="104700"/>
    <n v="101500"/>
    <n v="3200"/>
  </r>
  <r>
    <n v="13579"/>
    <n v="13580"/>
    <x v="6"/>
    <s v="IL-00041"/>
    <s v="MILAN"/>
    <n v="61264"/>
    <s v="ROCK ISLAND"/>
    <s v="IL"/>
    <n v="44546"/>
    <n v="42846"/>
    <n v="1700"/>
    <n v="0"/>
    <n v="0"/>
    <n v="0"/>
  </r>
  <r>
    <n v="13579"/>
    <n v="13580"/>
    <x v="6"/>
    <s v="IL-00041"/>
    <s v="MINOOKA"/>
    <n v="60447"/>
    <s v="GRUNDY"/>
    <s v="IL"/>
    <n v="8054"/>
    <n v="3934"/>
    <n v="4120"/>
    <n v="8100"/>
    <n v="4000"/>
    <n v="4100"/>
  </r>
  <r>
    <n v="13579"/>
    <n v="13580"/>
    <x v="6"/>
    <s v="IL-00041"/>
    <s v="MORRIS"/>
    <n v="60450"/>
    <s v="GRUNDY"/>
    <s v="IL"/>
    <n v="105138"/>
    <n v="75342"/>
    <n v="29796"/>
    <n v="0"/>
    <n v="0"/>
    <n v="0"/>
  </r>
  <r>
    <n v="13579"/>
    <n v="13580"/>
    <x v="6"/>
    <s v="IL-00041"/>
    <s v="MUNDELEIN"/>
    <n v="60060"/>
    <s v="LAKE"/>
    <s v="IL"/>
    <n v="200313"/>
    <n v="200313"/>
    <n v="0"/>
    <n v="0"/>
    <n v="0"/>
    <n v="0"/>
  </r>
  <r>
    <n v="13579"/>
    <n v="13580"/>
    <x v="6"/>
    <s v="IL-00041"/>
    <s v="NAPERVILLE"/>
    <n v="60540"/>
    <s v="DUPAGE"/>
    <s v="IL"/>
    <n v="45288"/>
    <n v="36318"/>
    <n v="8970"/>
    <n v="0"/>
    <n v="0"/>
    <n v="0"/>
  </r>
  <r>
    <n v="13579"/>
    <n v="13580"/>
    <x v="6"/>
    <s v="IL-00041"/>
    <s v="NAPERVILLE"/>
    <n v="60563"/>
    <s v="DUPAGE"/>
    <s v="IL"/>
    <n v="58597"/>
    <n v="54767"/>
    <n v="3830"/>
    <n v="52000"/>
    <n v="52000"/>
    <n v="0"/>
  </r>
  <r>
    <n v="13579"/>
    <n v="13580"/>
    <x v="6"/>
    <s v="IL-00041"/>
    <s v="NEWARK"/>
    <n v="60541"/>
    <s v="KENDALL"/>
    <s v="IL"/>
    <n v="12803"/>
    <n v="12803"/>
    <n v="0"/>
    <n v="0"/>
    <n v="0"/>
    <n v="0"/>
  </r>
  <r>
    <n v="13579"/>
    <n v="13580"/>
    <x v="6"/>
    <s v="IL-00041"/>
    <s v="NORTH CHICAGO"/>
    <n v="60064"/>
    <s v="LAKE"/>
    <s v="IL"/>
    <n v="125260"/>
    <n v="104595"/>
    <n v="20665"/>
    <n v="106300"/>
    <n v="88200"/>
    <n v="18100"/>
  </r>
  <r>
    <n v="13579"/>
    <n v="13580"/>
    <x v="6"/>
    <s v="IL-00041"/>
    <s v="OAK FOREST"/>
    <n v="60452"/>
    <s v="COOK"/>
    <s v="IL"/>
    <n v="58114"/>
    <n v="58114"/>
    <n v="0"/>
    <n v="58200"/>
    <n v="58200"/>
    <n v="0"/>
  </r>
  <r>
    <n v="13579"/>
    <n v="13580"/>
    <x v="6"/>
    <s v="IL-00041"/>
    <s v="OSWEGO"/>
    <n v="60543"/>
    <s v="KENDALL"/>
    <s v="IL"/>
    <n v="26280"/>
    <n v="23555"/>
    <n v="2725"/>
    <n v="26300"/>
    <n v="23600"/>
    <n v="2700"/>
  </r>
  <r>
    <n v="13579"/>
    <n v="13580"/>
    <x v="6"/>
    <s v="IL-00041"/>
    <s v="OTTAWA"/>
    <n v="61350"/>
    <s v="LA SALLE"/>
    <s v="IL"/>
    <n v="25988"/>
    <n v="24788"/>
    <n v="1200"/>
    <n v="26000"/>
    <n v="24800"/>
    <n v="1200"/>
  </r>
  <r>
    <n v="13579"/>
    <n v="13580"/>
    <x v="6"/>
    <s v="IL-00041"/>
    <s v="PARK RIDGE"/>
    <n v="60068"/>
    <s v="COOK"/>
    <s v="IL"/>
    <n v="103060"/>
    <n v="58911"/>
    <n v="44149"/>
    <n v="42600"/>
    <n v="22500"/>
    <n v="20100"/>
  </r>
  <r>
    <n v="13579"/>
    <n v="13580"/>
    <x v="6"/>
    <s v="IL-00041"/>
    <s v="PEORIA"/>
    <n v="61604"/>
    <s v="PEORIA"/>
    <s v="IL"/>
    <n v="365753"/>
    <n v="146524"/>
    <n v="219229"/>
    <n v="109400"/>
    <n v="59400"/>
    <n v="50000"/>
  </r>
  <r>
    <n v="13579"/>
    <n v="13580"/>
    <x v="6"/>
    <s v="IL-00041"/>
    <s v="PEORIA"/>
    <n v="61605"/>
    <s v="PEORIA"/>
    <s v="IL"/>
    <n v="98125"/>
    <n v="93537"/>
    <n v="4588"/>
    <n v="0"/>
    <n v="0"/>
    <n v="0"/>
  </r>
  <r>
    <n v="13579"/>
    <n v="13580"/>
    <x v="6"/>
    <s v="IL-00041"/>
    <s v="PEORIA"/>
    <n v="61607"/>
    <s v="PEORIA"/>
    <s v="IL"/>
    <n v="199093"/>
    <n v="76938"/>
    <n v="122155"/>
    <n v="0"/>
    <n v="0"/>
    <n v="0"/>
  </r>
  <r>
    <n v="13579"/>
    <n v="13580"/>
    <x v="6"/>
    <s v="IL-00041"/>
    <s v="PEORIA"/>
    <n v="61615"/>
    <s v="PEORIA"/>
    <s v="IL"/>
    <n v="36280"/>
    <n v="36280"/>
    <n v="0"/>
    <n v="21000"/>
    <n v="21000"/>
    <n v="0"/>
  </r>
  <r>
    <n v="13579"/>
    <n v="13580"/>
    <x v="6"/>
    <s v="IL-00041"/>
    <s v="PHOENIX"/>
    <n v="60426"/>
    <s v="COOK"/>
    <s v="IL"/>
    <n v="4054"/>
    <n v="4054"/>
    <n v="0"/>
    <n v="4100"/>
    <n v="4100"/>
    <n v="0"/>
  </r>
  <r>
    <n v="13579"/>
    <n v="13580"/>
    <x v="6"/>
    <s v="IL-00041"/>
    <s v="PLAINFIELD"/>
    <n v="60544"/>
    <s v="WILL"/>
    <s v="IL"/>
    <n v="84071"/>
    <n v="53051"/>
    <n v="31020"/>
    <n v="53100"/>
    <n v="53100"/>
    <n v="0"/>
  </r>
  <r>
    <n v="13579"/>
    <n v="13580"/>
    <x v="6"/>
    <s v="IL-00041"/>
    <s v="PLANO"/>
    <n v="60545"/>
    <s v="KENDALL"/>
    <s v="IL"/>
    <n v="52375"/>
    <n v="51025"/>
    <n v="1350"/>
    <n v="47400"/>
    <n v="46100"/>
    <n v="1300"/>
  </r>
  <r>
    <n v="13579"/>
    <n v="13580"/>
    <x v="6"/>
    <s v="IL-00041"/>
    <s v="PRINCETON"/>
    <n v="61356"/>
    <s v="BUREAU"/>
    <s v="IL"/>
    <n v="56218"/>
    <n v="45143"/>
    <n v="11075"/>
    <n v="45700"/>
    <n v="34600"/>
    <n v="11100"/>
  </r>
  <r>
    <n v="13579"/>
    <n v="13580"/>
    <x v="6"/>
    <s v="IL-00041"/>
    <s v="RICHTON PARK"/>
    <n v="60471"/>
    <s v="COOK"/>
    <s v="IL"/>
    <n v="22700"/>
    <n v="22700"/>
    <n v="0"/>
    <n v="0"/>
    <n v="0"/>
    <n v="0"/>
  </r>
  <r>
    <n v="13579"/>
    <n v="13580"/>
    <x v="6"/>
    <s v="IL-00041"/>
    <s v="RIVER FOREST"/>
    <n v="60305"/>
    <s v="COOK"/>
    <s v="IL"/>
    <n v="21720"/>
    <n v="20520"/>
    <n v="1200"/>
    <n v="15800"/>
    <n v="15800"/>
    <n v="0"/>
  </r>
  <r>
    <n v="13579"/>
    <n v="13580"/>
    <x v="6"/>
    <s v="IL-00041"/>
    <s v="RIVER GROVE"/>
    <n v="60171"/>
    <s v="COOK"/>
    <s v="IL"/>
    <n v="10955"/>
    <n v="5175"/>
    <n v="5780"/>
    <n v="0"/>
    <n v="0"/>
    <n v="0"/>
  </r>
  <r>
    <n v="13579"/>
    <n v="13580"/>
    <x v="6"/>
    <s v="IL-00041"/>
    <s v="RIVERDALE"/>
    <n v="60827"/>
    <s v="COOK"/>
    <s v="IL"/>
    <n v="50708"/>
    <n v="44023"/>
    <n v="6685"/>
    <n v="37600"/>
    <n v="37600"/>
    <n v="0"/>
  </r>
  <r>
    <n v="13579"/>
    <n v="13580"/>
    <x v="6"/>
    <s v="IL-00041"/>
    <s v="RIVERSIDE"/>
    <n v="60546"/>
    <s v="COOK"/>
    <s v="IL"/>
    <n v="36373"/>
    <n v="27323"/>
    <n v="9050"/>
    <n v="27900"/>
    <n v="26600"/>
    <n v="1300"/>
  </r>
  <r>
    <n v="13579"/>
    <n v="13580"/>
    <x v="6"/>
    <s v="IL-00041"/>
    <s v="ROANOKE"/>
    <n v="61561"/>
    <s v="WOODFORD"/>
    <s v="IL"/>
    <n v="247008"/>
    <n v="192691"/>
    <n v="54317"/>
    <n v="0"/>
    <n v="0"/>
    <n v="0"/>
  </r>
  <r>
    <n v="13579"/>
    <n v="13580"/>
    <x v="6"/>
    <s v="IL-00041"/>
    <s v="ROBBINS"/>
    <n v="60472"/>
    <s v="COOK"/>
    <s v="IL"/>
    <n v="35978"/>
    <n v="35978"/>
    <n v="0"/>
    <n v="0"/>
    <n v="0"/>
    <n v="0"/>
  </r>
  <r>
    <n v="13579"/>
    <n v="13580"/>
    <x v="6"/>
    <s v="IL-00041"/>
    <s v="ROCK ISLAND"/>
    <n v="61201"/>
    <s v="ROCK ISLAND"/>
    <s v="IL"/>
    <n v="96560"/>
    <n v="91115"/>
    <n v="5445"/>
    <n v="53500"/>
    <n v="53500"/>
    <n v="0"/>
  </r>
  <r>
    <n v="13579"/>
    <n v="13580"/>
    <x v="6"/>
    <s v="IL-00041"/>
    <s v="ROCKFORD"/>
    <n v="61101"/>
    <s v="WINNEBAGO"/>
    <s v="IL"/>
    <n v="77475"/>
    <n v="77475"/>
    <n v="0"/>
    <n v="77500"/>
    <n v="77500"/>
    <n v="0"/>
  </r>
  <r>
    <n v="13579"/>
    <n v="13580"/>
    <x v="6"/>
    <s v="IL-00041"/>
    <s v="ROCKFORD"/>
    <n v="61104"/>
    <s v="WINNEBAGO"/>
    <s v="IL"/>
    <n v="392011"/>
    <n v="383870"/>
    <n v="8141"/>
    <n v="256500"/>
    <n v="248300"/>
    <n v="8200"/>
  </r>
  <r>
    <n v="13579"/>
    <n v="13580"/>
    <x v="6"/>
    <s v="IL-00041"/>
    <s v="SKOKIE"/>
    <n v="60076"/>
    <s v="COOK"/>
    <s v="IL"/>
    <n v="46445"/>
    <n v="29105"/>
    <n v="17340"/>
    <n v="17800"/>
    <n v="9100"/>
    <n v="8700"/>
  </r>
  <r>
    <n v="13579"/>
    <n v="13580"/>
    <x v="6"/>
    <s v="IL-00041"/>
    <s v="SKOKIE"/>
    <n v="60077"/>
    <s v="COOK"/>
    <s v="IL"/>
    <n v="33030"/>
    <n v="27355"/>
    <n v="5675"/>
    <n v="33100"/>
    <n v="27400"/>
    <n v="5700"/>
  </r>
  <r>
    <n v="13579"/>
    <n v="13580"/>
    <x v="6"/>
    <s v="IL-00041"/>
    <s v="SOUTH ELGIN"/>
    <n v="60177"/>
    <s v="KANE"/>
    <s v="IL"/>
    <n v="62026"/>
    <n v="58936"/>
    <n v="3090"/>
    <n v="31000"/>
    <n v="29600"/>
    <n v="1400"/>
  </r>
  <r>
    <n v="13579"/>
    <n v="13580"/>
    <x v="6"/>
    <s v="IL-00041"/>
    <s v="SOUTH HOLLAND"/>
    <n v="60473"/>
    <s v="COOK"/>
    <s v="IL"/>
    <n v="94515"/>
    <n v="73963"/>
    <n v="20552"/>
    <n v="17800"/>
    <n v="14000"/>
    <n v="3800"/>
  </r>
  <r>
    <n v="13579"/>
    <n v="13580"/>
    <x v="6"/>
    <s v="IL-00041"/>
    <s v="STEGER"/>
    <n v="60475"/>
    <s v="COOK"/>
    <s v="IL"/>
    <n v="13459"/>
    <n v="13459"/>
    <n v="0"/>
    <n v="0"/>
    <n v="0"/>
    <n v="0"/>
  </r>
  <r>
    <n v="13579"/>
    <n v="13580"/>
    <x v="6"/>
    <s v="IL-00041"/>
    <s v="STONE PARK"/>
    <n v="60165"/>
    <s v="COOK"/>
    <s v="IL"/>
    <n v="564347"/>
    <n v="500011"/>
    <n v="64336"/>
    <n v="525800"/>
    <n v="461500"/>
    <n v="64300"/>
  </r>
  <r>
    <n v="13579"/>
    <n v="13580"/>
    <x v="6"/>
    <s v="IL-00041"/>
    <s v="TINLEY PARK"/>
    <n v="60477"/>
    <s v="COOK"/>
    <s v="IL"/>
    <n v="4124"/>
    <n v="0"/>
    <n v="4124"/>
    <n v="0"/>
    <n v="0"/>
    <n v="0"/>
  </r>
  <r>
    <n v="13579"/>
    <n v="13580"/>
    <x v="6"/>
    <s v="IL-00041"/>
    <s v="UNIVERSITY PARK"/>
    <n v="60484"/>
    <s v="WILL"/>
    <s v="IL"/>
    <n v="44944"/>
    <n v="43444"/>
    <n v="1500"/>
    <n v="0"/>
    <n v="0"/>
    <n v="0"/>
  </r>
  <r>
    <n v="13579"/>
    <n v="13580"/>
    <x v="6"/>
    <s v="IL-00041"/>
    <s v="VILLA PARK"/>
    <n v="60181"/>
    <s v="DUPAGE"/>
    <s v="IL"/>
    <n v="204991"/>
    <n v="195601"/>
    <n v="9390"/>
    <n v="0"/>
    <n v="0"/>
    <n v="0"/>
  </r>
  <r>
    <n v="13579"/>
    <n v="13580"/>
    <x v="6"/>
    <s v="IL-00041"/>
    <s v="WAUKEGAN"/>
    <n v="60087"/>
    <s v="LAKE"/>
    <s v="IL"/>
    <n v="6780"/>
    <n v="6780"/>
    <n v="0"/>
    <n v="0"/>
    <n v="0"/>
    <n v="0"/>
  </r>
  <r>
    <n v="13579"/>
    <n v="13580"/>
    <x v="6"/>
    <s v="IL-00041"/>
    <s v="WESTCHESTER"/>
    <n v="60154"/>
    <s v="COOK"/>
    <s v="IL"/>
    <n v="65916"/>
    <n v="51386"/>
    <n v="14530"/>
    <n v="53500"/>
    <n v="51500"/>
    <n v="2000"/>
  </r>
  <r>
    <n v="13579"/>
    <n v="13580"/>
    <x v="6"/>
    <s v="IL-00041"/>
    <s v="WESTMONT"/>
    <n v="60559"/>
    <s v="DUPAGE"/>
    <s v="IL"/>
    <n v="75534"/>
    <n v="71054"/>
    <n v="4480"/>
    <n v="9800"/>
    <n v="8200"/>
    <n v="1600"/>
  </r>
  <r>
    <n v="13579"/>
    <n v="13580"/>
    <x v="6"/>
    <s v="IL-00041"/>
    <s v="WHEATON"/>
    <n v="60187"/>
    <s v="DUPAGE"/>
    <s v="IL"/>
    <n v="9880"/>
    <n v="8280"/>
    <n v="1600"/>
    <n v="8300"/>
    <n v="8300"/>
    <n v="0"/>
  </r>
  <r>
    <n v="13579"/>
    <n v="13580"/>
    <x v="6"/>
    <s v="IL-00041"/>
    <s v="ZION"/>
    <n v="60099"/>
    <s v="LAKE"/>
    <s v="IL"/>
    <n v="6965"/>
    <n v="0"/>
    <n v="6965"/>
    <n v="3700"/>
    <n v="0"/>
    <n v="3700"/>
  </r>
  <r>
    <n v="13586"/>
    <n v="13587"/>
    <x v="7"/>
    <s v="OK-00071"/>
    <s v="CARNEY"/>
    <n v="74832"/>
    <s v="LINCOLN"/>
    <s v="OK"/>
    <n v="180668"/>
    <n v="31588"/>
    <n v="149080"/>
    <n v="0"/>
    <n v="0"/>
    <n v="0"/>
  </r>
  <r>
    <n v="13586"/>
    <n v="13587"/>
    <x v="7"/>
    <s v="OK-00071"/>
    <s v="CHOCTAW"/>
    <n v="73020"/>
    <s v="OKLAHOMA"/>
    <s v="OK"/>
    <n v="13928"/>
    <n v="13928"/>
    <n v="0"/>
    <n v="0"/>
    <n v="0"/>
    <n v="0"/>
  </r>
  <r>
    <n v="13586"/>
    <n v="13587"/>
    <x v="7"/>
    <s v="OK-00071"/>
    <s v="DEL CITY"/>
    <n v="73115"/>
    <s v="OKLAHOMA"/>
    <s v="OK"/>
    <n v="94611"/>
    <n v="93386"/>
    <n v="1225"/>
    <n v="19400"/>
    <n v="19400"/>
    <n v="0"/>
  </r>
  <r>
    <n v="13586"/>
    <n v="13587"/>
    <x v="7"/>
    <s v="OK-00071"/>
    <s v="EL RENO"/>
    <n v="73036"/>
    <s v="CANADIAN"/>
    <s v="OK"/>
    <n v="331073"/>
    <n v="314955"/>
    <n v="16118"/>
    <n v="173500"/>
    <n v="158600"/>
    <n v="14900"/>
  </r>
  <r>
    <n v="13586"/>
    <n v="13587"/>
    <x v="7"/>
    <s v="OK-00071"/>
    <s v="HINTON"/>
    <n v="73047"/>
    <s v="CANADIAN"/>
    <s v="OK"/>
    <n v="10209"/>
    <n v="7909"/>
    <n v="2300"/>
    <n v="0"/>
    <n v="0"/>
    <n v="0"/>
  </r>
  <r>
    <n v="13586"/>
    <n v="13587"/>
    <x v="7"/>
    <s v="OK-00071"/>
    <s v="MCLOUD"/>
    <n v="74851"/>
    <s v="POTTAWATOMIE"/>
    <s v="OK"/>
    <n v="17911"/>
    <n v="17911"/>
    <n v="0"/>
    <n v="0"/>
    <n v="0"/>
    <n v="0"/>
  </r>
  <r>
    <n v="13586"/>
    <n v="13587"/>
    <x v="7"/>
    <s v="OK-00071"/>
    <s v="MEEKER"/>
    <n v="74855"/>
    <s v="LINCOLN"/>
    <s v="OK"/>
    <n v="51391"/>
    <n v="38035"/>
    <n v="13356"/>
    <n v="0"/>
    <n v="0"/>
    <n v="0"/>
  </r>
  <r>
    <n v="13586"/>
    <n v="13587"/>
    <x v="7"/>
    <s v="OK-00071"/>
    <s v="MOORE"/>
    <n v="73160"/>
    <s v="CLEVELAND"/>
    <s v="OK"/>
    <n v="8083874"/>
    <n v="6033522"/>
    <n v="2050352"/>
    <n v="2699000"/>
    <n v="1681300"/>
    <n v="849500"/>
  </r>
  <r>
    <n v="13586"/>
    <n v="13587"/>
    <x v="7"/>
    <s v="OK-00071"/>
    <s v="MOORE"/>
    <n v="73170"/>
    <s v="CLEVELAND"/>
    <s v="OK"/>
    <n v="68164"/>
    <n v="59359"/>
    <n v="8805"/>
    <n v="36100"/>
    <n v="30500"/>
    <n v="1700"/>
  </r>
  <r>
    <n v="13586"/>
    <n v="13587"/>
    <x v="7"/>
    <s v="OK-00071"/>
    <s v="NEWALLA"/>
    <n v="74857"/>
    <s v="CLEVELAND"/>
    <s v="OK"/>
    <n v="270014"/>
    <n v="270014"/>
    <n v="0"/>
    <n v="0"/>
    <n v="0"/>
    <n v="0"/>
  </r>
  <r>
    <n v="13586"/>
    <n v="13587"/>
    <x v="7"/>
    <s v="OK-00071"/>
    <s v="NORMAN"/>
    <n v="73026"/>
    <s v="CLEVELAND"/>
    <s v="OK"/>
    <n v="12171"/>
    <n v="12171"/>
    <n v="0"/>
    <n v="0"/>
    <n v="0"/>
    <n v="0"/>
  </r>
  <r>
    <n v="13586"/>
    <n v="13587"/>
    <x v="7"/>
    <s v="OK-00071"/>
    <s v="NORMAN"/>
    <n v="73072"/>
    <s v="CLEVELAND"/>
    <s v="OK"/>
    <n v="0"/>
    <n v="0"/>
    <n v="0"/>
    <n v="148500"/>
    <n v="0"/>
    <n v="0"/>
  </r>
  <r>
    <n v="13586"/>
    <n v="13587"/>
    <x v="7"/>
    <s v="OK-00071"/>
    <s v="OKLAHOMA CITY"/>
    <n v="73165"/>
    <s v="CLEVELAND"/>
    <s v="OK"/>
    <n v="18032"/>
    <n v="13680"/>
    <n v="4352"/>
    <n v="3900"/>
    <n v="0"/>
    <n v="3900"/>
  </r>
  <r>
    <n v="13586"/>
    <n v="13587"/>
    <x v="7"/>
    <s v="OK-00071"/>
    <s v="OKLAHOMA CITY"/>
    <n v="73170"/>
    <s v="CLEVELAND"/>
    <s v="OK"/>
    <n v="1016000"/>
    <n v="719534"/>
    <n v="296466"/>
    <n v="107100"/>
    <n v="78900"/>
    <n v="19400"/>
  </r>
  <r>
    <n v="13586"/>
    <n v="13587"/>
    <x v="7"/>
    <s v="OK-00071"/>
    <s v="OKLAHOMA CITY"/>
    <n v="73102"/>
    <s v="OKLAHOMA"/>
    <s v="OK"/>
    <n v="70672"/>
    <n v="54998"/>
    <n v="15674"/>
    <n v="70700"/>
    <n v="55000"/>
    <n v="15700"/>
  </r>
  <r>
    <n v="13586"/>
    <n v="13587"/>
    <x v="7"/>
    <s v="OK-00071"/>
    <s v="OKLAHOMA CITY"/>
    <n v="73103"/>
    <s v="OKLAHOMA"/>
    <s v="OK"/>
    <n v="123404"/>
    <n v="97485"/>
    <n v="25919"/>
    <n v="26800"/>
    <n v="25700"/>
    <n v="1100"/>
  </r>
  <r>
    <n v="13586"/>
    <n v="13587"/>
    <x v="7"/>
    <s v="OK-00071"/>
    <s v="OKLAHOMA CITY"/>
    <n v="73106"/>
    <s v="OKLAHOMA"/>
    <s v="OK"/>
    <n v="220940"/>
    <n v="201134"/>
    <n v="19806"/>
    <n v="110800"/>
    <n v="100600"/>
    <n v="10200"/>
  </r>
  <r>
    <n v="13586"/>
    <n v="13587"/>
    <x v="7"/>
    <s v="OK-00071"/>
    <s v="OKLAHOMA CITY"/>
    <n v="73107"/>
    <s v="OKLAHOMA"/>
    <s v="OK"/>
    <n v="50525"/>
    <n v="50525"/>
    <n v="0"/>
    <n v="49400"/>
    <n v="45100"/>
    <n v="0"/>
  </r>
  <r>
    <n v="13586"/>
    <n v="13587"/>
    <x v="7"/>
    <s v="OK-00071"/>
    <s v="OKLAHOMA CITY"/>
    <n v="73109"/>
    <s v="OKLAHOMA"/>
    <s v="OK"/>
    <n v="102491"/>
    <n v="99041"/>
    <n v="3450"/>
    <n v="24800"/>
    <n v="24800"/>
    <n v="0"/>
  </r>
  <r>
    <n v="13586"/>
    <n v="13587"/>
    <x v="7"/>
    <s v="OK-00071"/>
    <s v="OKLAHOMA CITY"/>
    <n v="73111"/>
    <s v="OKLAHOMA"/>
    <s v="OK"/>
    <n v="150103"/>
    <n v="110598"/>
    <n v="39505"/>
    <n v="28200"/>
    <n v="28200"/>
    <n v="0"/>
  </r>
  <r>
    <n v="13586"/>
    <n v="13587"/>
    <x v="7"/>
    <s v="OK-00071"/>
    <s v="OKLAHOMA CITY"/>
    <n v="73112"/>
    <s v="OKLAHOMA"/>
    <s v="OK"/>
    <n v="73746"/>
    <n v="71846"/>
    <n v="1900"/>
    <n v="34400"/>
    <n v="32500"/>
    <n v="1900"/>
  </r>
  <r>
    <n v="13586"/>
    <n v="13587"/>
    <x v="7"/>
    <s v="OK-00071"/>
    <s v="OKLAHOMA CITY"/>
    <n v="73117"/>
    <s v="OKLAHOMA"/>
    <s v="OK"/>
    <n v="1013076"/>
    <n v="950496"/>
    <n v="62580"/>
    <n v="751500"/>
    <n v="417400"/>
    <n v="62600"/>
  </r>
  <r>
    <n v="13586"/>
    <n v="13587"/>
    <x v="7"/>
    <s v="OK-00071"/>
    <s v="OKLAHOMA CITY"/>
    <n v="73118"/>
    <s v="OKLAHOMA"/>
    <s v="OK"/>
    <n v="499674"/>
    <n v="490908"/>
    <n v="8766"/>
    <n v="0"/>
    <n v="0"/>
    <n v="0"/>
  </r>
  <r>
    <n v="13586"/>
    <n v="13587"/>
    <x v="7"/>
    <s v="OK-00071"/>
    <s v="OKLAHOMA CITY"/>
    <n v="73119"/>
    <s v="OKLAHOMA"/>
    <s v="OK"/>
    <n v="767035"/>
    <n v="717010"/>
    <n v="50025"/>
    <n v="246000"/>
    <n v="206100"/>
    <n v="39900"/>
  </r>
  <r>
    <n v="13586"/>
    <n v="13587"/>
    <x v="7"/>
    <s v="OK-00071"/>
    <s v="OKLAHOMA CITY"/>
    <n v="73128"/>
    <s v="OKLAHOMA"/>
    <s v="OK"/>
    <n v="648647"/>
    <n v="632919"/>
    <n v="15728"/>
    <n v="0"/>
    <n v="0"/>
    <n v="0"/>
  </r>
  <r>
    <n v="13586"/>
    <n v="13587"/>
    <x v="7"/>
    <s v="OK-00071"/>
    <s v="OKLAHOMA CITY"/>
    <n v="73129"/>
    <s v="OKLAHOMA"/>
    <s v="OK"/>
    <n v="165287"/>
    <n v="110458"/>
    <n v="54829"/>
    <n v="53300"/>
    <n v="52500"/>
    <n v="800"/>
  </r>
  <r>
    <n v="13586"/>
    <n v="13587"/>
    <x v="7"/>
    <s v="OK-00071"/>
    <s v="OKLAHOMA CITY"/>
    <n v="73135"/>
    <s v="OKLAHOMA"/>
    <s v="OK"/>
    <n v="78934"/>
    <n v="71234"/>
    <n v="7700"/>
    <n v="9000"/>
    <n v="9000"/>
    <n v="0"/>
  </r>
  <r>
    <n v="13586"/>
    <n v="13587"/>
    <x v="7"/>
    <s v="OK-00071"/>
    <s v="OKLAHOMA CITY"/>
    <n v="73139"/>
    <s v="OKLAHOMA"/>
    <s v="OK"/>
    <n v="128062"/>
    <n v="84266"/>
    <n v="43796"/>
    <n v="82000"/>
    <n v="0"/>
    <n v="16000"/>
  </r>
  <r>
    <n v="13586"/>
    <n v="13587"/>
    <x v="7"/>
    <s v="OK-00071"/>
    <s v="OKLAHOMA CITY"/>
    <n v="73141"/>
    <s v="OKLAHOMA"/>
    <s v="OK"/>
    <n v="35920"/>
    <n v="12720"/>
    <n v="23200"/>
    <n v="0"/>
    <n v="0"/>
    <n v="0"/>
  </r>
  <r>
    <n v="13586"/>
    <n v="13587"/>
    <x v="7"/>
    <s v="OK-00071"/>
    <s v="OKLAHOMA CITY"/>
    <n v="73149"/>
    <s v="OKLAHOMA"/>
    <s v="OK"/>
    <n v="85183"/>
    <n v="85183"/>
    <n v="0"/>
    <n v="0"/>
    <n v="0"/>
    <n v="0"/>
  </r>
  <r>
    <n v="13586"/>
    <n v="13587"/>
    <x v="7"/>
    <s v="OK-00071"/>
    <s v="OKLAHOMA CITY"/>
    <n v="73150"/>
    <s v="OKLAHOMA"/>
    <s v="OK"/>
    <n v="3220"/>
    <n v="0"/>
    <n v="3220"/>
    <n v="0"/>
    <n v="0"/>
    <n v="0"/>
  </r>
  <r>
    <n v="13586"/>
    <n v="13587"/>
    <x v="7"/>
    <s v="OK-00071"/>
    <s v="OKLAHOMA CITY"/>
    <n v="73159"/>
    <s v="OKLAHOMA"/>
    <s v="OK"/>
    <n v="235774"/>
    <n v="136994"/>
    <n v="98780"/>
    <n v="12600"/>
    <n v="12600"/>
    <n v="0"/>
  </r>
  <r>
    <n v="13586"/>
    <n v="13587"/>
    <x v="7"/>
    <s v="OK-00071"/>
    <s v="OKLAHOMA CITY"/>
    <n v="73169"/>
    <s v="OKLAHOMA"/>
    <s v="OK"/>
    <n v="51054"/>
    <n v="0"/>
    <n v="51054"/>
    <n v="14000"/>
    <n v="0"/>
    <n v="14000"/>
  </r>
  <r>
    <n v="13586"/>
    <n v="13587"/>
    <x v="7"/>
    <s v="OK-00071"/>
    <s v="OKLAHOMA CITY"/>
    <n v="73179"/>
    <s v="OKLAHOMA"/>
    <s v="OK"/>
    <n v="219707"/>
    <n v="204607"/>
    <n v="15100"/>
    <n v="0"/>
    <n v="0"/>
    <n v="0"/>
  </r>
  <r>
    <n v="13586"/>
    <n v="13587"/>
    <x v="7"/>
    <s v="OK-00071"/>
    <s v="SHAWNEE"/>
    <n v="74801"/>
    <s v="POTTAWATOMIE"/>
    <s v="OK"/>
    <n v="58235"/>
    <n v="58235"/>
    <n v="0"/>
    <n v="0"/>
    <n v="0"/>
    <n v="0"/>
  </r>
  <r>
    <n v="13586"/>
    <n v="13587"/>
    <x v="7"/>
    <s v="OK-00071"/>
    <s v="SHAWNEE"/>
    <n v="74804"/>
    <s v="POTTAWATOMIE"/>
    <s v="OK"/>
    <n v="515308"/>
    <n v="439063"/>
    <n v="76245"/>
    <n v="0"/>
    <n v="0"/>
    <n v="0"/>
  </r>
  <r>
    <n v="13586"/>
    <n v="13587"/>
    <x v="7"/>
    <s v="OK-00071"/>
    <s v="TRYON"/>
    <n v="74875"/>
    <s v="LINCOLN"/>
    <s v="OK"/>
    <n v="91562"/>
    <n v="83562"/>
    <n v="8000"/>
    <n v="0"/>
    <n v="0"/>
    <n v="0"/>
  </r>
  <r>
    <n v="13586"/>
    <n v="13587"/>
    <x v="7"/>
    <s v="OK-00071"/>
    <s v="TULSA"/>
    <n v="74170"/>
    <s v="CLEVELAND"/>
    <s v="OK"/>
    <n v="21675"/>
    <n v="0"/>
    <n v="21675"/>
    <n v="0"/>
    <n v="0"/>
    <n v="0"/>
  </r>
  <r>
    <n v="13586"/>
    <n v="13587"/>
    <x v="7"/>
    <s v="OK-00071"/>
    <s v="YUKON"/>
    <n v="73099"/>
    <s v="CANADIAN"/>
    <s v="OK"/>
    <n v="34700"/>
    <n v="0"/>
    <n v="34700"/>
    <n v="70800"/>
    <n v="0"/>
    <n v="4500"/>
  </r>
  <r>
    <n v="13633"/>
    <n v="13634"/>
    <x v="8"/>
    <s v="AK-00028"/>
    <s v="GALENA"/>
    <n v="99741"/>
    <s v="YUKON FLATS REAA (51)"/>
    <s v="AK"/>
    <n v="493834"/>
    <n v="443889"/>
    <n v="49945"/>
    <n v="0"/>
    <n v="0"/>
    <n v="0"/>
  </r>
  <r>
    <n v="13633"/>
    <n v="13634"/>
    <x v="8"/>
    <s v="AK-00028"/>
    <s v="GALENA"/>
    <n v="99741"/>
    <s v="YUKON-KOYUKUK REAA (52)"/>
    <s v="AK"/>
    <n v="607481"/>
    <n v="514666"/>
    <n v="92815"/>
    <n v="368300"/>
    <n v="298200"/>
    <n v="59800"/>
  </r>
  <r>
    <n v="13633"/>
    <n v="13634"/>
    <x v="8"/>
    <s v="AK-00028"/>
    <s v="HUGHES"/>
    <n v="99745"/>
    <s v="YUKON-KOYUKUK REAA (52)"/>
    <s v="AK"/>
    <n v="12903"/>
    <n v="12903"/>
    <n v="0"/>
    <n v="0"/>
    <n v="0"/>
    <n v="0"/>
  </r>
  <r>
    <n v="13633"/>
    <n v="13634"/>
    <x v="8"/>
    <s v="AK-00028"/>
    <s v="TOK"/>
    <n v="99780"/>
    <s v="ALASKA GATEWAY REAA (03)"/>
    <s v="AK"/>
    <n v="117955"/>
    <n v="88680"/>
    <n v="29275"/>
    <n v="69000"/>
    <n v="42400"/>
    <n v="19500"/>
  </r>
  <r>
    <n v="13768"/>
    <n v="13769"/>
    <x v="9"/>
    <s v="CO-00065"/>
    <s v="ALLENSPARK"/>
    <n v="80510"/>
    <s v="BOULDER"/>
    <s v="CO"/>
    <n v="66524"/>
    <n v="66524"/>
    <n v="0"/>
    <n v="32400"/>
    <n v="3100"/>
    <n v="0"/>
  </r>
  <r>
    <n v="13768"/>
    <n v="13769"/>
    <x v="9"/>
    <s v="CO-00065"/>
    <s v="ARVADA"/>
    <n v="80002"/>
    <s v="JEFFERSON"/>
    <s v="CO"/>
    <n v="39927"/>
    <n v="39927"/>
    <n v="0"/>
    <n v="36400"/>
    <n v="0"/>
    <n v="0"/>
  </r>
  <r>
    <n v="13768"/>
    <n v="13769"/>
    <x v="9"/>
    <s v="CO-00065"/>
    <s v="ARVADA"/>
    <n v="80005"/>
    <s v="JEFFERSON"/>
    <s v="CO"/>
    <n v="12469"/>
    <n v="0"/>
    <n v="12469"/>
    <n v="12500"/>
    <n v="0"/>
    <n v="12500"/>
  </r>
  <r>
    <n v="13768"/>
    <n v="13769"/>
    <x v="9"/>
    <s v="CO-00065"/>
    <s v="ATWOOD"/>
    <n v="80722"/>
    <s v="LOGAN"/>
    <s v="CO"/>
    <n v="0"/>
    <n v="0"/>
    <n v="0"/>
    <n v="62400"/>
    <n v="0"/>
    <n v="0"/>
  </r>
  <r>
    <n v="13768"/>
    <n v="13769"/>
    <x v="9"/>
    <s v="CO-00065"/>
    <s v="AURORA"/>
    <n v="80010"/>
    <s v="ADAMS"/>
    <s v="CO"/>
    <n v="84479"/>
    <n v="82379"/>
    <n v="2100"/>
    <n v="0"/>
    <n v="0"/>
    <n v="0"/>
  </r>
  <r>
    <n v="13768"/>
    <n v="13769"/>
    <x v="9"/>
    <s v="CO-00065"/>
    <s v="AURORA"/>
    <n v="80011"/>
    <s v="ADAMS"/>
    <s v="CO"/>
    <n v="21666"/>
    <n v="21366"/>
    <n v="300"/>
    <n v="0"/>
    <n v="0"/>
    <n v="0"/>
  </r>
  <r>
    <n v="13768"/>
    <n v="13769"/>
    <x v="9"/>
    <s v="CO-00065"/>
    <s v="AURORA"/>
    <n v="80010"/>
    <s v="ARAPAHOE"/>
    <s v="CO"/>
    <n v="36957"/>
    <n v="36957"/>
    <n v="0"/>
    <n v="0"/>
    <n v="0"/>
    <n v="0"/>
  </r>
  <r>
    <n v="13768"/>
    <n v="13769"/>
    <x v="9"/>
    <s v="CO-00065"/>
    <s v="AURORA"/>
    <n v="80011"/>
    <s v="ARAPAHOE"/>
    <s v="CO"/>
    <n v="72869"/>
    <n v="69804"/>
    <n v="3065"/>
    <n v="26200"/>
    <n v="26200"/>
    <n v="0"/>
  </r>
  <r>
    <n v="13768"/>
    <n v="13769"/>
    <x v="9"/>
    <s v="CO-00065"/>
    <s v="AURORA"/>
    <n v="80012"/>
    <s v="ARAPAHOE"/>
    <s v="CO"/>
    <n v="50132"/>
    <n v="49967"/>
    <n v="165"/>
    <n v="48000"/>
    <n v="45300"/>
    <n v="100"/>
  </r>
  <r>
    <n v="13768"/>
    <n v="13769"/>
    <x v="9"/>
    <s v="CO-00065"/>
    <s v="AURORA"/>
    <n v="80013"/>
    <s v="ARAPAHOE"/>
    <s v="CO"/>
    <n v="7803"/>
    <n v="7803"/>
    <n v="0"/>
    <n v="0"/>
    <n v="0"/>
    <n v="0"/>
  </r>
  <r>
    <n v="13768"/>
    <n v="13769"/>
    <x v="9"/>
    <s v="CO-00065"/>
    <s v="AURORA"/>
    <n v="80014"/>
    <s v="ARAPAHOE"/>
    <s v="CO"/>
    <n v="184299"/>
    <n v="184299"/>
    <n v="0"/>
    <n v="164600"/>
    <n v="164600"/>
    <n v="0"/>
  </r>
  <r>
    <n v="13768"/>
    <n v="13769"/>
    <x v="9"/>
    <s v="CO-00065"/>
    <s v="AURORA"/>
    <n v="80015"/>
    <s v="ARAPAHOE"/>
    <s v="CO"/>
    <n v="20498"/>
    <n v="0"/>
    <n v="20498"/>
    <n v="0"/>
    <n v="0"/>
    <n v="0"/>
  </r>
  <r>
    <n v="13768"/>
    <n v="13769"/>
    <x v="9"/>
    <s v="CO-00065"/>
    <s v="AURORA"/>
    <n v="80017"/>
    <s v="ARAPAHOE"/>
    <s v="CO"/>
    <n v="14925"/>
    <n v="12225"/>
    <n v="2700"/>
    <n v="14000"/>
    <n v="12200"/>
    <n v="1800"/>
  </r>
  <r>
    <n v="13768"/>
    <n v="13769"/>
    <x v="9"/>
    <s v="CO-00065"/>
    <s v="BELLVUE"/>
    <n v="80512"/>
    <s v="LARIMER"/>
    <s v="CO"/>
    <n v="55351"/>
    <n v="54351"/>
    <n v="1000"/>
    <n v="68300"/>
    <n v="54400"/>
    <n v="0"/>
  </r>
  <r>
    <n v="13768"/>
    <n v="13769"/>
    <x v="9"/>
    <s v="CO-00065"/>
    <s v="BERTHOUD"/>
    <n v="80513"/>
    <s v="LARIMER"/>
    <s v="CO"/>
    <n v="74168"/>
    <n v="74168"/>
    <n v="0"/>
    <n v="84200"/>
    <n v="74200"/>
    <n v="0"/>
  </r>
  <r>
    <n v="13768"/>
    <n v="13769"/>
    <x v="9"/>
    <s v="CO-00065"/>
    <s v="BOULDER"/>
    <n v="80301"/>
    <s v="BOULDER"/>
    <s v="CO"/>
    <n v="1148428"/>
    <n v="757395"/>
    <n v="391033"/>
    <n v="354600"/>
    <n v="156800"/>
    <n v="53600"/>
  </r>
  <r>
    <n v="13768"/>
    <n v="13769"/>
    <x v="9"/>
    <s v="CO-00065"/>
    <s v="BOULDER"/>
    <n v="80302"/>
    <s v="BOULDER"/>
    <s v="CO"/>
    <n v="3698665"/>
    <n v="3593820"/>
    <n v="104845"/>
    <n v="3055000"/>
    <n v="2745400"/>
    <n v="59400"/>
  </r>
  <r>
    <n v="13768"/>
    <n v="13769"/>
    <x v="9"/>
    <s v="CO-00065"/>
    <s v="BOULDER"/>
    <n v="80303"/>
    <s v="BOULDER"/>
    <s v="CO"/>
    <n v="2629483"/>
    <n v="2461254"/>
    <n v="168229"/>
    <n v="1812800"/>
    <n v="1683800"/>
    <n v="93800"/>
  </r>
  <r>
    <n v="13768"/>
    <n v="13769"/>
    <x v="9"/>
    <s v="CO-00065"/>
    <s v="BOULDER"/>
    <n v="80304"/>
    <s v="BOULDER"/>
    <s v="CO"/>
    <n v="2448804"/>
    <n v="1971795"/>
    <n v="477009"/>
    <n v="661800"/>
    <n v="283700"/>
    <n v="329200"/>
  </r>
  <r>
    <n v="13768"/>
    <n v="13769"/>
    <x v="9"/>
    <s v="CO-00065"/>
    <s v="BOULDER"/>
    <n v="80305"/>
    <s v="BOULDER"/>
    <s v="CO"/>
    <n v="998669"/>
    <n v="930021"/>
    <n v="68648"/>
    <n v="629600"/>
    <n v="598600"/>
    <n v="14800"/>
  </r>
  <r>
    <n v="13768"/>
    <n v="13769"/>
    <x v="9"/>
    <s v="CO-00065"/>
    <s v="BOULDER"/>
    <n v="80308"/>
    <s v="BOULDER"/>
    <s v="CO"/>
    <n v="30173"/>
    <n v="30173"/>
    <n v="0"/>
    <n v="31900"/>
    <n v="30200"/>
    <n v="0"/>
  </r>
  <r>
    <n v="13768"/>
    <n v="13769"/>
    <x v="9"/>
    <s v="CO-00065"/>
    <s v="BRIGHTON"/>
    <n v="80601"/>
    <s v="ADAMS"/>
    <s v="CO"/>
    <n v="21674"/>
    <n v="18274"/>
    <n v="3400"/>
    <n v="0"/>
    <n v="0"/>
    <n v="0"/>
  </r>
  <r>
    <n v="13768"/>
    <n v="13769"/>
    <x v="9"/>
    <s v="CO-00065"/>
    <s v="CANON CITY"/>
    <n v="81212"/>
    <s v="FREMONT"/>
    <s v="CO"/>
    <n v="83840"/>
    <n v="80537"/>
    <n v="3303"/>
    <n v="0"/>
    <n v="0"/>
    <n v="0"/>
  </r>
  <r>
    <n v="13768"/>
    <n v="13769"/>
    <x v="9"/>
    <s v="CO-00065"/>
    <s v="COLORADO SPRINGS"/>
    <n v="80903"/>
    <s v="EL PASO"/>
    <s v="CO"/>
    <n v="25193"/>
    <n v="23193"/>
    <n v="2000"/>
    <n v="14000"/>
    <n v="14000"/>
    <n v="0"/>
  </r>
  <r>
    <n v="13768"/>
    <n v="13769"/>
    <x v="9"/>
    <s v="CO-00065"/>
    <s v="COLORADO SPRINGS"/>
    <n v="80904"/>
    <s v="EL PASO"/>
    <s v="CO"/>
    <n v="93155"/>
    <n v="79630"/>
    <n v="13525"/>
    <n v="94000"/>
    <n v="67500"/>
    <n v="13500"/>
  </r>
  <r>
    <n v="13768"/>
    <n v="13769"/>
    <x v="9"/>
    <s v="CO-00065"/>
    <s v="COLORADO SPRINGS"/>
    <n v="80905"/>
    <s v="EL PASO"/>
    <s v="CO"/>
    <n v="78031"/>
    <n v="76161"/>
    <n v="1870"/>
    <n v="24300"/>
    <n v="24300"/>
    <n v="0"/>
  </r>
  <r>
    <n v="13768"/>
    <n v="13769"/>
    <x v="9"/>
    <s v="CO-00065"/>
    <s v="COLORADO SPRINGS"/>
    <n v="80906"/>
    <s v="EL PASO"/>
    <s v="CO"/>
    <n v="213172"/>
    <n v="213172"/>
    <n v="0"/>
    <n v="24400"/>
    <n v="24400"/>
    <n v="0"/>
  </r>
  <r>
    <n v="13768"/>
    <n v="13769"/>
    <x v="9"/>
    <s v="CO-00065"/>
    <s v="COLORADO SPRINGS"/>
    <n v="80907"/>
    <s v="EL PASO"/>
    <s v="CO"/>
    <n v="41790"/>
    <n v="41790"/>
    <n v="0"/>
    <n v="20000"/>
    <n v="20000"/>
    <n v="0"/>
  </r>
  <r>
    <n v="13768"/>
    <n v="13769"/>
    <x v="9"/>
    <s v="CO-00065"/>
    <s v="COLORADO SPRINGS"/>
    <n v="80910"/>
    <s v="EL PASO"/>
    <s v="CO"/>
    <n v="28305"/>
    <n v="27495"/>
    <n v="810"/>
    <n v="27500"/>
    <n v="27500"/>
    <n v="0"/>
  </r>
  <r>
    <n v="13768"/>
    <n v="13769"/>
    <x v="9"/>
    <s v="CO-00065"/>
    <s v="COLORADO SPRINGS"/>
    <n v="80911"/>
    <s v="EL PASO"/>
    <s v="CO"/>
    <n v="9512"/>
    <n v="9512"/>
    <n v="0"/>
    <n v="0"/>
    <n v="0"/>
    <n v="0"/>
  </r>
  <r>
    <n v="13768"/>
    <n v="13769"/>
    <x v="9"/>
    <s v="CO-00065"/>
    <s v="COLORADO SPRINGS"/>
    <n v="80915"/>
    <s v="EL PASO"/>
    <s v="CO"/>
    <n v="2500"/>
    <n v="0"/>
    <n v="2500"/>
    <n v="0"/>
    <n v="0"/>
    <n v="0"/>
  </r>
  <r>
    <n v="13768"/>
    <n v="13769"/>
    <x v="9"/>
    <s v="CO-00065"/>
    <s v="COLORADO SPRINGS"/>
    <n v="80918"/>
    <s v="EL PASO"/>
    <s v="CO"/>
    <n v="27703"/>
    <n v="27703"/>
    <n v="0"/>
    <n v="0"/>
    <n v="0"/>
    <n v="0"/>
  </r>
  <r>
    <n v="13768"/>
    <n v="13769"/>
    <x v="9"/>
    <s v="CO-00065"/>
    <s v="COLORADO SPRINGS"/>
    <n v="80921"/>
    <s v="EL PASO"/>
    <s v="CO"/>
    <n v="46462"/>
    <n v="46462"/>
    <n v="0"/>
    <n v="12400"/>
    <n v="12400"/>
    <n v="0"/>
  </r>
  <r>
    <n v="13768"/>
    <n v="13769"/>
    <x v="9"/>
    <s v="CO-00065"/>
    <s v="COMMERCE CITY"/>
    <n v="80022"/>
    <s v="ADAMS"/>
    <s v="CO"/>
    <n v="254040"/>
    <n v="239040"/>
    <n v="15000"/>
    <n v="5000"/>
    <n v="5000"/>
    <n v="0"/>
  </r>
  <r>
    <n v="13768"/>
    <n v="13769"/>
    <x v="9"/>
    <s v="CO-00065"/>
    <s v="DACONO"/>
    <n v="80514"/>
    <s v="WELD"/>
    <s v="CO"/>
    <n v="6100"/>
    <n v="0"/>
    <n v="6100"/>
    <n v="0"/>
    <n v="0"/>
    <n v="0"/>
  </r>
  <r>
    <n v="13768"/>
    <n v="13769"/>
    <x v="9"/>
    <s v="CO-00065"/>
    <s v="DENVER"/>
    <n v="80221"/>
    <s v="ADAMS"/>
    <s v="CO"/>
    <n v="547"/>
    <n v="547"/>
    <n v="0"/>
    <n v="0"/>
    <n v="0"/>
    <n v="0"/>
  </r>
  <r>
    <n v="13768"/>
    <n v="13769"/>
    <x v="9"/>
    <s v="CO-00065"/>
    <s v="DRAKE"/>
    <n v="80515"/>
    <s v="LARIMER"/>
    <s v="CO"/>
    <n v="781481"/>
    <n v="745701"/>
    <n v="35780"/>
    <n v="418400"/>
    <n v="334700"/>
    <n v="19200"/>
  </r>
  <r>
    <n v="13768"/>
    <n v="13769"/>
    <x v="9"/>
    <s v="CO-00065"/>
    <s v="ELDORADO SPRINGS"/>
    <n v="80025"/>
    <s v="BOULDER"/>
    <s v="CO"/>
    <n v="8545"/>
    <n v="4445"/>
    <n v="4100"/>
    <n v="4100"/>
    <n v="0"/>
    <n v="4100"/>
  </r>
  <r>
    <n v="13768"/>
    <n v="13769"/>
    <x v="9"/>
    <s v="CO-00065"/>
    <s v="ERIE"/>
    <n v="80516"/>
    <s v="BOULDER"/>
    <s v="CO"/>
    <n v="23780"/>
    <n v="17780"/>
    <n v="6000"/>
    <n v="23800"/>
    <n v="17800"/>
    <n v="6000"/>
  </r>
  <r>
    <n v="13768"/>
    <n v="13769"/>
    <x v="9"/>
    <s v="CO-00065"/>
    <s v="ERIE"/>
    <n v="80516"/>
    <s v="WELD"/>
    <s v="CO"/>
    <n v="5442"/>
    <n v="0"/>
    <n v="5442"/>
    <n v="0"/>
    <n v="0"/>
    <n v="0"/>
  </r>
  <r>
    <n v="13768"/>
    <n v="13769"/>
    <x v="9"/>
    <s v="CO-00065"/>
    <s v="ESTES PARK"/>
    <n v="80517"/>
    <s v="LARIMER"/>
    <s v="CO"/>
    <n v="7353842"/>
    <n v="6873230"/>
    <n v="480612"/>
    <n v="5895500"/>
    <n v="2843400"/>
    <n v="262600"/>
  </r>
  <r>
    <n v="13768"/>
    <n v="13769"/>
    <x v="9"/>
    <s v="CO-00065"/>
    <s v="EVANS"/>
    <n v="80620"/>
    <s v="WELD"/>
    <s v="CO"/>
    <n v="2606205"/>
    <n v="1634851"/>
    <n v="971354"/>
    <n v="267400"/>
    <n v="172800"/>
    <n v="83700"/>
  </r>
  <r>
    <n v="13768"/>
    <n v="13769"/>
    <x v="9"/>
    <s v="CO-00065"/>
    <s v="EVERGREEN"/>
    <n v="80439"/>
    <s v="JEFFERSON"/>
    <s v="CO"/>
    <n v="255571"/>
    <n v="134531"/>
    <n v="121040"/>
    <n v="308800"/>
    <n v="134600"/>
    <n v="102900"/>
  </r>
  <r>
    <n v="13768"/>
    <n v="13769"/>
    <x v="9"/>
    <s v="CO-00065"/>
    <s v="FORT COLLINS"/>
    <n v="80525"/>
    <s v="LARIMER"/>
    <s v="CO"/>
    <n v="0"/>
    <n v="0"/>
    <n v="0"/>
    <n v="52000"/>
    <n v="0"/>
    <n v="0"/>
  </r>
  <r>
    <n v="13768"/>
    <n v="13769"/>
    <x v="9"/>
    <s v="CO-00065"/>
    <s v="FORT LUPTON"/>
    <n v="80621"/>
    <s v="WELD"/>
    <s v="CO"/>
    <n v="79184"/>
    <n v="6814"/>
    <n v="72370"/>
    <n v="16000"/>
    <n v="0"/>
    <n v="16000"/>
  </r>
  <r>
    <n v="13768"/>
    <n v="13769"/>
    <x v="9"/>
    <s v="CO-00065"/>
    <s v="FREDERICK"/>
    <n v="80530"/>
    <s v="WELD"/>
    <s v="CO"/>
    <n v="153443"/>
    <n v="120693"/>
    <n v="32750"/>
    <n v="106600"/>
    <n v="56300"/>
    <n v="29300"/>
  </r>
  <r>
    <n v="13768"/>
    <n v="13769"/>
    <x v="9"/>
    <s v="CO-00065"/>
    <s v="GLEN HAVEN"/>
    <n v="80532"/>
    <s v="LARIMER"/>
    <s v="CO"/>
    <n v="1668692"/>
    <n v="1422147"/>
    <n v="246545"/>
    <n v="884900"/>
    <n v="779500"/>
    <n v="90700"/>
  </r>
  <r>
    <n v="13768"/>
    <n v="13769"/>
    <x v="9"/>
    <s v="CO-00065"/>
    <s v="GOLDEN"/>
    <n v="80402"/>
    <s v="JEFFERSON"/>
    <s v="CO"/>
    <n v="2221"/>
    <n v="2221"/>
    <n v="0"/>
    <n v="0"/>
    <n v="0"/>
    <n v="0"/>
  </r>
  <r>
    <n v="13768"/>
    <n v="13769"/>
    <x v="9"/>
    <s v="CO-00065"/>
    <s v="GOLDEN"/>
    <n v="80403"/>
    <s v="JEFFERSON"/>
    <s v="CO"/>
    <n v="297529"/>
    <n v="263697"/>
    <n v="33832"/>
    <n v="87300"/>
    <n v="53400"/>
    <n v="33900"/>
  </r>
  <r>
    <n v="13768"/>
    <n v="13769"/>
    <x v="9"/>
    <s v="CO-00065"/>
    <s v="GRANBY"/>
    <n v="80446"/>
    <s v="GRAND"/>
    <s v="CO"/>
    <n v="0"/>
    <n v="0"/>
    <n v="0"/>
    <n v="81700"/>
    <n v="0"/>
    <n v="0"/>
  </r>
  <r>
    <n v="13768"/>
    <n v="13769"/>
    <x v="9"/>
    <s v="CO-00065"/>
    <s v="GREELEY"/>
    <n v="80631"/>
    <s v="WELD"/>
    <s v="CO"/>
    <n v="337667"/>
    <n v="194182"/>
    <n v="143485"/>
    <n v="136500"/>
    <n v="91200"/>
    <n v="35000"/>
  </r>
  <r>
    <n v="13768"/>
    <n v="13769"/>
    <x v="9"/>
    <s v="CO-00065"/>
    <s v="GREELEY"/>
    <n v="80634"/>
    <s v="WELD"/>
    <s v="CO"/>
    <n v="14000"/>
    <n v="0"/>
    <n v="14000"/>
    <n v="15000"/>
    <n v="0"/>
    <n v="0"/>
  </r>
  <r>
    <n v="13768"/>
    <n v="13769"/>
    <x v="9"/>
    <s v="CO-00065"/>
    <s v="IDAHO SPRINGS"/>
    <n v="80452"/>
    <s v="CLEAR CREEK"/>
    <s v="CO"/>
    <n v="29591"/>
    <n v="29591"/>
    <n v="0"/>
    <n v="29600"/>
    <n v="29600"/>
    <n v="0"/>
  </r>
  <r>
    <n v="13768"/>
    <n v="13769"/>
    <x v="9"/>
    <s v="CO-00065"/>
    <s v="JAMESTOWN"/>
    <n v="80455"/>
    <s v="BOULDER"/>
    <s v="CO"/>
    <n v="606088"/>
    <n v="552635"/>
    <n v="53453"/>
    <n v="127800"/>
    <n v="88800"/>
    <n v="5000"/>
  </r>
  <r>
    <n v="13768"/>
    <n v="13769"/>
    <x v="9"/>
    <s v="CO-00065"/>
    <s v="JOHNSTOWN"/>
    <n v="80534"/>
    <s v="WELD"/>
    <s v="CO"/>
    <n v="39352"/>
    <n v="36642"/>
    <n v="2710"/>
    <n v="0"/>
    <n v="0"/>
    <n v="0"/>
  </r>
  <r>
    <n v="13768"/>
    <n v="13769"/>
    <x v="9"/>
    <s v="CO-00065"/>
    <s v="KERSEY"/>
    <n v="80644"/>
    <s v="WELD"/>
    <s v="CO"/>
    <n v="33725"/>
    <n v="31475"/>
    <n v="2250"/>
    <n v="0"/>
    <n v="0"/>
    <n v="0"/>
  </r>
  <r>
    <n v="13768"/>
    <n v="13769"/>
    <x v="9"/>
    <s v="CO-00065"/>
    <s v="KITTREDGE"/>
    <n v="80457"/>
    <s v="JEFFERSON"/>
    <s v="CO"/>
    <n v="0"/>
    <n v="0"/>
    <n v="0"/>
    <n v="5000"/>
    <n v="0"/>
    <n v="0"/>
  </r>
  <r>
    <n v="13768"/>
    <n v="13769"/>
    <x v="9"/>
    <s v="CO-00065"/>
    <s v="LA SALLE"/>
    <n v="80645"/>
    <s v="WELD"/>
    <s v="CO"/>
    <n v="871090"/>
    <n v="828928"/>
    <n v="42162"/>
    <n v="36200"/>
    <n v="34800"/>
    <n v="1400"/>
  </r>
  <r>
    <n v="13768"/>
    <n v="13769"/>
    <x v="9"/>
    <s v="CO-00065"/>
    <s v="LAFAYETTE"/>
    <n v="80026"/>
    <s v="BOULDER"/>
    <s v="CO"/>
    <n v="1241817"/>
    <n v="290762"/>
    <n v="951055"/>
    <n v="3400"/>
    <n v="3400"/>
    <n v="0"/>
  </r>
  <r>
    <n v="13768"/>
    <n v="13769"/>
    <x v="9"/>
    <s v="CO-00065"/>
    <s v="LAKEWOOD"/>
    <n v="80215"/>
    <s v="JEFFERSON"/>
    <s v="CO"/>
    <n v="11225"/>
    <n v="11225"/>
    <n v="0"/>
    <n v="0"/>
    <n v="0"/>
    <n v="0"/>
  </r>
  <r>
    <n v="13768"/>
    <n v="13769"/>
    <x v="9"/>
    <s v="CO-00065"/>
    <s v="LAKEWOOD"/>
    <n v="80228"/>
    <s v="JEFFERSON"/>
    <s v="CO"/>
    <n v="3000"/>
    <n v="0"/>
    <n v="3000"/>
    <n v="0"/>
    <n v="0"/>
    <n v="0"/>
  </r>
  <r>
    <n v="13768"/>
    <n v="13769"/>
    <x v="9"/>
    <s v="CO-00065"/>
    <s v="LAPORTE"/>
    <n v="80535"/>
    <s v="LARIMER"/>
    <s v="CO"/>
    <n v="9971"/>
    <n v="6461"/>
    <n v="3510"/>
    <n v="7200"/>
    <n v="6500"/>
    <n v="700"/>
  </r>
  <r>
    <n v="13768"/>
    <n v="13769"/>
    <x v="9"/>
    <s v="CO-00065"/>
    <s v="LONGMONT"/>
    <n v="80501"/>
    <s v="BOULDER"/>
    <s v="CO"/>
    <n v="4937162"/>
    <n v="2818525"/>
    <n v="2118637"/>
    <n v="1561600"/>
    <n v="855300"/>
    <n v="508300"/>
  </r>
  <r>
    <n v="13768"/>
    <n v="13769"/>
    <x v="9"/>
    <s v="CO-00065"/>
    <s v="LONGMONT"/>
    <n v="80503"/>
    <s v="BOULDER"/>
    <s v="CO"/>
    <n v="2072311"/>
    <n v="1720116"/>
    <n v="352195"/>
    <n v="1393000"/>
    <n v="766700"/>
    <n v="276400"/>
  </r>
  <r>
    <n v="13768"/>
    <n v="13769"/>
    <x v="9"/>
    <s v="CO-00065"/>
    <s v="LONGMONT"/>
    <n v="80504"/>
    <s v="BOULDER"/>
    <s v="CO"/>
    <n v="56584"/>
    <n v="42707"/>
    <n v="13877"/>
    <n v="0"/>
    <n v="0"/>
    <n v="0"/>
  </r>
  <r>
    <n v="13768"/>
    <n v="13769"/>
    <x v="9"/>
    <s v="CO-00065"/>
    <s v="LONGMONT"/>
    <n v="80504"/>
    <s v="WELD"/>
    <s v="CO"/>
    <n v="395066"/>
    <n v="357073"/>
    <n v="37993"/>
    <n v="437300"/>
    <n v="353500"/>
    <n v="6300"/>
  </r>
  <r>
    <n v="13768"/>
    <n v="13769"/>
    <x v="9"/>
    <s v="CO-00065"/>
    <s v="LOUISVILLE"/>
    <n v="80027"/>
    <s v="BOULDER"/>
    <s v="CO"/>
    <n v="9550"/>
    <n v="9550"/>
    <n v="0"/>
    <n v="11200"/>
    <n v="9600"/>
    <n v="0"/>
  </r>
  <r>
    <n v="13768"/>
    <n v="13769"/>
    <x v="9"/>
    <s v="CO-00065"/>
    <s v="LOVELAND"/>
    <n v="80537"/>
    <s v="LARIMER"/>
    <s v="CO"/>
    <n v="5098995"/>
    <n v="3742909"/>
    <n v="1356086"/>
    <n v="1637600"/>
    <n v="791400"/>
    <n v="324100"/>
  </r>
  <r>
    <n v="13768"/>
    <n v="13769"/>
    <x v="9"/>
    <s v="CO-00065"/>
    <s v="LOVELAND"/>
    <n v="80538"/>
    <s v="LARIMER"/>
    <s v="CO"/>
    <n v="3039223"/>
    <n v="2789304"/>
    <n v="249919"/>
    <n v="2181100"/>
    <n v="2132400"/>
    <n v="3500"/>
  </r>
  <r>
    <n v="13768"/>
    <n v="13769"/>
    <x v="9"/>
    <s v="CO-00065"/>
    <s v="LYONS"/>
    <n v="80540"/>
    <s v="BOULDER"/>
    <s v="CO"/>
    <n v="8172126"/>
    <n v="7316040"/>
    <n v="856086"/>
    <n v="5593900"/>
    <n v="4858800"/>
    <n v="338600"/>
  </r>
  <r>
    <n v="13768"/>
    <n v="13769"/>
    <x v="9"/>
    <s v="CO-00065"/>
    <s v="LYONS"/>
    <n v="80540"/>
    <s v="LARIMER"/>
    <s v="CO"/>
    <n v="32477"/>
    <n v="32477"/>
    <n v="0"/>
    <n v="35800"/>
    <n v="32500"/>
    <n v="0"/>
  </r>
  <r>
    <n v="13768"/>
    <n v="13769"/>
    <x v="9"/>
    <s v="CO-00065"/>
    <s v="MANITOU SPRINGS"/>
    <n v="80829"/>
    <s v="EL PASO"/>
    <s v="CO"/>
    <n v="439761"/>
    <n v="434861"/>
    <n v="4900"/>
    <n v="140300"/>
    <n v="131500"/>
    <n v="2000"/>
  </r>
  <r>
    <n v="13768"/>
    <n v="13769"/>
    <x v="9"/>
    <s v="CO-00065"/>
    <s v="MERINO"/>
    <n v="80741"/>
    <s v="LOGAN"/>
    <s v="CO"/>
    <n v="0"/>
    <n v="0"/>
    <n v="0"/>
    <n v="29600"/>
    <n v="0"/>
    <n v="0"/>
  </r>
  <r>
    <n v="13768"/>
    <n v="13769"/>
    <x v="9"/>
    <s v="CO-00065"/>
    <s v="MILLIKEN"/>
    <n v="80543"/>
    <s v="WELD"/>
    <s v="CO"/>
    <n v="415067"/>
    <n v="393217"/>
    <n v="21850"/>
    <n v="114400"/>
    <n v="114400"/>
    <n v="0"/>
  </r>
  <r>
    <n v="13768"/>
    <n v="13769"/>
    <x v="9"/>
    <s v="CO-00065"/>
    <s v="NEDERLAND"/>
    <n v="80466"/>
    <s v="BOULDER"/>
    <s v="CO"/>
    <n v="97972"/>
    <n v="93472"/>
    <n v="4500"/>
    <n v="117000"/>
    <n v="93500"/>
    <n v="4500"/>
  </r>
  <r>
    <n v="13768"/>
    <n v="13769"/>
    <x v="9"/>
    <s v="CO-00065"/>
    <s v="NIWOT"/>
    <n v="80503"/>
    <s v="BOULDER"/>
    <s v="CO"/>
    <n v="27516"/>
    <n v="24016"/>
    <n v="3500"/>
    <n v="5200"/>
    <n v="5200"/>
    <n v="0"/>
  </r>
  <r>
    <n v="13768"/>
    <n v="13769"/>
    <x v="9"/>
    <s v="CO-00065"/>
    <s v="PEYTON"/>
    <n v="80831"/>
    <s v="EL PASO"/>
    <s v="CO"/>
    <n v="13160"/>
    <n v="13160"/>
    <n v="0"/>
    <n v="13200"/>
    <n v="13200"/>
    <n v="0"/>
  </r>
  <r>
    <n v="13768"/>
    <n v="13769"/>
    <x v="9"/>
    <s v="CO-00065"/>
    <s v="PLATTEVILLE"/>
    <n v="80651"/>
    <s v="WELD"/>
    <s v="CO"/>
    <n v="0"/>
    <n v="0"/>
    <n v="0"/>
    <n v="50000"/>
    <n v="0"/>
    <n v="0"/>
  </r>
  <r>
    <n v="13768"/>
    <n v="13769"/>
    <x v="9"/>
    <s v="CO-00065"/>
    <s v="STERLING"/>
    <n v="80751"/>
    <s v="LOGAN"/>
    <s v="CO"/>
    <n v="1134798"/>
    <n v="950972"/>
    <n v="183826"/>
    <n v="87200"/>
    <n v="34600"/>
    <n v="0"/>
  </r>
  <r>
    <n v="13768"/>
    <n v="13769"/>
    <x v="9"/>
    <s v="CO-00065"/>
    <s v="SUPERIOR"/>
    <n v="80027"/>
    <s v="BOULDER"/>
    <s v="CO"/>
    <n v="55592"/>
    <n v="46892"/>
    <n v="8700"/>
    <n v="0"/>
    <n v="0"/>
    <n v="0"/>
  </r>
  <r>
    <n v="13768"/>
    <n v="13769"/>
    <x v="9"/>
    <s v="CO-00065"/>
    <s v="THORNTON"/>
    <n v="80229"/>
    <s v="ADAMS"/>
    <s v="CO"/>
    <n v="54876"/>
    <n v="54876"/>
    <n v="0"/>
    <n v="54900"/>
    <n v="54900"/>
    <n v="0"/>
  </r>
  <r>
    <n v="13768"/>
    <n v="13769"/>
    <x v="9"/>
    <s v="CO-00065"/>
    <s v="THORNTON"/>
    <n v="80233"/>
    <s v="ADAMS"/>
    <s v="CO"/>
    <n v="21503"/>
    <n v="21503"/>
    <n v="0"/>
    <n v="20600"/>
    <n v="20600"/>
    <n v="0"/>
  </r>
  <r>
    <n v="13768"/>
    <n v="13769"/>
    <x v="9"/>
    <s v="CO-00065"/>
    <s v="WARD"/>
    <n v="80481"/>
    <s v="BOULDER"/>
    <s v="CO"/>
    <n v="63191"/>
    <n v="63191"/>
    <n v="0"/>
    <n v="0"/>
    <n v="0"/>
    <n v="0"/>
  </r>
  <r>
    <n v="13768"/>
    <n v="13769"/>
    <x v="9"/>
    <s v="CO-00065"/>
    <s v="WELDONA"/>
    <n v="80653"/>
    <s v="MORGAN"/>
    <s v="CO"/>
    <n v="147291"/>
    <n v="133341"/>
    <n v="13950"/>
    <n v="0"/>
    <n v="0"/>
    <n v="0"/>
  </r>
  <r>
    <n v="13768"/>
    <n v="13769"/>
    <x v="9"/>
    <s v="CO-00065"/>
    <s v="WINDSOR"/>
    <n v="80550"/>
    <s v="WELD"/>
    <s v="CO"/>
    <n v="11128"/>
    <n v="8128"/>
    <n v="3000"/>
    <n v="0"/>
    <n v="0"/>
    <n v="0"/>
  </r>
  <r>
    <m/>
    <m/>
    <x v="10"/>
    <m/>
    <m/>
    <m/>
    <m/>
    <m/>
    <m/>
    <m/>
    <m/>
    <m/>
    <m/>
    <m/>
  </r>
  <r>
    <s v="Business Data Only"/>
    <m/>
    <x v="10"/>
    <m/>
    <m/>
    <m/>
    <m/>
    <m/>
    <m/>
    <m/>
    <m/>
    <m/>
    <m/>
    <m/>
  </r>
  <r>
    <s v="United States Small Business Administration (SBA)         RPT-13304      Last modified: 10/20/2014"/>
    <m/>
    <x v="10"/>
    <m/>
    <m/>
    <m/>
    <m/>
    <m/>
    <m/>
    <m/>
    <m/>
    <m/>
    <m/>
    <m/>
  </r>
  <r>
    <m/>
    <m/>
    <x v="10"/>
    <m/>
    <m/>
    <m/>
    <m/>
    <m/>
    <m/>
    <m/>
    <m/>
    <m/>
    <m/>
    <m/>
  </r>
  <r>
    <m/>
    <m/>
    <x v="1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97">
  <r>
    <n v="13365"/>
    <n v="13366"/>
    <x v="0"/>
    <s v="NY-00130"/>
    <s v="ADDISLEIGH PARK"/>
    <n v="11434"/>
    <s v="QUEENS"/>
    <s v="NY"/>
    <n v="10925"/>
    <n v="0"/>
    <n v="10925"/>
    <n v="11000"/>
    <n v="0"/>
    <n v="11000"/>
  </r>
  <r>
    <n v="13365"/>
    <n v="13366"/>
    <x v="0"/>
    <s v="NY-00130"/>
    <s v="AIRMONT"/>
    <n v="10952"/>
    <s v="ROCKLAND"/>
    <s v="NY"/>
    <n v="268858"/>
    <n v="235885"/>
    <n v="32973"/>
    <n v="31300"/>
    <n v="28400"/>
    <n v="2900"/>
  </r>
  <r>
    <n v="13365"/>
    <n v="13366"/>
    <x v="0"/>
    <s v="NY-00130"/>
    <s v="ALBERTSON"/>
    <n v="11507"/>
    <s v="NASSAU"/>
    <s v="NY"/>
    <n v="25423"/>
    <n v="24923"/>
    <n v="500"/>
    <n v="18100"/>
    <n v="17600"/>
    <n v="500"/>
  </r>
  <r>
    <n v="13365"/>
    <n v="13366"/>
    <x v="0"/>
    <s v="NY-00130"/>
    <s v="AMAGANSETT"/>
    <n v="11930"/>
    <s v="SUFFOLK"/>
    <s v="NY"/>
    <n v="136258"/>
    <n v="116573"/>
    <n v="19685"/>
    <n v="62500"/>
    <n v="53400"/>
    <n v="9100"/>
  </r>
  <r>
    <n v="13365"/>
    <n v="13366"/>
    <x v="0"/>
    <s v="NY-00130"/>
    <s v="AMITY HARBOR"/>
    <n v="11701"/>
    <s v="SUFFOLK"/>
    <s v="NY"/>
    <n v="10894475"/>
    <n v="7817121"/>
    <n v="3077354"/>
    <n v="5192800"/>
    <n v="3231300"/>
    <n v="1824600"/>
  </r>
  <r>
    <n v="13365"/>
    <n v="13366"/>
    <x v="0"/>
    <s v="NY-00130"/>
    <s v="AMITY HARBOUR"/>
    <n v="11701"/>
    <s v="SUFFOLK"/>
    <s v="NY"/>
    <n v="72794"/>
    <n v="49899"/>
    <n v="22895"/>
    <n v="0"/>
    <n v="0"/>
    <n v="0"/>
  </r>
  <r>
    <n v="13365"/>
    <n v="13366"/>
    <x v="0"/>
    <s v="NY-00130"/>
    <s v="AMITYVILLE"/>
    <n v="11701"/>
    <s v="NASSAU"/>
    <s v="NY"/>
    <n v="103817"/>
    <n v="84057"/>
    <n v="19760"/>
    <n v="0"/>
    <n v="0"/>
    <n v="0"/>
  </r>
  <r>
    <n v="13365"/>
    <n v="13366"/>
    <x v="0"/>
    <s v="NY-00130"/>
    <s v="AMITYVILLE"/>
    <n v="11701"/>
    <s v="SUFFOLK"/>
    <s v="NY"/>
    <n v="65139834"/>
    <n v="48089540"/>
    <n v="17050294"/>
    <n v="28968000"/>
    <n v="20031700"/>
    <n v="8813300"/>
  </r>
  <r>
    <n v="13365"/>
    <n v="13366"/>
    <x v="0"/>
    <s v="NY-00130"/>
    <s v="AMITYVILLE"/>
    <n v="11701"/>
    <s v="SULLIVAN"/>
    <s v="NY"/>
    <n v="525"/>
    <n v="0"/>
    <n v="525"/>
    <n v="0"/>
    <n v="0"/>
    <n v="0"/>
  </r>
  <r>
    <n v="13365"/>
    <n v="13366"/>
    <x v="0"/>
    <s v="NY-00130"/>
    <s v="AMITYVILLE"/>
    <n v="11726"/>
    <s v="SUFFOLK"/>
    <s v="NY"/>
    <n v="184273"/>
    <n v="138773"/>
    <n v="45500"/>
    <n v="0"/>
    <n v="0"/>
    <n v="0"/>
  </r>
  <r>
    <n v="13365"/>
    <n v="13366"/>
    <x v="0"/>
    <s v="NY-00130"/>
    <s v="AMITYVILLE"/>
    <n v="11735"/>
    <s v="SUFFOLK"/>
    <s v="NY"/>
    <n v="252658"/>
    <n v="191708"/>
    <n v="60950"/>
    <n v="186900"/>
    <n v="146900"/>
    <n v="40000"/>
  </r>
  <r>
    <n v="13365"/>
    <n v="13366"/>
    <x v="0"/>
    <s v="NY-00130"/>
    <s v="AMITYVILLE"/>
    <n v="11803"/>
    <s v="SUFFOLK"/>
    <s v="NY"/>
    <n v="101728"/>
    <n v="66776"/>
    <n v="34952"/>
    <n v="0"/>
    <n v="0"/>
    <n v="0"/>
  </r>
  <r>
    <n v="13365"/>
    <n v="13366"/>
    <x v="0"/>
    <s v="NY-00130"/>
    <s v="AMITYVYLLE"/>
    <n v="11701"/>
    <s v="SUFFOLK"/>
    <s v="NY"/>
    <n v="94659"/>
    <n v="58859"/>
    <n v="35800"/>
    <n v="0"/>
    <n v="0"/>
    <n v="0"/>
  </r>
  <r>
    <n v="13365"/>
    <n v="13366"/>
    <x v="0"/>
    <s v="NY-00130"/>
    <s v="AQUEBOGUE"/>
    <n v="11901"/>
    <s v="SUFFOLK"/>
    <s v="NY"/>
    <n v="163717"/>
    <n v="126277"/>
    <n v="37440"/>
    <n v="88100"/>
    <n v="50700"/>
    <n v="37400"/>
  </r>
  <r>
    <n v="13365"/>
    <n v="13366"/>
    <x v="0"/>
    <s v="NY-00130"/>
    <s v="AQUEBOGUE"/>
    <n v="11931"/>
    <s v="SUFFOLK"/>
    <s v="NY"/>
    <n v="336548"/>
    <n v="281478"/>
    <n v="55070"/>
    <n v="193700"/>
    <n v="165200"/>
    <n v="28500"/>
  </r>
  <r>
    <n v="13365"/>
    <n v="13366"/>
    <x v="0"/>
    <s v="NY-00130"/>
    <s v="ARDSLEY"/>
    <n v="10502"/>
    <s v="WESTCHESTER"/>
    <s v="NY"/>
    <n v="16619"/>
    <n v="14819"/>
    <n v="1800"/>
    <n v="0"/>
    <n v="0"/>
    <n v="0"/>
  </r>
  <r>
    <n v="13365"/>
    <n v="13366"/>
    <x v="0"/>
    <s v="NY-00130"/>
    <s v="AREVRNE"/>
    <n v="11692"/>
    <s v="QUEENS"/>
    <s v="NY"/>
    <n v="103726"/>
    <n v="66626"/>
    <n v="37100"/>
    <n v="0"/>
    <n v="0"/>
    <n v="0"/>
  </r>
  <r>
    <n v="13365"/>
    <n v="13366"/>
    <x v="0"/>
    <s v="NY-00130"/>
    <s v="ARMONK"/>
    <n v="10504"/>
    <s v="WESTCHESTER"/>
    <s v="NY"/>
    <n v="343399"/>
    <n v="333049"/>
    <n v="10350"/>
    <n v="116700"/>
    <n v="115300"/>
    <n v="1400"/>
  </r>
  <r>
    <n v="13365"/>
    <n v="13366"/>
    <x v="0"/>
    <s v="NY-00130"/>
    <s v="ARVERNE"/>
    <n v="11212"/>
    <s v="NEW YORK"/>
    <s v="NY"/>
    <n v="21775"/>
    <n v="0"/>
    <n v="21775"/>
    <n v="0"/>
    <n v="0"/>
    <n v="0"/>
  </r>
  <r>
    <n v="13365"/>
    <n v="13366"/>
    <x v="0"/>
    <s v="NY-00130"/>
    <s v="ARVERNE"/>
    <n v="11230"/>
    <s v="QUEENS"/>
    <s v="NY"/>
    <n v="54183"/>
    <n v="36433"/>
    <n v="17750"/>
    <n v="0"/>
    <n v="0"/>
    <n v="0"/>
  </r>
  <r>
    <n v="13365"/>
    <n v="13366"/>
    <x v="0"/>
    <s v="NY-00130"/>
    <s v="ARVERNE"/>
    <n v="11691"/>
    <s v="QUEENS"/>
    <s v="NY"/>
    <n v="336444"/>
    <n v="171179"/>
    <n v="165265"/>
    <n v="0"/>
    <n v="0"/>
    <n v="0"/>
  </r>
  <r>
    <n v="13365"/>
    <n v="13366"/>
    <x v="0"/>
    <s v="NY-00130"/>
    <s v="ARVERNE"/>
    <n v="11692"/>
    <s v="NEW YORK"/>
    <s v="NY"/>
    <n v="271784"/>
    <n v="99609"/>
    <n v="172175"/>
    <n v="112700"/>
    <n v="39000"/>
    <n v="73700"/>
  </r>
  <r>
    <n v="13365"/>
    <n v="13366"/>
    <x v="0"/>
    <s v="NY-00130"/>
    <s v="ARVERNE"/>
    <n v="11692"/>
    <s v="QUEENS"/>
    <s v="NY"/>
    <n v="35906418"/>
    <n v="21681591"/>
    <n v="14224827"/>
    <n v="11211400"/>
    <n v="6277600"/>
    <n v="4933800"/>
  </r>
  <r>
    <n v="13365"/>
    <n v="13366"/>
    <x v="0"/>
    <s v="NY-00130"/>
    <s v="ARVERNE"/>
    <n v="11693"/>
    <s v="QUEENS"/>
    <s v="NY"/>
    <n v="52525"/>
    <n v="0"/>
    <n v="52525"/>
    <n v="20000"/>
    <n v="0"/>
    <n v="20000"/>
  </r>
  <r>
    <n v="13365"/>
    <n v="13366"/>
    <x v="0"/>
    <s v="NY-00130"/>
    <s v="ARVERNE"/>
    <n v="11699"/>
    <s v="QUEENS"/>
    <s v="NY"/>
    <n v="114149"/>
    <n v="78889"/>
    <n v="35260"/>
    <n v="0"/>
    <n v="0"/>
    <n v="0"/>
  </r>
  <r>
    <n v="13365"/>
    <n v="13366"/>
    <x v="0"/>
    <s v="NY-00130"/>
    <s v="ARVERNE"/>
    <n v="11962"/>
    <s v="QUEENS"/>
    <s v="NY"/>
    <n v="66815"/>
    <n v="56115"/>
    <n v="10700"/>
    <n v="28000"/>
    <n v="17300"/>
    <n v="10700"/>
  </r>
  <r>
    <n v="13365"/>
    <n v="13366"/>
    <x v="0"/>
    <s v="NY-00130"/>
    <s v="ARVERNE QUEENS"/>
    <n v="11692"/>
    <s v="QUEENS"/>
    <s v="NY"/>
    <n v="93234"/>
    <n v="51609"/>
    <n v="41625"/>
    <n v="0"/>
    <n v="0"/>
    <n v="0"/>
  </r>
  <r>
    <n v="13365"/>
    <n v="13366"/>
    <x v="0"/>
    <s v="NY-00130"/>
    <s v="ASHAROKEN"/>
    <n v="11768"/>
    <s v="SUFFOLK"/>
    <s v="NY"/>
    <n v="217779"/>
    <n v="111754"/>
    <n v="106025"/>
    <n v="117600"/>
    <n v="77600"/>
    <n v="40000"/>
  </r>
  <r>
    <n v="13365"/>
    <n v="13366"/>
    <x v="0"/>
    <s v="NY-00130"/>
    <s v="ASTORIA"/>
    <n v="11102"/>
    <s v="NEW YORK"/>
    <s v="NY"/>
    <n v="6775"/>
    <n v="0"/>
    <n v="6775"/>
    <n v="6800"/>
    <n v="0"/>
    <n v="6800"/>
  </r>
  <r>
    <n v="13365"/>
    <n v="13366"/>
    <x v="0"/>
    <s v="NY-00130"/>
    <s v="ASTORIA"/>
    <n v="11102"/>
    <s v="QUEENS"/>
    <s v="NY"/>
    <n v="85165"/>
    <n v="64978"/>
    <n v="20187"/>
    <n v="11100"/>
    <n v="0"/>
    <n v="11100"/>
  </r>
  <r>
    <n v="13365"/>
    <n v="13366"/>
    <x v="0"/>
    <s v="NY-00130"/>
    <s v="ASTORIA"/>
    <n v="11103"/>
    <s v="QUEENS"/>
    <s v="NY"/>
    <n v="27937"/>
    <n v="27937"/>
    <n v="0"/>
    <n v="11200"/>
    <n v="11200"/>
    <n v="0"/>
  </r>
  <r>
    <n v="13365"/>
    <n v="13366"/>
    <x v="0"/>
    <s v="NY-00130"/>
    <s v="ASTORIA"/>
    <n v="11103"/>
    <s v="RICHMOND"/>
    <s v="NY"/>
    <n v="6300"/>
    <n v="0"/>
    <n v="6300"/>
    <n v="0"/>
    <n v="0"/>
    <n v="0"/>
  </r>
  <r>
    <n v="13365"/>
    <n v="13366"/>
    <x v="0"/>
    <s v="NY-00130"/>
    <s v="ASTORIA"/>
    <n v="11105"/>
    <s v="QUEENS"/>
    <s v="NY"/>
    <n v="21979"/>
    <n v="16479"/>
    <n v="5500"/>
    <n v="11300"/>
    <n v="9600"/>
    <n v="1700"/>
  </r>
  <r>
    <n v="13365"/>
    <n v="13366"/>
    <x v="0"/>
    <s v="NY-00130"/>
    <s v="ASTORIA"/>
    <n v="11106"/>
    <s v="QUEENS"/>
    <s v="NY"/>
    <n v="26055"/>
    <n v="0"/>
    <n v="26055"/>
    <n v="1100"/>
    <n v="0"/>
    <n v="1100"/>
  </r>
  <r>
    <n v="13365"/>
    <n v="13366"/>
    <x v="0"/>
    <s v="NY-00130"/>
    <s v="ATLANTIC BEACH"/>
    <n v="11509"/>
    <s v="NASSAU"/>
    <s v="NY"/>
    <n v="11427376"/>
    <n v="7837774"/>
    <n v="3589602"/>
    <n v="4086200"/>
    <n v="2783400"/>
    <n v="1302800"/>
  </r>
  <r>
    <n v="13365"/>
    <n v="13366"/>
    <x v="0"/>
    <s v="NY-00130"/>
    <s v="AVERENE"/>
    <n v="11692"/>
    <s v="QUEENS"/>
    <s v="NY"/>
    <n v="76346"/>
    <n v="47046"/>
    <n v="29300"/>
    <n v="0"/>
    <n v="0"/>
    <n v="0"/>
  </r>
  <r>
    <n v="13365"/>
    <n v="13366"/>
    <x v="0"/>
    <s v="NY-00130"/>
    <s v="AVERNE"/>
    <n v="11692"/>
    <s v="KINGS"/>
    <s v="NY"/>
    <n v="3000"/>
    <n v="0"/>
    <n v="3000"/>
    <n v="0"/>
    <n v="0"/>
    <n v="0"/>
  </r>
  <r>
    <n v="13365"/>
    <n v="13366"/>
    <x v="0"/>
    <s v="NY-00130"/>
    <s v="AVERNE"/>
    <n v="11692"/>
    <s v="QUEENS"/>
    <s v="NY"/>
    <n v="135839"/>
    <n v="85789"/>
    <n v="50050"/>
    <n v="14000"/>
    <n v="0"/>
    <n v="14000"/>
  </r>
  <r>
    <n v="13365"/>
    <n v="13366"/>
    <x v="0"/>
    <s v="NY-00130"/>
    <s v="BABLYLON"/>
    <n v="11702"/>
    <s v="SUFFOLK"/>
    <s v="NY"/>
    <n v="14125"/>
    <n v="1500"/>
    <n v="12625"/>
    <n v="0"/>
    <n v="0"/>
    <n v="0"/>
  </r>
  <r>
    <n v="13365"/>
    <n v="13366"/>
    <x v="0"/>
    <s v="NY-00130"/>
    <s v="BABYLON"/>
    <n v="11701"/>
    <s v="SUFFOLK"/>
    <s v="NY"/>
    <n v="98759"/>
    <n v="71959"/>
    <n v="26800"/>
    <n v="0"/>
    <n v="0"/>
    <n v="0"/>
  </r>
  <r>
    <n v="13365"/>
    <n v="13366"/>
    <x v="0"/>
    <s v="NY-00130"/>
    <s v="BABYLON"/>
    <n v="11702"/>
    <s v="SUFFOLK"/>
    <s v="NY"/>
    <n v="69002957"/>
    <n v="51742867"/>
    <n v="17260090"/>
    <n v="31856200"/>
    <n v="22710300"/>
    <n v="8998800"/>
  </r>
  <r>
    <n v="13365"/>
    <n v="13366"/>
    <x v="0"/>
    <s v="NY-00130"/>
    <s v="BABYLON VILLAGE"/>
    <n v="11702"/>
    <s v="SUFFOLK"/>
    <s v="NY"/>
    <n v="110087"/>
    <n v="77562"/>
    <n v="32525"/>
    <n v="110100"/>
    <n v="77600"/>
    <n v="32500"/>
  </r>
  <r>
    <n v="13365"/>
    <n v="13366"/>
    <x v="0"/>
    <s v="NY-00130"/>
    <s v="BALDWIN"/>
    <n v="11510"/>
    <s v="NASSAU"/>
    <s v="NY"/>
    <n v="55142032"/>
    <n v="39478226"/>
    <n v="15663806"/>
    <n v="21336700"/>
    <n v="14703200"/>
    <n v="6627800"/>
  </r>
  <r>
    <n v="13365"/>
    <n v="13366"/>
    <x v="0"/>
    <s v="NY-00130"/>
    <s v="BALDWIN"/>
    <n v="11510"/>
    <s v="NEW YORK"/>
    <s v="NY"/>
    <n v="188448"/>
    <n v="145948"/>
    <n v="42500"/>
    <n v="94100"/>
    <n v="70300"/>
    <n v="23800"/>
  </r>
  <r>
    <n v="13365"/>
    <n v="13366"/>
    <x v="0"/>
    <s v="NY-00130"/>
    <s v="BALDWIN"/>
    <n v="11520"/>
    <s v="NASSAU"/>
    <s v="NY"/>
    <n v="4300"/>
    <n v="0"/>
    <n v="4300"/>
    <n v="0"/>
    <n v="0"/>
    <n v="0"/>
  </r>
  <r>
    <n v="13365"/>
    <n v="13366"/>
    <x v="0"/>
    <s v="NY-00130"/>
    <s v="BALDWIN"/>
    <n v="11572"/>
    <s v="NASSAU"/>
    <s v="NY"/>
    <n v="16100"/>
    <n v="0"/>
    <n v="16100"/>
    <n v="16100"/>
    <n v="0"/>
    <n v="16100"/>
  </r>
  <r>
    <n v="13365"/>
    <n v="13366"/>
    <x v="0"/>
    <s v="NY-00130"/>
    <s v="BALDWIN HARBOR"/>
    <n v="11510"/>
    <s v="NASSAU"/>
    <s v="NY"/>
    <n v="2914280"/>
    <n v="2134984"/>
    <n v="779296"/>
    <n v="1235000"/>
    <n v="909900"/>
    <n v="325100"/>
  </r>
  <r>
    <n v="13365"/>
    <n v="13366"/>
    <x v="0"/>
    <s v="NY-00130"/>
    <s v="BALDWIN HARBOUR"/>
    <n v="11510"/>
    <s v="NASSAU"/>
    <s v="NY"/>
    <n v="52159"/>
    <n v="29334"/>
    <n v="22825"/>
    <n v="0"/>
    <n v="0"/>
    <n v="0"/>
  </r>
  <r>
    <n v="13365"/>
    <n v="13366"/>
    <x v="0"/>
    <s v="NY-00130"/>
    <s v="BALDWIN PLACE"/>
    <n v="10505"/>
    <s v="WESTCHESTER"/>
    <s v="NY"/>
    <n v="52656"/>
    <n v="49156"/>
    <n v="3500"/>
    <n v="37700"/>
    <n v="34200"/>
    <n v="3500"/>
  </r>
  <r>
    <n v="13365"/>
    <n v="13366"/>
    <x v="0"/>
    <s v="NY-00130"/>
    <s v="BAY SHORE"/>
    <n v="11702"/>
    <s v="SUFFOLK"/>
    <s v="NY"/>
    <n v="152724"/>
    <n v="121174"/>
    <n v="31550"/>
    <n v="0"/>
    <n v="0"/>
    <n v="0"/>
  </r>
  <r>
    <n v="13365"/>
    <n v="13366"/>
    <x v="0"/>
    <s v="NY-00130"/>
    <s v="BAY SHORE"/>
    <n v="11706"/>
    <s v="SUFFOLK"/>
    <s v="NY"/>
    <n v="10982571"/>
    <n v="8892996"/>
    <n v="2089575"/>
    <n v="4178800"/>
    <n v="3163700"/>
    <n v="1015100"/>
  </r>
  <r>
    <n v="13365"/>
    <n v="13366"/>
    <x v="0"/>
    <s v="NY-00130"/>
    <s v="BAYPORT"/>
    <n v="11705"/>
    <s v="SUFFOLK"/>
    <s v="NY"/>
    <n v="3739216"/>
    <n v="3221496"/>
    <n v="517720"/>
    <n v="1769600"/>
    <n v="1521700"/>
    <n v="247900"/>
  </r>
  <r>
    <n v="13365"/>
    <n v="13366"/>
    <x v="0"/>
    <s v="NY-00130"/>
    <s v="BAYSHORE"/>
    <n v="11706"/>
    <s v="SUFFOLK"/>
    <s v="NY"/>
    <n v="620606"/>
    <n v="517701"/>
    <n v="102905"/>
    <n v="66800"/>
    <n v="52000"/>
    <n v="14800"/>
  </r>
  <r>
    <n v="13365"/>
    <n v="13366"/>
    <x v="0"/>
    <s v="NY-00130"/>
    <s v="BAYSIDE"/>
    <n v="11360"/>
    <s v="NEW YORK"/>
    <s v="NY"/>
    <n v="6065"/>
    <n v="5665"/>
    <n v="400"/>
    <n v="3700"/>
    <n v="3300"/>
    <n v="400"/>
  </r>
  <r>
    <n v="13365"/>
    <n v="13366"/>
    <x v="0"/>
    <s v="NY-00130"/>
    <s v="BAYSIDE"/>
    <n v="11360"/>
    <s v="QUEENS"/>
    <s v="NY"/>
    <n v="15822"/>
    <n v="15822"/>
    <n v="0"/>
    <n v="11400"/>
    <n v="11400"/>
    <n v="0"/>
  </r>
  <r>
    <n v="13365"/>
    <n v="13366"/>
    <x v="0"/>
    <s v="NY-00130"/>
    <s v="BAYSIDE"/>
    <n v="11361"/>
    <s v="NEW YORK"/>
    <s v="NY"/>
    <n v="21564"/>
    <n v="21564"/>
    <n v="0"/>
    <n v="21600"/>
    <n v="21600"/>
    <n v="0"/>
  </r>
  <r>
    <n v="13365"/>
    <n v="13366"/>
    <x v="0"/>
    <s v="NY-00130"/>
    <s v="BAYSIDE"/>
    <n v="11361"/>
    <s v="QUEENS"/>
    <s v="NY"/>
    <n v="57796"/>
    <n v="15641"/>
    <n v="42155"/>
    <n v="19200"/>
    <n v="14000"/>
    <n v="5200"/>
  </r>
  <r>
    <n v="13365"/>
    <n v="13366"/>
    <x v="0"/>
    <s v="NY-00130"/>
    <s v="BAYSIDE"/>
    <n v="11364"/>
    <s v="QUEENS"/>
    <s v="NY"/>
    <n v="19837"/>
    <n v="19837"/>
    <n v="0"/>
    <n v="0"/>
    <n v="0"/>
    <n v="0"/>
  </r>
  <r>
    <n v="13365"/>
    <n v="13366"/>
    <x v="0"/>
    <s v="NY-00130"/>
    <s v="BAYSIDE HILLS"/>
    <n v="11364"/>
    <s v="QUEENS"/>
    <s v="NY"/>
    <n v="11169"/>
    <n v="9869"/>
    <n v="1300"/>
    <n v="0"/>
    <n v="0"/>
    <n v="0"/>
  </r>
  <r>
    <n v="13365"/>
    <n v="13366"/>
    <x v="0"/>
    <s v="NY-00130"/>
    <s v="BAYSWATER"/>
    <n v="11691"/>
    <s v="QUEENS"/>
    <s v="NY"/>
    <n v="27155"/>
    <n v="26355"/>
    <n v="800"/>
    <n v="0"/>
    <n v="0"/>
    <n v="0"/>
  </r>
  <r>
    <n v="13365"/>
    <n v="13366"/>
    <x v="0"/>
    <s v="NY-00130"/>
    <s v="BAYVILLE"/>
    <n v="11709"/>
    <s v="NASSAU"/>
    <s v="NY"/>
    <n v="4909746"/>
    <n v="3602753"/>
    <n v="1306993"/>
    <n v="2346400"/>
    <n v="1602700"/>
    <n v="743700"/>
  </r>
  <r>
    <n v="13365"/>
    <n v="13366"/>
    <x v="0"/>
    <s v="NY-00130"/>
    <s v="BE;;E HARBOR"/>
    <n v="11694"/>
    <s v="QUEENS"/>
    <s v="NY"/>
    <n v="97367"/>
    <n v="64367"/>
    <n v="33000"/>
    <n v="0"/>
    <n v="0"/>
    <n v="0"/>
  </r>
  <r>
    <n v="13365"/>
    <n v="13366"/>
    <x v="0"/>
    <s v="NY-00130"/>
    <s v="BEDFORD"/>
    <n v="10506"/>
    <s v="WESTCHESTER"/>
    <s v="NY"/>
    <n v="59171"/>
    <n v="43646"/>
    <n v="15525"/>
    <n v="40700"/>
    <n v="37300"/>
    <n v="3400"/>
  </r>
  <r>
    <n v="13365"/>
    <n v="13366"/>
    <x v="0"/>
    <s v="NY-00130"/>
    <s v="BEDFORD HILLS"/>
    <n v="10507"/>
    <s v="WESTCHESTER"/>
    <s v="NY"/>
    <n v="128398"/>
    <n v="110848"/>
    <n v="17550"/>
    <n v="14000"/>
    <n v="600"/>
    <n v="13400"/>
  </r>
  <r>
    <n v="13365"/>
    <n v="13366"/>
    <x v="0"/>
    <s v="NY-00130"/>
    <s v="BELL HARBOR"/>
    <n v="11694"/>
    <s v="QUEENS"/>
    <s v="NY"/>
    <n v="201790"/>
    <n v="170465"/>
    <n v="31325"/>
    <n v="169200"/>
    <n v="137900"/>
    <n v="31300"/>
  </r>
  <r>
    <n v="13365"/>
    <n v="13366"/>
    <x v="0"/>
    <s v="NY-00130"/>
    <s v="BELLE  HARBOR"/>
    <n v="11694"/>
    <s v="QUEENS"/>
    <s v="NY"/>
    <n v="92987"/>
    <n v="85487"/>
    <n v="7500"/>
    <n v="74300"/>
    <n v="66800"/>
    <n v="7500"/>
  </r>
  <r>
    <n v="13365"/>
    <n v="13366"/>
    <x v="0"/>
    <s v="NY-00130"/>
    <s v="BELLE HARBOR"/>
    <n v="11691"/>
    <s v="QUEENS"/>
    <s v="NY"/>
    <n v="41600"/>
    <n v="0"/>
    <n v="41600"/>
    <n v="0"/>
    <n v="0"/>
    <n v="0"/>
  </r>
  <r>
    <n v="13365"/>
    <n v="13366"/>
    <x v="0"/>
    <s v="NY-00130"/>
    <s v="BELLE HARBOR"/>
    <n v="11693"/>
    <s v="QUEENS"/>
    <s v="NY"/>
    <n v="145948"/>
    <n v="102798"/>
    <n v="43150"/>
    <n v="86000"/>
    <n v="52800"/>
    <n v="33200"/>
  </r>
  <r>
    <n v="13365"/>
    <n v="13366"/>
    <x v="0"/>
    <s v="NY-00130"/>
    <s v="BELLE HARBOR"/>
    <n v="11694"/>
    <s v="KINGS"/>
    <s v="NY"/>
    <n v="105042"/>
    <n v="94292"/>
    <n v="10750"/>
    <n v="0"/>
    <n v="0"/>
    <n v="0"/>
  </r>
  <r>
    <n v="13365"/>
    <n v="13366"/>
    <x v="0"/>
    <s v="NY-00130"/>
    <s v="BELLE HARBOR"/>
    <n v="11694"/>
    <s v="NEW YORK"/>
    <s v="NY"/>
    <n v="113691"/>
    <n v="85516"/>
    <n v="28175"/>
    <n v="0"/>
    <n v="0"/>
    <n v="0"/>
  </r>
  <r>
    <n v="13365"/>
    <n v="13366"/>
    <x v="0"/>
    <s v="NY-00130"/>
    <s v="BELLE HARBOR"/>
    <n v="11694"/>
    <s v="QUEENS"/>
    <s v="NY"/>
    <n v="76263427"/>
    <n v="51836689"/>
    <n v="24426738"/>
    <n v="35742300"/>
    <n v="24846100"/>
    <n v="10896200"/>
  </r>
  <r>
    <n v="13365"/>
    <n v="13366"/>
    <x v="0"/>
    <s v="NY-00130"/>
    <s v="BELLE HARBOR"/>
    <n v="11695"/>
    <s v="QUEENS"/>
    <s v="NY"/>
    <n v="122640"/>
    <n v="83375"/>
    <n v="39265"/>
    <n v="61100"/>
    <n v="26500"/>
    <n v="34600"/>
  </r>
  <r>
    <n v="13365"/>
    <n v="13366"/>
    <x v="0"/>
    <s v="NY-00130"/>
    <s v="BELLE HARBOR"/>
    <n v="11696"/>
    <s v="QUEENS"/>
    <s v="NY"/>
    <n v="53366"/>
    <n v="51266"/>
    <n v="2100"/>
    <n v="0"/>
    <n v="0"/>
    <n v="0"/>
  </r>
  <r>
    <n v="13365"/>
    <n v="13366"/>
    <x v="0"/>
    <s v="NY-00130"/>
    <s v="BELLE HARBROR"/>
    <n v="11694"/>
    <s v="QUEENS"/>
    <s v="NY"/>
    <n v="68136"/>
    <n v="11936"/>
    <n v="56200"/>
    <n v="0"/>
    <n v="0"/>
    <n v="0"/>
  </r>
  <r>
    <n v="13365"/>
    <n v="13366"/>
    <x v="0"/>
    <s v="NY-00130"/>
    <s v="BELLEROSE"/>
    <n v="11426"/>
    <s v="QUEENS"/>
    <s v="NY"/>
    <n v="166543"/>
    <n v="139943"/>
    <n v="26600"/>
    <n v="66800"/>
    <n v="50800"/>
    <n v="16000"/>
  </r>
  <r>
    <n v="13365"/>
    <n v="13366"/>
    <x v="0"/>
    <s v="NY-00130"/>
    <s v="BELLMORE"/>
    <n v="11710"/>
    <s v="NASSAU"/>
    <s v="NY"/>
    <n v="50208449"/>
    <n v="36287150"/>
    <n v="13921299"/>
    <n v="20930000"/>
    <n v="14390200"/>
    <n v="6526100"/>
  </r>
  <r>
    <n v="13365"/>
    <n v="13366"/>
    <x v="0"/>
    <s v="NY-00130"/>
    <s v="BELLMORE"/>
    <n v="11735"/>
    <s v="NASSAU"/>
    <s v="NY"/>
    <n v="54175"/>
    <n v="0"/>
    <n v="54175"/>
    <n v="14000"/>
    <n v="0"/>
    <n v="14000"/>
  </r>
  <r>
    <n v="13365"/>
    <n v="13366"/>
    <x v="0"/>
    <s v="NY-00130"/>
    <s v="BELLO HARBOR"/>
    <n v="11694"/>
    <s v="QUEENS"/>
    <s v="NY"/>
    <n v="15460"/>
    <n v="0"/>
    <n v="15460"/>
    <n v="0"/>
    <n v="0"/>
    <n v="0"/>
  </r>
  <r>
    <n v="13365"/>
    <n v="13366"/>
    <x v="0"/>
    <s v="NY-00130"/>
    <s v="BELLPORT"/>
    <n v="11713"/>
    <s v="SUFFOLK"/>
    <s v="NY"/>
    <n v="75226"/>
    <n v="69426"/>
    <n v="5800"/>
    <n v="32100"/>
    <n v="29600"/>
    <n v="2500"/>
  </r>
  <r>
    <n v="13365"/>
    <n v="13366"/>
    <x v="0"/>
    <s v="NY-00130"/>
    <s v="BELLROSE"/>
    <n v="11426"/>
    <s v="QUEENS"/>
    <s v="NY"/>
    <n v="13500"/>
    <n v="0"/>
    <n v="13500"/>
    <n v="0"/>
    <n v="0"/>
    <n v="0"/>
  </r>
  <r>
    <n v="13365"/>
    <n v="13366"/>
    <x v="0"/>
    <s v="NY-00130"/>
    <s v="BELMMORE"/>
    <n v="11710"/>
    <s v="NASSAU"/>
    <s v="NY"/>
    <n v="127355"/>
    <n v="39080"/>
    <n v="88275"/>
    <n v="29400"/>
    <n v="18700"/>
    <n v="10700"/>
  </r>
  <r>
    <n v="13365"/>
    <n v="13366"/>
    <x v="0"/>
    <s v="NY-00130"/>
    <s v="BEOOKLYN"/>
    <n v="11224"/>
    <s v="KINGS"/>
    <s v="NY"/>
    <n v="85473"/>
    <n v="67748"/>
    <n v="17725"/>
    <n v="0"/>
    <n v="0"/>
    <n v="0"/>
  </r>
  <r>
    <n v="13365"/>
    <n v="13366"/>
    <x v="0"/>
    <s v="NY-00130"/>
    <s v="BETHPAGE"/>
    <n v="11714"/>
    <s v="NASSAU"/>
    <s v="NY"/>
    <n v="412335"/>
    <n v="345660"/>
    <n v="66675"/>
    <n v="113500"/>
    <n v="101000"/>
    <n v="12500"/>
  </r>
  <r>
    <n v="13365"/>
    <n v="13366"/>
    <x v="0"/>
    <s v="NY-00130"/>
    <s v="BKLYN"/>
    <n v="11207"/>
    <s v="NEW YORK"/>
    <s v="NY"/>
    <n v="6200"/>
    <n v="0"/>
    <n v="6200"/>
    <n v="0"/>
    <n v="0"/>
    <n v="0"/>
  </r>
  <r>
    <n v="13365"/>
    <n v="13366"/>
    <x v="0"/>
    <s v="NY-00130"/>
    <s v="BKLYN"/>
    <n v="11224"/>
    <s v="KINGS"/>
    <s v="NY"/>
    <n v="36225"/>
    <n v="0"/>
    <n v="36225"/>
    <n v="29300"/>
    <n v="0"/>
    <n v="29300"/>
  </r>
  <r>
    <n v="13365"/>
    <n v="13366"/>
    <x v="0"/>
    <s v="NY-00130"/>
    <s v="BKLYN"/>
    <n v="11226"/>
    <s v="NEW YORK"/>
    <s v="NY"/>
    <n v="1830"/>
    <n v="1830"/>
    <n v="0"/>
    <n v="0"/>
    <n v="0"/>
    <n v="0"/>
  </r>
  <r>
    <n v="13365"/>
    <n v="13366"/>
    <x v="0"/>
    <s v="NY-00130"/>
    <s v="BKYLN"/>
    <n v="11236"/>
    <s v="KINGS"/>
    <s v="NY"/>
    <n v="17975"/>
    <n v="0"/>
    <n v="17975"/>
    <n v="0"/>
    <n v="0"/>
    <n v="0"/>
  </r>
  <r>
    <n v="13365"/>
    <n v="13366"/>
    <x v="0"/>
    <s v="NY-00130"/>
    <s v="BLAUVELT"/>
    <n v="10913"/>
    <s v="ROCKLAND"/>
    <s v="NY"/>
    <n v="544972"/>
    <n v="498897"/>
    <n v="46075"/>
    <n v="12900"/>
    <n v="7400"/>
    <n v="5500"/>
  </r>
  <r>
    <n v="13365"/>
    <n v="13366"/>
    <x v="0"/>
    <s v="NY-00130"/>
    <s v="BLOOMINGBURG"/>
    <n v="12721"/>
    <s v="SULLIVAN"/>
    <s v="NY"/>
    <n v="151702"/>
    <n v="143352"/>
    <n v="8350"/>
    <n v="96500"/>
    <n v="88100"/>
    <n v="8400"/>
  </r>
  <r>
    <n v="13365"/>
    <n v="13366"/>
    <x v="0"/>
    <s v="NY-00130"/>
    <s v="BLUE POINT"/>
    <n v="11715"/>
    <s v="SUFFOLK"/>
    <s v="NY"/>
    <n v="6011029"/>
    <n v="4811886"/>
    <n v="1199143"/>
    <n v="3041400"/>
    <n v="2381800"/>
    <n v="659600"/>
  </r>
  <r>
    <n v="13365"/>
    <n v="13366"/>
    <x v="0"/>
    <s v="NY-00130"/>
    <s v="BOHEMIA"/>
    <n v="11716"/>
    <s v="SUFFOLK"/>
    <s v="NY"/>
    <n v="28007"/>
    <n v="21257"/>
    <n v="6750"/>
    <n v="0"/>
    <n v="0"/>
    <n v="0"/>
  </r>
  <r>
    <n v="13365"/>
    <n v="13366"/>
    <x v="0"/>
    <s v="NY-00130"/>
    <s v="BRAOD CHANNEL"/>
    <n v="11693"/>
    <s v="QUEENS"/>
    <s v="NY"/>
    <n v="131152"/>
    <n v="86852"/>
    <n v="44300"/>
    <n v="13600"/>
    <n v="0"/>
    <n v="13600"/>
  </r>
  <r>
    <n v="13365"/>
    <n v="13366"/>
    <x v="0"/>
    <s v="NY-00130"/>
    <s v="BREEZE"/>
    <n v="11697"/>
    <s v="QUEENS"/>
    <s v="NY"/>
    <n v="107561"/>
    <n v="63561"/>
    <n v="44000"/>
    <n v="0"/>
    <n v="0"/>
    <n v="0"/>
  </r>
  <r>
    <n v="13365"/>
    <n v="13366"/>
    <x v="0"/>
    <s v="NY-00130"/>
    <s v="BREEZY  POINT"/>
    <n v="11697"/>
    <s v="QUEENS"/>
    <s v="NY"/>
    <n v="93453"/>
    <n v="61128"/>
    <n v="32325"/>
    <n v="74600"/>
    <n v="42300"/>
    <n v="32300"/>
  </r>
  <r>
    <n v="13365"/>
    <n v="13366"/>
    <x v="0"/>
    <s v="NY-00130"/>
    <s v="BREEZY POINT"/>
    <n v="10463"/>
    <s v="QUEENS"/>
    <s v="NY"/>
    <n v="164051"/>
    <n v="133876"/>
    <n v="30175"/>
    <n v="0"/>
    <n v="0"/>
    <n v="0"/>
  </r>
  <r>
    <n v="13365"/>
    <n v="13366"/>
    <x v="0"/>
    <s v="NY-00130"/>
    <s v="BREEZY POINT"/>
    <n v="11694"/>
    <s v="QUEENS"/>
    <s v="NY"/>
    <n v="385807"/>
    <n v="295532"/>
    <n v="90275"/>
    <n v="0"/>
    <n v="0"/>
    <n v="0"/>
  </r>
  <r>
    <n v="13365"/>
    <n v="13366"/>
    <x v="0"/>
    <s v="NY-00130"/>
    <s v="BREEZY POINT"/>
    <n v="11697"/>
    <s v="KINGS"/>
    <s v="NY"/>
    <n v="90977"/>
    <n v="75017"/>
    <n v="15960"/>
    <n v="0"/>
    <n v="0"/>
    <n v="0"/>
  </r>
  <r>
    <n v="13365"/>
    <n v="13366"/>
    <x v="0"/>
    <s v="NY-00130"/>
    <s v="BREEZY POINT"/>
    <n v="11697"/>
    <s v="NEW YORK"/>
    <s v="NY"/>
    <n v="781526"/>
    <n v="581941"/>
    <n v="199585"/>
    <n v="11400"/>
    <n v="0"/>
    <n v="11400"/>
  </r>
  <r>
    <n v="13365"/>
    <n v="13366"/>
    <x v="0"/>
    <s v="NY-00130"/>
    <s v="BREEZY POINT"/>
    <n v="11697"/>
    <s v="QUEENS"/>
    <s v="NY"/>
    <n v="112867445"/>
    <n v="83334970"/>
    <n v="29532475"/>
    <n v="48658900"/>
    <n v="33373800"/>
    <n v="15285100"/>
  </r>
  <r>
    <n v="13365"/>
    <n v="13366"/>
    <x v="0"/>
    <s v="NY-00130"/>
    <s v="BREEZY PT"/>
    <n v="11697"/>
    <s v="QUEENS"/>
    <s v="NY"/>
    <n v="236897"/>
    <n v="187187"/>
    <n v="49710"/>
    <n v="0"/>
    <n v="0"/>
    <n v="0"/>
  </r>
  <r>
    <n v="13365"/>
    <n v="13366"/>
    <x v="0"/>
    <s v="NY-00130"/>
    <s v="BRENTWOOD"/>
    <n v="11717"/>
    <s v="NEW YORK"/>
    <s v="NY"/>
    <n v="8482"/>
    <n v="6007"/>
    <n v="2475"/>
    <n v="2400"/>
    <n v="0"/>
    <n v="2400"/>
  </r>
  <r>
    <n v="13365"/>
    <n v="13366"/>
    <x v="0"/>
    <s v="NY-00130"/>
    <s v="BRENTWOOD"/>
    <n v="11717"/>
    <s v="SUFFOLK"/>
    <s v="NY"/>
    <n v="1053011"/>
    <n v="897385"/>
    <n v="155626"/>
    <n v="588400"/>
    <n v="495600"/>
    <n v="92800"/>
  </r>
  <r>
    <n v="13365"/>
    <n v="13366"/>
    <x v="0"/>
    <s v="NY-00130"/>
    <s v="BRIARCLIFF MANOR"/>
    <n v="10510"/>
    <s v="WESTCHESTER"/>
    <s v="NY"/>
    <n v="117186"/>
    <n v="107761"/>
    <n v="9425"/>
    <n v="87100"/>
    <n v="78500"/>
    <n v="8600"/>
  </r>
  <r>
    <n v="13365"/>
    <n v="13366"/>
    <x v="0"/>
    <s v="NY-00130"/>
    <s v="BRIARWOOD"/>
    <n v="11415"/>
    <s v="QUEENS"/>
    <s v="NY"/>
    <n v="5375"/>
    <n v="0"/>
    <n v="5375"/>
    <n v="5400"/>
    <n v="0"/>
    <n v="5400"/>
  </r>
  <r>
    <n v="13365"/>
    <n v="13366"/>
    <x v="0"/>
    <s v="NY-00130"/>
    <s v="BRIARWOOD"/>
    <n v="11435"/>
    <s v="QUEENS"/>
    <s v="NY"/>
    <n v="16611"/>
    <n v="16611"/>
    <n v="0"/>
    <n v="16500"/>
    <n v="16500"/>
    <n v="0"/>
  </r>
  <r>
    <n v="13365"/>
    <n v="13366"/>
    <x v="0"/>
    <s v="NY-00130"/>
    <s v="BRIDGEHAMPTON"/>
    <n v="11932"/>
    <s v="SUFFOLK"/>
    <s v="NY"/>
    <n v="124561"/>
    <n v="115061"/>
    <n v="9500"/>
    <n v="104500"/>
    <n v="95000"/>
    <n v="9500"/>
  </r>
  <r>
    <n v="13365"/>
    <n v="13366"/>
    <x v="0"/>
    <s v="NY-00130"/>
    <s v="BRIGHTWATERS"/>
    <n v="11718"/>
    <s v="SUFFOLK"/>
    <s v="NY"/>
    <n v="1600609"/>
    <n v="1459897"/>
    <n v="140712"/>
    <n v="464700"/>
    <n v="425700"/>
    <n v="39000"/>
  </r>
  <r>
    <n v="13365"/>
    <n v="13366"/>
    <x v="0"/>
    <s v="NY-00130"/>
    <s v="BRKLYN"/>
    <n v="11236"/>
    <s v="KINGS"/>
    <s v="NY"/>
    <n v="4900"/>
    <n v="0"/>
    <n v="4900"/>
    <n v="4900"/>
    <n v="0"/>
    <n v="4900"/>
  </r>
  <r>
    <n v="13365"/>
    <n v="13366"/>
    <x v="0"/>
    <s v="NY-00130"/>
    <s v="BROAD  CHANNEL"/>
    <n v="11693"/>
    <s v="QUEENS"/>
    <s v="NY"/>
    <n v="18000"/>
    <n v="0"/>
    <n v="18000"/>
    <n v="0"/>
    <n v="0"/>
    <n v="0"/>
  </r>
  <r>
    <n v="13365"/>
    <n v="13366"/>
    <x v="0"/>
    <s v="NY-00130"/>
    <s v="BROAD CHANNEL"/>
    <n v="11414"/>
    <s v="QUEENS"/>
    <s v="NY"/>
    <n v="17375"/>
    <n v="0"/>
    <n v="17375"/>
    <n v="0"/>
    <n v="0"/>
    <n v="0"/>
  </r>
  <r>
    <n v="13365"/>
    <n v="13366"/>
    <x v="0"/>
    <s v="NY-00130"/>
    <s v="BROAD CHANNEL"/>
    <n v="11693"/>
    <s v="NEW YORK"/>
    <s v="NY"/>
    <n v="273535"/>
    <n v="167210"/>
    <n v="106325"/>
    <n v="71000"/>
    <n v="32900"/>
    <n v="38100"/>
  </r>
  <r>
    <n v="13365"/>
    <n v="13366"/>
    <x v="0"/>
    <s v="NY-00130"/>
    <s v="BROAD CHANNEL"/>
    <n v="11693"/>
    <s v="QUEENS"/>
    <s v="NY"/>
    <n v="49684164"/>
    <n v="34997592"/>
    <n v="14686572"/>
    <n v="26963600"/>
    <n v="18226900"/>
    <n v="8736700"/>
  </r>
  <r>
    <n v="13365"/>
    <n v="13366"/>
    <x v="0"/>
    <s v="NY-00130"/>
    <s v="BROKLYN"/>
    <n v="11224"/>
    <s v="KINGS"/>
    <s v="NY"/>
    <n v="24000"/>
    <n v="0"/>
    <n v="24000"/>
    <n v="0"/>
    <n v="0"/>
    <n v="0"/>
  </r>
  <r>
    <n v="13365"/>
    <n v="13366"/>
    <x v="0"/>
    <s v="NY-00130"/>
    <s v="BROKLYN"/>
    <n v="11236"/>
    <s v="KINGS"/>
    <s v="NY"/>
    <n v="10900"/>
    <n v="0"/>
    <n v="10900"/>
    <n v="3700"/>
    <n v="0"/>
    <n v="3700"/>
  </r>
  <r>
    <n v="13365"/>
    <n v="13366"/>
    <x v="0"/>
    <s v="NY-00130"/>
    <s v="BRONX"/>
    <n v="10451"/>
    <s v="BRONX"/>
    <s v="NY"/>
    <n v="2750"/>
    <n v="0"/>
    <n v="2750"/>
    <n v="2800"/>
    <n v="0"/>
    <n v="2800"/>
  </r>
  <r>
    <n v="13365"/>
    <n v="13366"/>
    <x v="0"/>
    <s v="NY-00130"/>
    <s v="BRONX"/>
    <n v="10451"/>
    <s v="NEW YORK"/>
    <s v="NY"/>
    <n v="1900"/>
    <n v="0"/>
    <n v="1900"/>
    <n v="0"/>
    <n v="0"/>
    <n v="0"/>
  </r>
  <r>
    <n v="13365"/>
    <n v="13366"/>
    <x v="0"/>
    <s v="NY-00130"/>
    <s v="BRONX"/>
    <n v="10452"/>
    <s v="BRONX"/>
    <s v="NY"/>
    <n v="16280"/>
    <n v="0"/>
    <n v="16280"/>
    <n v="0"/>
    <n v="0"/>
    <n v="0"/>
  </r>
  <r>
    <n v="13365"/>
    <n v="13366"/>
    <x v="0"/>
    <s v="NY-00130"/>
    <s v="BRONX"/>
    <n v="10452"/>
    <s v="QUEENS"/>
    <s v="NY"/>
    <n v="6750"/>
    <n v="0"/>
    <n v="6750"/>
    <n v="6800"/>
    <n v="0"/>
    <n v="6800"/>
  </r>
  <r>
    <n v="13365"/>
    <n v="13366"/>
    <x v="0"/>
    <s v="NY-00130"/>
    <s v="BRONX"/>
    <n v="10453"/>
    <s v="BRONX"/>
    <s v="NY"/>
    <n v="36575"/>
    <n v="0"/>
    <n v="36575"/>
    <n v="20700"/>
    <n v="0"/>
    <n v="20700"/>
  </r>
  <r>
    <n v="13365"/>
    <n v="13366"/>
    <x v="0"/>
    <s v="NY-00130"/>
    <s v="BRONX"/>
    <n v="10454"/>
    <s v="BRONX"/>
    <s v="NY"/>
    <n v="39284"/>
    <n v="7184"/>
    <n v="32100"/>
    <n v="0"/>
    <n v="0"/>
    <n v="0"/>
  </r>
  <r>
    <n v="13365"/>
    <n v="13366"/>
    <x v="0"/>
    <s v="NY-00130"/>
    <s v="BRONX"/>
    <n v="10455"/>
    <s v="BRONX"/>
    <s v="NY"/>
    <n v="89410"/>
    <n v="59310"/>
    <n v="30100"/>
    <n v="26700"/>
    <n v="0"/>
    <n v="26700"/>
  </r>
  <r>
    <n v="13365"/>
    <n v="13366"/>
    <x v="0"/>
    <s v="NY-00130"/>
    <s v="BRONX"/>
    <n v="10456"/>
    <s v="BRONX"/>
    <s v="NY"/>
    <n v="56025"/>
    <n v="0"/>
    <n v="56025"/>
    <n v="0"/>
    <n v="0"/>
    <n v="0"/>
  </r>
  <r>
    <n v="13365"/>
    <n v="13366"/>
    <x v="0"/>
    <s v="NY-00130"/>
    <s v="BRONX"/>
    <n v="10457"/>
    <s v="BRONX"/>
    <s v="NY"/>
    <n v="12850"/>
    <n v="0"/>
    <n v="12850"/>
    <n v="5300"/>
    <n v="0"/>
    <n v="5300"/>
  </r>
  <r>
    <n v="13365"/>
    <n v="13366"/>
    <x v="0"/>
    <s v="NY-00130"/>
    <s v="BRONX"/>
    <n v="10458"/>
    <s v="BRONX"/>
    <s v="NY"/>
    <n v="15632"/>
    <n v="15632"/>
    <n v="0"/>
    <n v="9100"/>
    <n v="9100"/>
    <n v="0"/>
  </r>
  <r>
    <n v="13365"/>
    <n v="13366"/>
    <x v="0"/>
    <s v="NY-00130"/>
    <s v="BRONX"/>
    <n v="10459"/>
    <s v="BRONX"/>
    <s v="NY"/>
    <n v="87542"/>
    <n v="47542"/>
    <n v="40000"/>
    <n v="67200"/>
    <n v="37500"/>
    <n v="29700"/>
  </r>
  <r>
    <n v="13365"/>
    <n v="13366"/>
    <x v="0"/>
    <s v="NY-00130"/>
    <s v="BRONX"/>
    <n v="10460"/>
    <s v="BRONX"/>
    <s v="NY"/>
    <n v="35669"/>
    <n v="35269"/>
    <n v="400"/>
    <n v="29900"/>
    <n v="29900"/>
    <n v="0"/>
  </r>
  <r>
    <n v="13365"/>
    <n v="13366"/>
    <x v="0"/>
    <s v="NY-00130"/>
    <s v="BRONX"/>
    <n v="10461"/>
    <s v="BRONX"/>
    <s v="NY"/>
    <n v="33731"/>
    <n v="26491"/>
    <n v="7240"/>
    <n v="2500"/>
    <n v="0"/>
    <n v="2500"/>
  </r>
  <r>
    <n v="13365"/>
    <n v="13366"/>
    <x v="0"/>
    <s v="NY-00130"/>
    <s v="BRONX"/>
    <n v="10463"/>
    <s v="BRONX"/>
    <s v="NY"/>
    <n v="23977"/>
    <n v="7077"/>
    <n v="16900"/>
    <n v="6900"/>
    <n v="6900"/>
    <n v="0"/>
  </r>
  <r>
    <n v="13365"/>
    <n v="13366"/>
    <x v="0"/>
    <s v="NY-00130"/>
    <s v="BRONX"/>
    <n v="10464"/>
    <s v="BRONX"/>
    <s v="NY"/>
    <n v="1089691"/>
    <n v="963011"/>
    <n v="126680"/>
    <n v="496200"/>
    <n v="401800"/>
    <n v="94400"/>
  </r>
  <r>
    <n v="13365"/>
    <n v="13366"/>
    <x v="0"/>
    <s v="NY-00130"/>
    <s v="BRONX"/>
    <n v="10465"/>
    <s v="BRONX"/>
    <s v="NY"/>
    <n v="3004453"/>
    <n v="2245263"/>
    <n v="759190"/>
    <n v="1108100"/>
    <n v="742100"/>
    <n v="366000"/>
  </r>
  <r>
    <n v="13365"/>
    <n v="13366"/>
    <x v="0"/>
    <s v="NY-00130"/>
    <s v="BRONX"/>
    <n v="10466"/>
    <s v="BRONX"/>
    <s v="NY"/>
    <n v="226196"/>
    <n v="182296"/>
    <n v="43900"/>
    <n v="73800"/>
    <n v="68500"/>
    <n v="5300"/>
  </r>
  <r>
    <n v="13365"/>
    <n v="13366"/>
    <x v="0"/>
    <s v="NY-00130"/>
    <s v="BRONX"/>
    <n v="10468"/>
    <s v="BRONX"/>
    <s v="NY"/>
    <n v="20800"/>
    <n v="0"/>
    <n v="20800"/>
    <n v="1100"/>
    <n v="0"/>
    <n v="1100"/>
  </r>
  <r>
    <n v="13365"/>
    <n v="13366"/>
    <x v="0"/>
    <s v="NY-00130"/>
    <s v="BRONX"/>
    <n v="10469"/>
    <s v="BRONX"/>
    <s v="NY"/>
    <n v="620928"/>
    <n v="542088"/>
    <n v="78840"/>
    <n v="425100"/>
    <n v="368700"/>
    <n v="56400"/>
  </r>
  <r>
    <n v="13365"/>
    <n v="13366"/>
    <x v="0"/>
    <s v="NY-00130"/>
    <s v="BRONX"/>
    <n v="10469"/>
    <s v="KINGS"/>
    <s v="NY"/>
    <n v="2650"/>
    <n v="0"/>
    <n v="2650"/>
    <n v="0"/>
    <n v="0"/>
    <n v="0"/>
  </r>
  <r>
    <n v="13365"/>
    <n v="13366"/>
    <x v="0"/>
    <s v="NY-00130"/>
    <s v="BRONX"/>
    <n v="10470"/>
    <s v="BRONX"/>
    <s v="NY"/>
    <n v="8159"/>
    <n v="4784"/>
    <n v="3375"/>
    <n v="3000"/>
    <n v="0"/>
    <n v="3000"/>
  </r>
  <r>
    <n v="13365"/>
    <n v="13366"/>
    <x v="0"/>
    <s v="NY-00130"/>
    <s v="BRONX"/>
    <n v="10471"/>
    <s v="BRONX"/>
    <s v="NY"/>
    <n v="600"/>
    <n v="0"/>
    <n v="600"/>
    <n v="600"/>
    <n v="0"/>
    <n v="600"/>
  </r>
  <r>
    <n v="13365"/>
    <n v="13366"/>
    <x v="0"/>
    <s v="NY-00130"/>
    <s v="BRONX"/>
    <n v="10472"/>
    <s v="BRONX"/>
    <s v="NY"/>
    <n v="22273"/>
    <n v="13848"/>
    <n v="8425"/>
    <n v="0"/>
    <n v="0"/>
    <n v="0"/>
  </r>
  <r>
    <n v="13365"/>
    <n v="13366"/>
    <x v="0"/>
    <s v="NY-00130"/>
    <s v="BRONX"/>
    <n v="10473"/>
    <s v="BRONX"/>
    <s v="NY"/>
    <n v="1165037"/>
    <n v="901375"/>
    <n v="263662"/>
    <n v="415400"/>
    <n v="332700"/>
    <n v="82700"/>
  </r>
  <r>
    <n v="13365"/>
    <n v="13366"/>
    <x v="0"/>
    <s v="NY-00130"/>
    <s v="BRONX"/>
    <n v="10473"/>
    <s v="NEW YORK"/>
    <s v="NY"/>
    <n v="8700"/>
    <n v="0"/>
    <n v="8700"/>
    <n v="8700"/>
    <n v="0"/>
    <n v="8700"/>
  </r>
  <r>
    <n v="13365"/>
    <n v="13366"/>
    <x v="0"/>
    <s v="NY-00130"/>
    <s v="BRONX"/>
    <n v="10475"/>
    <s v="BRONX"/>
    <s v="NY"/>
    <n v="68841"/>
    <n v="47841"/>
    <n v="21000"/>
    <n v="36900"/>
    <n v="15900"/>
    <n v="21000"/>
  </r>
  <r>
    <n v="13365"/>
    <n v="13366"/>
    <x v="0"/>
    <s v="NY-00130"/>
    <s v="BRONXVILLE"/>
    <n v="10708"/>
    <s v="WESTCHESTER"/>
    <s v="NY"/>
    <n v="5611"/>
    <n v="4911"/>
    <n v="700"/>
    <n v="0"/>
    <n v="0"/>
    <n v="0"/>
  </r>
  <r>
    <n v="13365"/>
    <n v="13366"/>
    <x v="0"/>
    <s v="NY-00130"/>
    <s v="BROOJKLYN"/>
    <n v="11235"/>
    <s v="KINGS"/>
    <s v="NY"/>
    <n v="148178"/>
    <n v="117728"/>
    <n v="30450"/>
    <n v="0"/>
    <n v="0"/>
    <n v="0"/>
  </r>
  <r>
    <n v="13365"/>
    <n v="13366"/>
    <x v="0"/>
    <s v="NY-00130"/>
    <s v="BROOKHAVEN"/>
    <n v="11719"/>
    <s v="SUFFOLK"/>
    <s v="NY"/>
    <n v="1179026"/>
    <n v="911901"/>
    <n v="267125"/>
    <n v="646100"/>
    <n v="454000"/>
    <n v="192100"/>
  </r>
  <r>
    <n v="13365"/>
    <n v="13366"/>
    <x v="0"/>
    <s v="NY-00130"/>
    <s v="BROOKLIN"/>
    <n v="11224"/>
    <s v="KINGS"/>
    <s v="NY"/>
    <n v="20075"/>
    <n v="0"/>
    <n v="20075"/>
    <n v="20100"/>
    <n v="0"/>
    <n v="20100"/>
  </r>
  <r>
    <n v="13365"/>
    <n v="13366"/>
    <x v="0"/>
    <s v="NY-00130"/>
    <s v="BROOKLNY"/>
    <n v="11224"/>
    <s v="KINGS"/>
    <s v="NY"/>
    <n v="31950"/>
    <n v="0"/>
    <n v="31950"/>
    <n v="0"/>
    <n v="0"/>
    <n v="0"/>
  </r>
  <r>
    <n v="13365"/>
    <n v="13366"/>
    <x v="0"/>
    <s v="NY-00130"/>
    <s v="BROOKLY"/>
    <n v="11229"/>
    <s v="KINGS"/>
    <s v="NY"/>
    <n v="53123"/>
    <n v="20648"/>
    <n v="32475"/>
    <n v="0"/>
    <n v="0"/>
    <n v="0"/>
  </r>
  <r>
    <n v="13365"/>
    <n v="13366"/>
    <x v="0"/>
    <s v="NY-00130"/>
    <s v="BROOKLY"/>
    <n v="11234"/>
    <s v="KINGS"/>
    <s v="NY"/>
    <n v="112383"/>
    <n v="86683"/>
    <n v="25700"/>
    <n v="0"/>
    <n v="0"/>
    <n v="0"/>
  </r>
  <r>
    <n v="13365"/>
    <n v="13366"/>
    <x v="0"/>
    <s v="NY-00130"/>
    <s v="BROOKLY"/>
    <n v="11235"/>
    <s v="KINGS"/>
    <s v="NY"/>
    <n v="20925"/>
    <n v="0"/>
    <n v="20925"/>
    <n v="0"/>
    <n v="0"/>
    <n v="0"/>
  </r>
  <r>
    <n v="13365"/>
    <n v="13366"/>
    <x v="0"/>
    <s v="NY-00130"/>
    <s v="BROOKLY"/>
    <n v="11236"/>
    <s v="KINGS"/>
    <s v="NY"/>
    <n v="11678"/>
    <n v="7178"/>
    <n v="4500"/>
    <n v="0"/>
    <n v="0"/>
    <n v="0"/>
  </r>
  <r>
    <n v="13365"/>
    <n v="13366"/>
    <x v="0"/>
    <s v="NY-00130"/>
    <s v="BROOKLYLN"/>
    <n v="11224"/>
    <s v="KINGS"/>
    <s v="NY"/>
    <n v="12125"/>
    <n v="0"/>
    <n v="12125"/>
    <n v="12200"/>
    <n v="0"/>
    <n v="12200"/>
  </r>
  <r>
    <n v="13365"/>
    <n v="13366"/>
    <x v="0"/>
    <s v="NY-00130"/>
    <s v="BROOKLYLN"/>
    <n v="11231"/>
    <s v="KINGS"/>
    <s v="NY"/>
    <n v="205304"/>
    <n v="167954"/>
    <n v="37350"/>
    <n v="190400"/>
    <n v="153000"/>
    <n v="37400"/>
  </r>
  <r>
    <n v="13365"/>
    <n v="13366"/>
    <x v="0"/>
    <s v="NY-00130"/>
    <s v="BROOKLYN"/>
    <n v="10301"/>
    <s v="KINGS"/>
    <s v="NY"/>
    <n v="13525"/>
    <n v="0"/>
    <n v="13525"/>
    <n v="0"/>
    <n v="0"/>
    <n v="0"/>
  </r>
  <r>
    <n v="13365"/>
    <n v="13366"/>
    <x v="0"/>
    <s v="NY-00130"/>
    <s v="BROOKLYN"/>
    <n v="10303"/>
    <s v="NEW YORK"/>
    <s v="NY"/>
    <n v="13474"/>
    <n v="7074"/>
    <n v="6400"/>
    <n v="0"/>
    <n v="0"/>
    <n v="0"/>
  </r>
  <r>
    <n v="13365"/>
    <n v="13366"/>
    <x v="0"/>
    <s v="NY-00130"/>
    <s v="BROOKLYN"/>
    <n v="10305"/>
    <s v="RICHMOND"/>
    <s v="NY"/>
    <n v="74080"/>
    <n v="52780"/>
    <n v="21300"/>
    <n v="18700"/>
    <n v="0"/>
    <n v="18700"/>
  </r>
  <r>
    <n v="13365"/>
    <n v="13366"/>
    <x v="0"/>
    <s v="NY-00130"/>
    <s v="BROOKLYN"/>
    <n v="11122"/>
    <s v="KINGS"/>
    <s v="NY"/>
    <n v="9100"/>
    <n v="0"/>
    <n v="9100"/>
    <n v="0"/>
    <n v="0"/>
    <n v="0"/>
  </r>
  <r>
    <n v="13365"/>
    <n v="13366"/>
    <x v="0"/>
    <s v="NY-00130"/>
    <s v="BROOKLYN"/>
    <n v="11201"/>
    <s v="KINGS"/>
    <s v="NY"/>
    <n v="208111"/>
    <n v="52436"/>
    <n v="155675"/>
    <n v="106700"/>
    <n v="19900"/>
    <n v="86800"/>
  </r>
  <r>
    <n v="13365"/>
    <n v="13366"/>
    <x v="0"/>
    <s v="NY-00130"/>
    <s v="BROOKLYN"/>
    <n v="11202"/>
    <s v="KINGS"/>
    <s v="NY"/>
    <n v="9075"/>
    <n v="0"/>
    <n v="9075"/>
    <n v="5000"/>
    <n v="0"/>
    <n v="5000"/>
  </r>
  <r>
    <n v="13365"/>
    <n v="13366"/>
    <x v="0"/>
    <s v="NY-00130"/>
    <s v="BROOKLYN"/>
    <n v="11203"/>
    <s v="KINGS"/>
    <s v="NY"/>
    <n v="720003"/>
    <n v="618653"/>
    <n v="101350"/>
    <n v="175300"/>
    <n v="126900"/>
    <n v="48400"/>
  </r>
  <r>
    <n v="13365"/>
    <n v="13366"/>
    <x v="0"/>
    <s v="NY-00130"/>
    <s v="BROOKLYN"/>
    <n v="11203"/>
    <s v="NEW YORK"/>
    <s v="NY"/>
    <n v="34262"/>
    <n v="26412"/>
    <n v="7850"/>
    <n v="0"/>
    <n v="0"/>
    <n v="0"/>
  </r>
  <r>
    <n v="13365"/>
    <n v="13366"/>
    <x v="0"/>
    <s v="NY-00130"/>
    <s v="BROOKLYN"/>
    <n v="11204"/>
    <s v="KINGS"/>
    <s v="NY"/>
    <n v="37966"/>
    <n v="8641"/>
    <n v="29325"/>
    <n v="0"/>
    <n v="0"/>
    <n v="0"/>
  </r>
  <r>
    <n v="13365"/>
    <n v="13366"/>
    <x v="0"/>
    <s v="NY-00130"/>
    <s v="BROOKLYN"/>
    <n v="11205"/>
    <s v="KINGS"/>
    <s v="NY"/>
    <n v="68068"/>
    <n v="40193"/>
    <n v="27875"/>
    <n v="0"/>
    <n v="0"/>
    <n v="0"/>
  </r>
  <r>
    <n v="13365"/>
    <n v="13366"/>
    <x v="0"/>
    <s v="NY-00130"/>
    <s v="BROOKLYN"/>
    <n v="11207"/>
    <s v="KINGS"/>
    <s v="NY"/>
    <n v="148026"/>
    <n v="91951"/>
    <n v="56075"/>
    <n v="49400"/>
    <n v="28300"/>
    <n v="21100"/>
  </r>
  <r>
    <n v="13365"/>
    <n v="13366"/>
    <x v="0"/>
    <s v="NY-00130"/>
    <s v="BROOKLYN"/>
    <n v="11207"/>
    <s v="NEW YORK"/>
    <s v="NY"/>
    <n v="22271"/>
    <n v="20171"/>
    <n v="2100"/>
    <n v="0"/>
    <n v="0"/>
    <n v="0"/>
  </r>
  <r>
    <n v="13365"/>
    <n v="13366"/>
    <x v="0"/>
    <s v="NY-00130"/>
    <s v="BROOKLYN"/>
    <n v="11208"/>
    <s v="KINGS"/>
    <s v="NY"/>
    <n v="160918"/>
    <n v="129468"/>
    <n v="31450"/>
    <n v="34700"/>
    <n v="18200"/>
    <n v="16500"/>
  </r>
  <r>
    <n v="13365"/>
    <n v="13366"/>
    <x v="0"/>
    <s v="NY-00130"/>
    <s v="BROOKLYN"/>
    <n v="11209"/>
    <s v="KINGS"/>
    <s v="NY"/>
    <n v="147923"/>
    <n v="113623"/>
    <n v="34300"/>
    <n v="103600"/>
    <n v="97300"/>
    <n v="6300"/>
  </r>
  <r>
    <n v="13365"/>
    <n v="13366"/>
    <x v="0"/>
    <s v="NY-00130"/>
    <s v="BROOKLYN"/>
    <n v="11210"/>
    <s v="KINGS"/>
    <s v="NY"/>
    <n v="473050"/>
    <n v="342480"/>
    <n v="130570"/>
    <n v="163400"/>
    <n v="135000"/>
    <n v="28400"/>
  </r>
  <r>
    <n v="13365"/>
    <n v="13366"/>
    <x v="0"/>
    <s v="NY-00130"/>
    <s v="BROOKLYN"/>
    <n v="11211"/>
    <s v="KINGS"/>
    <s v="NY"/>
    <n v="62223"/>
    <n v="29573"/>
    <n v="32650"/>
    <n v="0"/>
    <n v="0"/>
    <n v="0"/>
  </r>
  <r>
    <n v="13365"/>
    <n v="13366"/>
    <x v="0"/>
    <s v="NY-00130"/>
    <s v="BROOKLYN"/>
    <n v="11212"/>
    <s v="KINGS"/>
    <s v="NY"/>
    <n v="209063"/>
    <n v="154538"/>
    <n v="54525"/>
    <n v="22400"/>
    <n v="7500"/>
    <n v="14900"/>
  </r>
  <r>
    <n v="13365"/>
    <n v="13366"/>
    <x v="0"/>
    <s v="NY-00130"/>
    <s v="BROOKLYN"/>
    <n v="11212"/>
    <s v="NEW YORK"/>
    <s v="NY"/>
    <n v="13750"/>
    <n v="0"/>
    <n v="13750"/>
    <n v="0"/>
    <n v="0"/>
    <n v="0"/>
  </r>
  <r>
    <n v="13365"/>
    <n v="13366"/>
    <x v="0"/>
    <s v="NY-00130"/>
    <s v="BROOKLYN"/>
    <n v="11213"/>
    <s v="KINGS"/>
    <s v="NY"/>
    <n v="108920"/>
    <n v="74320"/>
    <n v="34600"/>
    <n v="84500"/>
    <n v="61500"/>
    <n v="23000"/>
  </r>
  <r>
    <n v="13365"/>
    <n v="13366"/>
    <x v="0"/>
    <s v="NY-00130"/>
    <s v="BROOKLYN"/>
    <n v="11214"/>
    <s v="KINGS"/>
    <s v="NY"/>
    <n v="3953723"/>
    <n v="2392308"/>
    <n v="1561415"/>
    <n v="1508600"/>
    <n v="877100"/>
    <n v="631500"/>
  </r>
  <r>
    <n v="13365"/>
    <n v="13366"/>
    <x v="0"/>
    <s v="NY-00130"/>
    <s v="BROOKLYN"/>
    <n v="11214"/>
    <s v="NEW YORK"/>
    <s v="NY"/>
    <n v="104300"/>
    <n v="77900"/>
    <n v="26400"/>
    <n v="0"/>
    <n v="0"/>
    <n v="0"/>
  </r>
  <r>
    <n v="13365"/>
    <n v="13366"/>
    <x v="0"/>
    <s v="NY-00130"/>
    <s v="BROOKLYN"/>
    <n v="11215"/>
    <s v="KINGS"/>
    <s v="NY"/>
    <n v="34070"/>
    <n v="0"/>
    <n v="34070"/>
    <n v="0"/>
    <n v="0"/>
    <n v="0"/>
  </r>
  <r>
    <n v="13365"/>
    <n v="13366"/>
    <x v="0"/>
    <s v="NY-00130"/>
    <s v="BROOKLYN"/>
    <n v="11216"/>
    <s v="KINGS"/>
    <s v="NY"/>
    <n v="93001"/>
    <n v="76051"/>
    <n v="16950"/>
    <n v="3000"/>
    <n v="0"/>
    <n v="3000"/>
  </r>
  <r>
    <n v="13365"/>
    <n v="13366"/>
    <x v="0"/>
    <s v="NY-00130"/>
    <s v="BROOKLYN"/>
    <n v="11217"/>
    <s v="KINGS"/>
    <s v="NY"/>
    <n v="312045"/>
    <n v="250420"/>
    <n v="61625"/>
    <n v="198300"/>
    <n v="151100"/>
    <n v="47200"/>
  </r>
  <r>
    <n v="13365"/>
    <n v="13366"/>
    <x v="0"/>
    <s v="NY-00130"/>
    <s v="BROOKLYN"/>
    <n v="11218"/>
    <s v="KINGS"/>
    <s v="NY"/>
    <n v="32883"/>
    <n v="32121"/>
    <n v="762"/>
    <n v="21200"/>
    <n v="21200"/>
    <n v="0"/>
  </r>
  <r>
    <n v="13365"/>
    <n v="13366"/>
    <x v="0"/>
    <s v="NY-00130"/>
    <s v="BROOKLYN"/>
    <n v="11219"/>
    <s v="KINGS"/>
    <s v="NY"/>
    <n v="7950"/>
    <n v="0"/>
    <n v="7950"/>
    <n v="8000"/>
    <n v="0"/>
    <n v="8000"/>
  </r>
  <r>
    <n v="13365"/>
    <n v="13366"/>
    <x v="0"/>
    <s v="NY-00130"/>
    <s v="BROOKLYN"/>
    <n v="11220"/>
    <s v="KINGS"/>
    <s v="NY"/>
    <n v="247630"/>
    <n v="178985"/>
    <n v="68645"/>
    <n v="86000"/>
    <n v="53700"/>
    <n v="32300"/>
  </r>
  <r>
    <n v="13365"/>
    <n v="13366"/>
    <x v="0"/>
    <s v="NY-00130"/>
    <s v="BROOKLYN"/>
    <n v="11221"/>
    <s v="KINGS"/>
    <s v="NY"/>
    <n v="485273"/>
    <n v="470048"/>
    <n v="15225"/>
    <n v="250700"/>
    <n v="239600"/>
    <n v="11100"/>
  </r>
  <r>
    <n v="13365"/>
    <n v="13366"/>
    <x v="0"/>
    <s v="NY-00130"/>
    <s v="BROOKLYN"/>
    <n v="11222"/>
    <s v="KINGS"/>
    <s v="NY"/>
    <n v="153591"/>
    <n v="62526"/>
    <n v="91065"/>
    <n v="61400"/>
    <n v="29600"/>
    <n v="31800"/>
  </r>
  <r>
    <n v="13365"/>
    <n v="13366"/>
    <x v="0"/>
    <s v="NY-00130"/>
    <s v="BROOKLYN"/>
    <n v="11223"/>
    <s v="KINGS"/>
    <s v="NY"/>
    <n v="3605262"/>
    <n v="2002510"/>
    <n v="1602752"/>
    <n v="1275100"/>
    <n v="678400"/>
    <n v="596700"/>
  </r>
  <r>
    <n v="13365"/>
    <n v="13366"/>
    <x v="0"/>
    <s v="NY-00130"/>
    <s v="BROOKLYN"/>
    <n v="11223"/>
    <s v="NASSAU"/>
    <s v="NY"/>
    <n v="12000"/>
    <n v="0"/>
    <n v="12000"/>
    <n v="0"/>
    <n v="0"/>
    <n v="0"/>
  </r>
  <r>
    <n v="13365"/>
    <n v="13366"/>
    <x v="0"/>
    <s v="NY-00130"/>
    <s v="BROOKLYN"/>
    <n v="11223"/>
    <s v="RICHMOND"/>
    <s v="NY"/>
    <n v="34820"/>
    <n v="34820"/>
    <n v="0"/>
    <n v="0"/>
    <n v="0"/>
    <n v="0"/>
  </r>
  <r>
    <n v="13365"/>
    <n v="13366"/>
    <x v="0"/>
    <s v="NY-00130"/>
    <s v="BROOKLYN"/>
    <n v="11224"/>
    <s v="BRONX"/>
    <s v="NY"/>
    <n v="3000"/>
    <n v="0"/>
    <n v="3000"/>
    <n v="0"/>
    <n v="0"/>
    <n v="0"/>
  </r>
  <r>
    <n v="13365"/>
    <n v="13366"/>
    <x v="0"/>
    <s v="NY-00130"/>
    <s v="BROOKLYN"/>
    <n v="11224"/>
    <s v="KINGS"/>
    <s v="NY"/>
    <n v="57467852"/>
    <n v="35062685"/>
    <n v="22405167"/>
    <n v="21489400"/>
    <n v="12182800"/>
    <n v="9306600"/>
  </r>
  <r>
    <n v="13365"/>
    <n v="13366"/>
    <x v="0"/>
    <s v="NY-00130"/>
    <s v="BROOKLYN"/>
    <n v="11224"/>
    <s v="NASSAU"/>
    <s v="NY"/>
    <n v="13675"/>
    <n v="0"/>
    <n v="13675"/>
    <n v="13700"/>
    <n v="0"/>
    <n v="13700"/>
  </r>
  <r>
    <n v="13365"/>
    <n v="13366"/>
    <x v="0"/>
    <s v="NY-00130"/>
    <s v="BROOKLYN"/>
    <n v="11224"/>
    <s v="NEW YORK"/>
    <s v="NY"/>
    <n v="433640"/>
    <n v="209245"/>
    <n v="224395"/>
    <n v="147400"/>
    <n v="44000"/>
    <n v="103400"/>
  </r>
  <r>
    <n v="13365"/>
    <n v="13366"/>
    <x v="0"/>
    <s v="NY-00130"/>
    <s v="BROOKLYN"/>
    <n v="11224"/>
    <s v="QUEENS"/>
    <s v="NY"/>
    <n v="132265"/>
    <n v="63165"/>
    <n v="69100"/>
    <n v="0"/>
    <n v="0"/>
    <n v="0"/>
  </r>
  <r>
    <n v="13365"/>
    <n v="13366"/>
    <x v="0"/>
    <s v="NY-00130"/>
    <s v="BROOKLYN"/>
    <n v="11224"/>
    <s v="RICHMOND"/>
    <s v="NY"/>
    <n v="97397"/>
    <n v="60872"/>
    <n v="36525"/>
    <n v="0"/>
    <n v="0"/>
    <n v="0"/>
  </r>
  <r>
    <n v="13365"/>
    <n v="13366"/>
    <x v="0"/>
    <s v="NY-00130"/>
    <s v="BROOKLYN"/>
    <n v="11225"/>
    <s v="KINGS"/>
    <s v="NY"/>
    <n v="100054"/>
    <n v="69454"/>
    <n v="30600"/>
    <n v="15400"/>
    <n v="0"/>
    <n v="15400"/>
  </r>
  <r>
    <n v="13365"/>
    <n v="13366"/>
    <x v="0"/>
    <s v="NY-00130"/>
    <s v="BROOKLYN"/>
    <n v="11226"/>
    <s v="KINGS"/>
    <s v="NY"/>
    <n v="289212"/>
    <n v="258887"/>
    <n v="30325"/>
    <n v="7000"/>
    <n v="0"/>
    <n v="7000"/>
  </r>
  <r>
    <n v="13365"/>
    <n v="13366"/>
    <x v="0"/>
    <s v="NY-00130"/>
    <s v="BROOKLYN"/>
    <n v="11228"/>
    <s v="KINGS"/>
    <s v="NY"/>
    <n v="185170"/>
    <n v="126190"/>
    <n v="58980"/>
    <n v="83900"/>
    <n v="35500"/>
    <n v="48400"/>
  </r>
  <r>
    <n v="13365"/>
    <n v="13366"/>
    <x v="0"/>
    <s v="NY-00130"/>
    <s v="BROOKLYN"/>
    <n v="11228"/>
    <s v="NASSAU"/>
    <s v="NY"/>
    <n v="38494"/>
    <n v="37994"/>
    <n v="500"/>
    <n v="0"/>
    <n v="0"/>
    <n v="0"/>
  </r>
  <r>
    <n v="13365"/>
    <n v="13366"/>
    <x v="0"/>
    <s v="NY-00130"/>
    <s v="BROOKLYN"/>
    <n v="11229"/>
    <s v="KINGS"/>
    <s v="NY"/>
    <n v="55101668"/>
    <n v="34683951"/>
    <n v="20417717"/>
    <n v="25647100"/>
    <n v="15182772.47"/>
    <n v="10464327.53"/>
  </r>
  <r>
    <n v="13365"/>
    <n v="13366"/>
    <x v="0"/>
    <s v="NY-00130"/>
    <s v="BROOKLYN"/>
    <n v="11229"/>
    <s v="NEW YORK"/>
    <s v="NY"/>
    <n v="71904"/>
    <n v="43254"/>
    <n v="28650"/>
    <n v="0"/>
    <n v="0"/>
    <n v="0"/>
  </r>
  <r>
    <n v="13365"/>
    <n v="13366"/>
    <x v="0"/>
    <s v="NY-00130"/>
    <s v="BROOKLYN"/>
    <n v="11230"/>
    <s v="KINGS"/>
    <s v="NY"/>
    <n v="214993"/>
    <n v="128336"/>
    <n v="86657"/>
    <n v="87600"/>
    <n v="72800"/>
    <n v="14800"/>
  </r>
  <r>
    <n v="13365"/>
    <n v="13366"/>
    <x v="0"/>
    <s v="NY-00130"/>
    <s v="BROOKLYN"/>
    <n v="11231"/>
    <s v="KINGS"/>
    <s v="NY"/>
    <n v="6121085"/>
    <n v="3558883"/>
    <n v="2562202"/>
    <n v="2641800"/>
    <n v="1487700"/>
    <n v="1154100"/>
  </r>
  <r>
    <n v="13365"/>
    <n v="13366"/>
    <x v="0"/>
    <s v="NY-00130"/>
    <s v="BROOKLYN"/>
    <n v="11231"/>
    <s v="NEW YORK"/>
    <s v="NY"/>
    <n v="145260"/>
    <n v="31020"/>
    <n v="114240"/>
    <n v="78000"/>
    <n v="22600"/>
    <n v="55400"/>
  </r>
  <r>
    <n v="13365"/>
    <n v="13366"/>
    <x v="0"/>
    <s v="NY-00130"/>
    <s v="BROOKLYN"/>
    <n v="11232"/>
    <s v="KINGS"/>
    <s v="NY"/>
    <n v="91708"/>
    <n v="48808"/>
    <n v="42900"/>
    <n v="52900"/>
    <n v="43300"/>
    <n v="9600"/>
  </r>
  <r>
    <n v="13365"/>
    <n v="13366"/>
    <x v="0"/>
    <s v="NY-00130"/>
    <s v="BROOKLYN"/>
    <n v="11233"/>
    <s v="KINGS"/>
    <s v="NY"/>
    <n v="90981"/>
    <n v="68981"/>
    <n v="22000"/>
    <n v="70200"/>
    <n v="57200"/>
    <n v="13000"/>
  </r>
  <r>
    <n v="13365"/>
    <n v="13366"/>
    <x v="0"/>
    <s v="NY-00130"/>
    <s v="BROOKLYN"/>
    <n v="11234"/>
    <s v="KINGS"/>
    <s v="NY"/>
    <n v="26999723"/>
    <n v="17412013"/>
    <n v="9587710"/>
    <n v="12599900"/>
    <n v="8096600"/>
    <n v="4503300"/>
  </r>
  <r>
    <n v="13365"/>
    <n v="13366"/>
    <x v="0"/>
    <s v="NY-00130"/>
    <s v="BROOKLYN"/>
    <n v="11234"/>
    <s v="NEW YORK"/>
    <s v="NY"/>
    <n v="37315"/>
    <n v="0"/>
    <n v="37315"/>
    <n v="15700"/>
    <n v="0"/>
    <n v="15700"/>
  </r>
  <r>
    <n v="13365"/>
    <n v="13366"/>
    <x v="0"/>
    <s v="NY-00130"/>
    <s v="BROOKLYN"/>
    <n v="11234"/>
    <s v="QUEENS"/>
    <s v="NY"/>
    <n v="6950"/>
    <n v="0"/>
    <n v="6950"/>
    <n v="7000"/>
    <n v="0"/>
    <n v="7000"/>
  </r>
  <r>
    <n v="13365"/>
    <n v="13366"/>
    <x v="0"/>
    <s v="NY-00130"/>
    <s v="BROOKLYN"/>
    <n v="11235"/>
    <s v="KINGS"/>
    <s v="NY"/>
    <n v="92271573"/>
    <n v="55429489"/>
    <n v="36842084"/>
    <n v="33439400"/>
    <n v="19944100"/>
    <n v="13495300"/>
  </r>
  <r>
    <n v="13365"/>
    <n v="13366"/>
    <x v="0"/>
    <s v="NY-00130"/>
    <s v="BROOKLYN"/>
    <n v="11235"/>
    <s v="NEW YORK"/>
    <s v="NY"/>
    <n v="732092"/>
    <n v="393100"/>
    <n v="338992"/>
    <n v="31500"/>
    <n v="0"/>
    <n v="31500"/>
  </r>
  <r>
    <n v="13365"/>
    <n v="13366"/>
    <x v="0"/>
    <s v="NY-00130"/>
    <s v="BROOKLYN"/>
    <n v="11235"/>
    <s v="QUEENS"/>
    <s v="NY"/>
    <n v="25000"/>
    <n v="0"/>
    <n v="25000"/>
    <n v="0"/>
    <n v="0"/>
    <n v="0"/>
  </r>
  <r>
    <n v="13365"/>
    <n v="13366"/>
    <x v="0"/>
    <s v="NY-00130"/>
    <s v="BROOKLYN"/>
    <n v="11235"/>
    <s v="RICHMOND"/>
    <s v="NY"/>
    <n v="8650"/>
    <n v="0"/>
    <n v="8650"/>
    <n v="8700"/>
    <n v="0"/>
    <n v="8700"/>
  </r>
  <r>
    <n v="13365"/>
    <n v="13366"/>
    <x v="0"/>
    <s v="NY-00130"/>
    <s v="BROOKLYN"/>
    <n v="11236"/>
    <s v="KINGS"/>
    <s v="NY"/>
    <n v="66683432"/>
    <n v="40019910"/>
    <n v="26663522"/>
    <n v="25656500"/>
    <n v="14757900"/>
    <n v="10898600"/>
  </r>
  <r>
    <n v="13365"/>
    <n v="13366"/>
    <x v="0"/>
    <s v="NY-00130"/>
    <s v="BROOKLYN"/>
    <n v="11236"/>
    <s v="NEW YORK"/>
    <s v="NY"/>
    <n v="690024"/>
    <n v="373727"/>
    <n v="316297"/>
    <n v="213600"/>
    <n v="114800"/>
    <n v="98800"/>
  </r>
  <r>
    <n v="13365"/>
    <n v="13366"/>
    <x v="0"/>
    <s v="NY-00130"/>
    <s v="BROOKLYN"/>
    <n v="11249"/>
    <s v="KINGS"/>
    <s v="NY"/>
    <n v="7575"/>
    <n v="0"/>
    <n v="7575"/>
    <n v="1800"/>
    <n v="0"/>
    <n v="1800"/>
  </r>
  <r>
    <n v="13365"/>
    <n v="13366"/>
    <x v="0"/>
    <s v="NY-00130"/>
    <s v="BROOKLYN"/>
    <n v="11326"/>
    <s v="KINGS"/>
    <s v="NY"/>
    <n v="22375"/>
    <n v="0"/>
    <n v="22375"/>
    <n v="0"/>
    <n v="0"/>
    <n v="0"/>
  </r>
  <r>
    <n v="13365"/>
    <n v="13366"/>
    <x v="0"/>
    <s v="NY-00130"/>
    <s v="BROOKLYN"/>
    <n v="11352"/>
    <s v="KINGS"/>
    <s v="NY"/>
    <n v="9125"/>
    <n v="0"/>
    <n v="9125"/>
    <n v="6200"/>
    <n v="0"/>
    <n v="6200"/>
  </r>
  <r>
    <n v="13365"/>
    <n v="13366"/>
    <x v="0"/>
    <s v="NY-00130"/>
    <s v="BROOKLYN"/>
    <n v="11572"/>
    <s v="KINGS"/>
    <s v="NY"/>
    <n v="121132"/>
    <n v="80732"/>
    <n v="40400"/>
    <n v="120700"/>
    <n v="80700"/>
    <n v="40000"/>
  </r>
  <r>
    <n v="13365"/>
    <n v="13366"/>
    <x v="0"/>
    <s v="NY-00130"/>
    <s v="BROOKLYN"/>
    <n v="11692"/>
    <s v="NASSAU"/>
    <s v="NY"/>
    <n v="19975"/>
    <n v="0"/>
    <n v="19975"/>
    <n v="0"/>
    <n v="0"/>
    <n v="0"/>
  </r>
  <r>
    <n v="13365"/>
    <n v="13366"/>
    <x v="0"/>
    <s v="NY-00130"/>
    <s v="BROOKLYN"/>
    <n v="11694"/>
    <s v="QUEENS"/>
    <s v="NY"/>
    <n v="29900"/>
    <n v="0"/>
    <n v="29900"/>
    <n v="0"/>
    <n v="0"/>
    <n v="0"/>
  </r>
  <r>
    <n v="13365"/>
    <n v="13366"/>
    <x v="0"/>
    <s v="NY-00130"/>
    <s v="BROOKLYN"/>
    <n v="11697"/>
    <s v="QUEENS"/>
    <s v="NY"/>
    <n v="359484"/>
    <n v="303784"/>
    <n v="55700"/>
    <n v="0"/>
    <n v="0"/>
    <n v="0"/>
  </r>
  <r>
    <n v="13365"/>
    <n v="13366"/>
    <x v="0"/>
    <s v="NY-00130"/>
    <s v="BROOKLYN"/>
    <n v="12231"/>
    <s v="KINGS"/>
    <s v="NY"/>
    <n v="22800"/>
    <n v="0"/>
    <n v="22800"/>
    <n v="22800"/>
    <n v="0"/>
    <n v="22800"/>
  </r>
  <r>
    <n v="13365"/>
    <n v="13366"/>
    <x v="0"/>
    <s v="NY-00130"/>
    <s v="BROOKLYN, NY"/>
    <n v="11236"/>
    <s v="KINGS"/>
    <s v="NY"/>
    <n v="39731"/>
    <n v="26991"/>
    <n v="12740"/>
    <n v="29800"/>
    <n v="17100"/>
    <n v="12700"/>
  </r>
  <r>
    <n v="13365"/>
    <n v="13366"/>
    <x v="0"/>
    <s v="NY-00130"/>
    <s v="BROOKLYNN"/>
    <n v="11224"/>
    <s v="KINGS"/>
    <s v="NY"/>
    <n v="54650"/>
    <n v="0"/>
    <n v="54650"/>
    <n v="27700"/>
    <n v="0"/>
    <n v="27700"/>
  </r>
  <r>
    <n v="13365"/>
    <n v="13366"/>
    <x v="0"/>
    <s v="NY-00130"/>
    <s v="BROOKVILLE"/>
    <n v="11545"/>
    <s v="NASSAU"/>
    <s v="NY"/>
    <n v="576936"/>
    <n v="558146"/>
    <n v="18790"/>
    <n v="46300"/>
    <n v="46300"/>
    <n v="0"/>
  </r>
  <r>
    <n v="13365"/>
    <n v="13366"/>
    <x v="0"/>
    <s v="NY-00130"/>
    <s v="BROOKYLN"/>
    <n v="11235"/>
    <s v="KINGS"/>
    <s v="NY"/>
    <n v="52787"/>
    <n v="38732"/>
    <n v="14055"/>
    <n v="36900"/>
    <n v="26600"/>
    <n v="10300"/>
  </r>
  <r>
    <n v="13365"/>
    <n v="13366"/>
    <x v="0"/>
    <s v="NY-00130"/>
    <s v="BROOKYN"/>
    <n v="11235"/>
    <s v="KINGS"/>
    <s v="NY"/>
    <n v="135678"/>
    <n v="81178"/>
    <n v="54500"/>
    <n v="0"/>
    <n v="0"/>
    <n v="0"/>
  </r>
  <r>
    <n v="13365"/>
    <n v="13366"/>
    <x v="0"/>
    <s v="NY-00130"/>
    <s v="BROOLKYN"/>
    <n v="11236"/>
    <s v="KINGS"/>
    <s v="NY"/>
    <n v="14325"/>
    <n v="0"/>
    <n v="14325"/>
    <n v="0"/>
    <n v="0"/>
    <n v="0"/>
  </r>
  <r>
    <n v="13365"/>
    <n v="13366"/>
    <x v="0"/>
    <s v="NY-00130"/>
    <s v="BROOOKLYN"/>
    <n v="11229"/>
    <s v="KINGS"/>
    <s v="NY"/>
    <n v="97424"/>
    <n v="68374"/>
    <n v="29050"/>
    <n v="66400"/>
    <n v="40400"/>
    <n v="26000"/>
  </r>
  <r>
    <n v="13365"/>
    <n v="13366"/>
    <x v="0"/>
    <s v="NY-00130"/>
    <s v="BRROKLYN"/>
    <n v="11224"/>
    <s v="KINGS"/>
    <s v="NY"/>
    <n v="27395"/>
    <n v="13820"/>
    <n v="13575"/>
    <n v="0"/>
    <n v="0"/>
    <n v="0"/>
  </r>
  <r>
    <n v="13365"/>
    <n v="13366"/>
    <x v="0"/>
    <s v="NY-00130"/>
    <s v="BUCHANAN"/>
    <n v="10511"/>
    <s v="WESTCHESTER"/>
    <s v="NY"/>
    <n v="17206"/>
    <n v="5406"/>
    <n v="11800"/>
    <n v="17300"/>
    <n v="5500"/>
    <n v="11800"/>
  </r>
  <r>
    <n v="13365"/>
    <n v="13366"/>
    <x v="0"/>
    <s v="NY-00130"/>
    <s v="CALVERTON"/>
    <n v="11933"/>
    <s v="SUFFOLK"/>
    <s v="NY"/>
    <n v="89877"/>
    <n v="89877"/>
    <n v="0"/>
    <n v="83400"/>
    <n v="83400"/>
    <n v="0"/>
  </r>
  <r>
    <n v="13365"/>
    <n v="13366"/>
    <x v="0"/>
    <s v="NY-00130"/>
    <s v="CAMBRIA HEIGHTS"/>
    <n v="11411"/>
    <s v="QUEENS"/>
    <s v="NY"/>
    <n v="234544"/>
    <n v="205544"/>
    <n v="29000"/>
    <n v="80200"/>
    <n v="74700"/>
    <n v="5500"/>
  </r>
  <r>
    <n v="13365"/>
    <n v="13366"/>
    <x v="0"/>
    <s v="NY-00130"/>
    <s v="CAMPBELL HALL"/>
    <n v="10916"/>
    <s v="ORANGE"/>
    <s v="NY"/>
    <n v="46193"/>
    <n v="33013"/>
    <n v="13180"/>
    <n v="42500"/>
    <n v="29400"/>
    <n v="13100"/>
  </r>
  <r>
    <n v="13365"/>
    <n v="13366"/>
    <x v="0"/>
    <s v="NY-00130"/>
    <s v="CAPTREE ISLAND"/>
    <n v="11702"/>
    <s v="SUFFOLK"/>
    <s v="NY"/>
    <n v="343290"/>
    <n v="277515"/>
    <n v="65775"/>
    <n v="21300"/>
    <n v="3900"/>
    <n v="17400"/>
  </r>
  <r>
    <n v="13365"/>
    <n v="13366"/>
    <x v="0"/>
    <s v="NY-00130"/>
    <s v="CARLE PLACE"/>
    <n v="11514"/>
    <s v="NASSAU"/>
    <s v="NY"/>
    <n v="7867"/>
    <n v="7617"/>
    <n v="250"/>
    <n v="2600"/>
    <n v="2600"/>
    <n v="0"/>
  </r>
  <r>
    <n v="13365"/>
    <n v="13366"/>
    <x v="0"/>
    <s v="NY-00130"/>
    <s v="CARMEL"/>
    <n v="10512"/>
    <s v="PUTNAM"/>
    <s v="NY"/>
    <n v="46631"/>
    <n v="39106"/>
    <n v="7525"/>
    <n v="37300"/>
    <n v="36300"/>
    <n v="1000"/>
  </r>
  <r>
    <n v="13365"/>
    <n v="13366"/>
    <x v="0"/>
    <s v="NY-00130"/>
    <s v="CEDARHURST"/>
    <n v="11516"/>
    <s v="NASSAU"/>
    <s v="NY"/>
    <n v="21029293"/>
    <n v="13611035"/>
    <n v="7418258"/>
    <n v="8027800"/>
    <n v="5292600"/>
    <n v="2735200"/>
  </r>
  <r>
    <n v="13365"/>
    <n v="13366"/>
    <x v="0"/>
    <s v="NY-00130"/>
    <s v="CEDARHURST"/>
    <n v="11561"/>
    <s v="NASSAU"/>
    <s v="NY"/>
    <n v="50500"/>
    <n v="38000"/>
    <n v="12500"/>
    <n v="0"/>
    <n v="0"/>
    <n v="0"/>
  </r>
  <r>
    <n v="13365"/>
    <n v="13366"/>
    <x v="0"/>
    <s v="NY-00130"/>
    <s v="CENTER MORICHES"/>
    <n v="11934"/>
    <s v="SUFFOLK"/>
    <s v="NY"/>
    <n v="3003274"/>
    <n v="2353739"/>
    <n v="649535"/>
    <n v="1311700"/>
    <n v="1013800"/>
    <n v="297900"/>
  </r>
  <r>
    <n v="13365"/>
    <n v="13366"/>
    <x v="0"/>
    <s v="NY-00130"/>
    <s v="CENTEREACH"/>
    <n v="11720"/>
    <s v="SUFFOLK"/>
    <s v="NY"/>
    <n v="277245"/>
    <n v="267045"/>
    <n v="10200"/>
    <n v="37100"/>
    <n v="37000"/>
    <n v="100"/>
  </r>
  <r>
    <n v="13365"/>
    <n v="13366"/>
    <x v="0"/>
    <s v="NY-00130"/>
    <s v="CENTERPORT"/>
    <n v="11721"/>
    <s v="SUFFOLK"/>
    <s v="NY"/>
    <n v="271434"/>
    <n v="252059"/>
    <n v="19375"/>
    <n v="57500"/>
    <n v="38100"/>
    <n v="19400"/>
  </r>
  <r>
    <n v="13365"/>
    <n v="13366"/>
    <x v="0"/>
    <s v="NY-00130"/>
    <s v="CENTRAL ISLIP"/>
    <n v="11722"/>
    <s v="SUFFOLK"/>
    <s v="NY"/>
    <n v="353340"/>
    <n v="284145"/>
    <n v="69195"/>
    <n v="178600"/>
    <n v="143700"/>
    <n v="34900"/>
  </r>
  <r>
    <n v="13365"/>
    <n v="13366"/>
    <x v="0"/>
    <s v="NY-00130"/>
    <s v="CHAPPAQUA"/>
    <n v="10514"/>
    <s v="WESTCHESTER"/>
    <s v="NY"/>
    <n v="105437"/>
    <n v="99737"/>
    <n v="5700"/>
    <n v="12500"/>
    <n v="12500"/>
    <n v="0"/>
  </r>
  <r>
    <n v="13365"/>
    <n v="13366"/>
    <x v="0"/>
    <s v="NY-00130"/>
    <s v="CHERRY GROVE"/>
    <n v="11782"/>
    <s v="SUFFOLK"/>
    <s v="NY"/>
    <n v="81955"/>
    <n v="68745"/>
    <n v="13210"/>
    <n v="10400"/>
    <n v="7400"/>
    <n v="3000"/>
  </r>
  <r>
    <n v="13365"/>
    <n v="13366"/>
    <x v="0"/>
    <s v="NY-00130"/>
    <s v="CHESTER"/>
    <n v="10918"/>
    <s v="ORANGE"/>
    <s v="NY"/>
    <n v="69036"/>
    <n v="65936"/>
    <n v="3100"/>
    <n v="60400"/>
    <n v="57800"/>
    <n v="2600"/>
  </r>
  <r>
    <n v="13365"/>
    <n v="13366"/>
    <x v="0"/>
    <s v="NY-00130"/>
    <s v="CHESTNUT RIDGE"/>
    <n v="10977"/>
    <s v="ROCKLAND"/>
    <s v="NY"/>
    <n v="161336"/>
    <n v="150401"/>
    <n v="10935"/>
    <n v="105800"/>
    <n v="94800"/>
    <n v="11000"/>
  </r>
  <r>
    <n v="13365"/>
    <n v="13366"/>
    <x v="0"/>
    <s v="NY-00130"/>
    <s v="CHESTNUT RIDGE"/>
    <n v="10997"/>
    <s v="ROCKLAND"/>
    <s v="NY"/>
    <n v="4000"/>
    <n v="0"/>
    <n v="4000"/>
    <n v="0"/>
    <n v="0"/>
    <n v="0"/>
  </r>
  <r>
    <n v="13365"/>
    <n v="13366"/>
    <x v="0"/>
    <s v="NY-00130"/>
    <s v="CIPIAGUE"/>
    <n v="11726"/>
    <s v="SUFFOLK"/>
    <s v="NY"/>
    <n v="231706"/>
    <n v="206956"/>
    <n v="24750"/>
    <n v="183400"/>
    <n v="162700"/>
    <n v="20700"/>
  </r>
  <r>
    <n v="13365"/>
    <n v="13366"/>
    <x v="0"/>
    <s v="NY-00130"/>
    <s v="COLD SPRING"/>
    <n v="10516"/>
    <s v="PUTNAM"/>
    <s v="NY"/>
    <n v="220908"/>
    <n v="145408"/>
    <n v="75500"/>
    <n v="114600"/>
    <n v="74200"/>
    <n v="40400"/>
  </r>
  <r>
    <n v="13365"/>
    <n v="13366"/>
    <x v="0"/>
    <s v="NY-00130"/>
    <s v="COLD SPRING HARBOR"/>
    <n v="11724"/>
    <s v="SUFFOLK"/>
    <s v="NY"/>
    <n v="117345"/>
    <n v="114345"/>
    <n v="3000"/>
    <n v="61700"/>
    <n v="58700"/>
    <n v="3000"/>
  </r>
  <r>
    <n v="13365"/>
    <n v="13366"/>
    <x v="0"/>
    <s v="NY-00130"/>
    <s v="COLLEGE POINT"/>
    <n v="11356"/>
    <s v="QUEENS"/>
    <s v="NY"/>
    <n v="26389"/>
    <n v="10164"/>
    <n v="16225"/>
    <n v="26500"/>
    <n v="10200"/>
    <n v="16300"/>
  </r>
  <r>
    <n v="13365"/>
    <n v="13366"/>
    <x v="0"/>
    <s v="NY-00130"/>
    <s v="COMMACK"/>
    <n v="11725"/>
    <s v="SUFFOLK"/>
    <s v="NY"/>
    <n v="731470"/>
    <n v="639200"/>
    <n v="92270"/>
    <n v="170400"/>
    <n v="166500"/>
    <n v="3900"/>
  </r>
  <r>
    <n v="13365"/>
    <n v="13366"/>
    <x v="0"/>
    <s v="NY-00130"/>
    <s v="CONGERS"/>
    <n v="10920"/>
    <s v="ROCKLAND"/>
    <s v="NY"/>
    <n v="255188"/>
    <n v="228363"/>
    <n v="26825"/>
    <n v="131200"/>
    <n v="111400"/>
    <n v="19800"/>
  </r>
  <r>
    <n v="13365"/>
    <n v="13366"/>
    <x v="0"/>
    <s v="NY-00130"/>
    <s v="COPAIGUE"/>
    <n v="11726"/>
    <s v="SUFFOLK"/>
    <s v="NY"/>
    <n v="16550"/>
    <n v="0"/>
    <n v="16550"/>
    <n v="16600"/>
    <n v="0"/>
    <n v="16600"/>
  </r>
  <r>
    <n v="13365"/>
    <n v="13366"/>
    <x v="0"/>
    <s v="NY-00130"/>
    <s v="COPIAGUE"/>
    <n v="11726"/>
    <s v="SUFFOLK"/>
    <s v="NY"/>
    <n v="20979772"/>
    <n v="15496088"/>
    <n v="5483684"/>
    <n v="8758300"/>
    <n v="6138100"/>
    <n v="2620200"/>
  </r>
  <r>
    <n v="13365"/>
    <n v="13366"/>
    <x v="0"/>
    <s v="NY-00130"/>
    <s v="COPIGUE"/>
    <n v="11726"/>
    <s v="SUFFOLK"/>
    <s v="NY"/>
    <n v="278625"/>
    <n v="231325"/>
    <n v="47300"/>
    <n v="170500"/>
    <n v="136900"/>
    <n v="33600"/>
  </r>
  <r>
    <n v="13365"/>
    <n v="13366"/>
    <x v="0"/>
    <s v="NY-00130"/>
    <s v="CORAM"/>
    <n v="11727"/>
    <s v="SUFFOLK"/>
    <s v="NY"/>
    <n v="325222"/>
    <n v="242387"/>
    <n v="82835"/>
    <n v="203600"/>
    <n v="160900"/>
    <n v="42700"/>
  </r>
  <r>
    <n v="13365"/>
    <n v="13366"/>
    <x v="0"/>
    <s v="NY-00130"/>
    <s v="CORONA"/>
    <n v="11368"/>
    <s v="QUEENS"/>
    <s v="NY"/>
    <n v="140783"/>
    <n v="115308"/>
    <n v="25475"/>
    <n v="14000"/>
    <n v="14000"/>
    <n v="0"/>
  </r>
  <r>
    <n v="13365"/>
    <n v="13366"/>
    <x v="0"/>
    <s v="NY-00130"/>
    <s v="CORTLANDT MANOR"/>
    <n v="10567"/>
    <s v="WESTCHESTER"/>
    <s v="NY"/>
    <n v="72963"/>
    <n v="64163"/>
    <n v="8800"/>
    <n v="72500"/>
    <n v="63700"/>
    <n v="8800"/>
  </r>
  <r>
    <n v="13365"/>
    <n v="13366"/>
    <x v="0"/>
    <s v="NY-00130"/>
    <s v="CROMPOND"/>
    <n v="10517"/>
    <s v="WESTCHESTER"/>
    <s v="NY"/>
    <n v="77365"/>
    <n v="55665"/>
    <n v="21700"/>
    <n v="48700"/>
    <n v="42100"/>
    <n v="6600"/>
  </r>
  <r>
    <n v="13365"/>
    <n v="13366"/>
    <x v="0"/>
    <s v="NY-00130"/>
    <s v="CROTON ON HUDSON"/>
    <n v="10520"/>
    <s v="WESTCHESTER"/>
    <s v="NY"/>
    <n v="12406"/>
    <n v="12406"/>
    <n v="0"/>
    <n v="5500"/>
    <n v="5500"/>
    <n v="0"/>
  </r>
  <r>
    <n v="13365"/>
    <n v="13366"/>
    <x v="0"/>
    <s v="NY-00130"/>
    <s v="CUTCHOGUE"/>
    <n v="11935"/>
    <s v="SUFFOLK"/>
    <s v="NY"/>
    <n v="1076310"/>
    <n v="961973"/>
    <n v="114337"/>
    <n v="468700"/>
    <n v="452200"/>
    <n v="16500"/>
  </r>
  <r>
    <n v="13365"/>
    <n v="13366"/>
    <x v="0"/>
    <s v="NY-00130"/>
    <s v="DEER PARK"/>
    <n v="11729"/>
    <s v="QUEENS"/>
    <s v="NY"/>
    <n v="6200"/>
    <n v="0"/>
    <n v="6200"/>
    <n v="6200"/>
    <n v="0"/>
    <n v="6200"/>
  </r>
  <r>
    <n v="13365"/>
    <n v="13366"/>
    <x v="0"/>
    <s v="NY-00130"/>
    <s v="DEER PARK"/>
    <n v="11729"/>
    <s v="SUFFOLK"/>
    <s v="NY"/>
    <n v="226461"/>
    <n v="220861"/>
    <n v="5600"/>
    <n v="107300"/>
    <n v="105300"/>
    <n v="2000"/>
  </r>
  <r>
    <n v="13365"/>
    <n v="13366"/>
    <x v="0"/>
    <s v="NY-00130"/>
    <s v="DIX HILLS"/>
    <n v="11746"/>
    <s v="SUFFOLK"/>
    <s v="NY"/>
    <n v="589413"/>
    <n v="579813"/>
    <n v="9600"/>
    <n v="288400"/>
    <n v="283900"/>
    <n v="4500"/>
  </r>
  <r>
    <n v="13365"/>
    <n v="13366"/>
    <x v="0"/>
    <s v="NY-00130"/>
    <s v="DOUGLASTON"/>
    <n v="11362"/>
    <s v="QUEENS"/>
    <s v="NY"/>
    <n v="17900"/>
    <n v="17900"/>
    <n v="0"/>
    <n v="0"/>
    <n v="0"/>
    <n v="0"/>
  </r>
  <r>
    <n v="13365"/>
    <n v="13366"/>
    <x v="0"/>
    <s v="NY-00130"/>
    <s v="DOUGLASTON"/>
    <n v="11363"/>
    <s v="QUEENS"/>
    <s v="NY"/>
    <n v="135471"/>
    <n v="114911"/>
    <n v="20560"/>
    <n v="111400"/>
    <n v="91100"/>
    <n v="20300"/>
  </r>
  <r>
    <n v="13365"/>
    <n v="13366"/>
    <x v="0"/>
    <s v="NY-00130"/>
    <s v="E  ATLANTIC BEACH"/>
    <n v="11561"/>
    <s v="NASSAU"/>
    <s v="NY"/>
    <n v="115675"/>
    <n v="45375"/>
    <n v="70300"/>
    <n v="49900"/>
    <n v="20400"/>
    <n v="29500"/>
  </r>
  <r>
    <n v="13365"/>
    <n v="13366"/>
    <x v="0"/>
    <s v="NY-00130"/>
    <s v="E ATLANTC BCH"/>
    <n v="11561"/>
    <s v="NASSAU"/>
    <s v="NY"/>
    <n v="26680"/>
    <n v="0"/>
    <n v="26680"/>
    <n v="26700"/>
    <n v="0"/>
    <n v="26700"/>
  </r>
  <r>
    <n v="13365"/>
    <n v="13366"/>
    <x v="0"/>
    <s v="NY-00130"/>
    <s v="E ATLANTIC BEACH"/>
    <n v="11561"/>
    <s v="NASSAU"/>
    <s v="NY"/>
    <n v="385942"/>
    <n v="205714"/>
    <n v="180228"/>
    <n v="29900"/>
    <n v="4100"/>
    <n v="25800"/>
  </r>
  <r>
    <n v="13365"/>
    <n v="13366"/>
    <x v="0"/>
    <s v="NY-00130"/>
    <s v="E PATCHOGUE"/>
    <n v="11772"/>
    <s v="SUFFOLK"/>
    <s v="NY"/>
    <n v="122237"/>
    <n v="76437"/>
    <n v="45800"/>
    <n v="114100"/>
    <n v="74100"/>
    <n v="40000"/>
  </r>
  <r>
    <n v="13365"/>
    <n v="13366"/>
    <x v="0"/>
    <s v="NY-00130"/>
    <s v="E ROCKAWAY"/>
    <n v="11518"/>
    <s v="NASSAU"/>
    <s v="NY"/>
    <n v="28000"/>
    <n v="0"/>
    <n v="28000"/>
    <n v="0"/>
    <n v="0"/>
    <n v="0"/>
  </r>
  <r>
    <n v="13365"/>
    <n v="13366"/>
    <x v="0"/>
    <s v="NY-00130"/>
    <s v="E. ATLANTIC BEACH"/>
    <n v="11561"/>
    <s v="NASSAU"/>
    <s v="NY"/>
    <n v="304082"/>
    <n v="165777"/>
    <n v="138305"/>
    <n v="84600"/>
    <n v="41800"/>
    <n v="42800"/>
  </r>
  <r>
    <n v="13365"/>
    <n v="13366"/>
    <x v="0"/>
    <s v="NY-00130"/>
    <s v="E. ROCKAWAY"/>
    <n v="11518"/>
    <s v="NASSAU"/>
    <s v="NY"/>
    <n v="248681"/>
    <n v="89890"/>
    <n v="158791"/>
    <n v="107400"/>
    <n v="31400"/>
    <n v="76000"/>
  </r>
  <r>
    <n v="13365"/>
    <n v="13366"/>
    <x v="0"/>
    <s v="NY-00130"/>
    <s v="E. YAPHANK"/>
    <n v="11967"/>
    <s v="SUFFOLK"/>
    <s v="NY"/>
    <n v="11678"/>
    <n v="10803"/>
    <n v="875"/>
    <n v="7500"/>
    <n v="7100"/>
    <n v="400"/>
  </r>
  <r>
    <n v="13365"/>
    <n v="13366"/>
    <x v="0"/>
    <s v="NY-00130"/>
    <s v="EAST ATLANTIC BEACH"/>
    <n v="11561"/>
    <s v="NASSAU"/>
    <s v="NY"/>
    <n v="9246767"/>
    <n v="5574056"/>
    <n v="3672711"/>
    <n v="4173300"/>
    <n v="2467100"/>
    <n v="1706200"/>
  </r>
  <r>
    <n v="13365"/>
    <n v="13366"/>
    <x v="0"/>
    <s v="NY-00130"/>
    <s v="EAST ELMHURST"/>
    <n v="11369"/>
    <s v="QUEENS"/>
    <s v="NY"/>
    <n v="69313"/>
    <n v="47938"/>
    <n v="21375"/>
    <n v="35900"/>
    <n v="27100"/>
    <n v="8800"/>
  </r>
  <r>
    <n v="13365"/>
    <n v="13366"/>
    <x v="0"/>
    <s v="NY-00130"/>
    <s v="EAST ELMHURST"/>
    <n v="11370"/>
    <s v="QUEENS"/>
    <s v="NY"/>
    <n v="81595"/>
    <n v="61515"/>
    <n v="20080"/>
    <n v="0"/>
    <n v="0"/>
    <n v="0"/>
  </r>
  <r>
    <n v="13365"/>
    <n v="13366"/>
    <x v="0"/>
    <s v="NY-00130"/>
    <s v="EAST ELMHURST STREET"/>
    <n v="11369"/>
    <s v="QUEENS"/>
    <s v="NY"/>
    <n v="8340"/>
    <n v="0"/>
    <n v="8340"/>
    <n v="0"/>
    <n v="0"/>
    <n v="0"/>
  </r>
  <r>
    <n v="13365"/>
    <n v="13366"/>
    <x v="0"/>
    <s v="NY-00130"/>
    <s v="EAST HAMPTON"/>
    <n v="11937"/>
    <s v="SUFFOLK"/>
    <s v="NY"/>
    <n v="686686"/>
    <n v="623321"/>
    <n v="63365"/>
    <n v="173800"/>
    <n v="173800"/>
    <n v="0"/>
  </r>
  <r>
    <n v="13365"/>
    <n v="13366"/>
    <x v="0"/>
    <s v="NY-00130"/>
    <s v="EAST HILLS"/>
    <n v="11577"/>
    <s v="NASSAU"/>
    <s v="NY"/>
    <n v="3480"/>
    <n v="3480"/>
    <n v="0"/>
    <n v="0"/>
    <n v="0"/>
    <n v="0"/>
  </r>
  <r>
    <n v="13365"/>
    <n v="13366"/>
    <x v="0"/>
    <s v="NY-00130"/>
    <s v="EAST ISLIP"/>
    <n v="11730"/>
    <s v="SUFFOLK"/>
    <s v="NY"/>
    <n v="1409197"/>
    <n v="1260555"/>
    <n v="148642"/>
    <n v="436200"/>
    <n v="419000"/>
    <n v="17200"/>
  </r>
  <r>
    <n v="13365"/>
    <n v="13366"/>
    <x v="0"/>
    <s v="NY-00130"/>
    <s v="EAST MARION"/>
    <n v="11939"/>
    <s v="SUFFOLK"/>
    <s v="NY"/>
    <n v="498211"/>
    <n v="483636"/>
    <n v="14575"/>
    <n v="278700"/>
    <n v="265900"/>
    <n v="12800"/>
  </r>
  <r>
    <n v="13365"/>
    <n v="13366"/>
    <x v="0"/>
    <s v="NY-00130"/>
    <s v="EAST MASSAPEQUA"/>
    <n v="11758"/>
    <s v="NASSAU"/>
    <s v="NY"/>
    <n v="29720"/>
    <n v="26220"/>
    <n v="3500"/>
    <n v="0"/>
    <n v="0"/>
    <n v="0"/>
  </r>
  <r>
    <n v="13365"/>
    <n v="13366"/>
    <x v="0"/>
    <s v="NY-00130"/>
    <s v="EAST MEADOW"/>
    <n v="11554"/>
    <s v="NASSAU"/>
    <s v="NY"/>
    <n v="474083"/>
    <n v="448958"/>
    <n v="25125"/>
    <n v="279100"/>
    <n v="269800"/>
    <n v="9300"/>
  </r>
  <r>
    <n v="13365"/>
    <n v="13366"/>
    <x v="0"/>
    <s v="NY-00130"/>
    <s v="EAST MORICHES"/>
    <n v="11940"/>
    <s v="SUFFOLK"/>
    <s v="NY"/>
    <n v="746971"/>
    <n v="566546"/>
    <n v="180425"/>
    <n v="143200"/>
    <n v="77100"/>
    <n v="66100"/>
  </r>
  <r>
    <n v="13365"/>
    <n v="13366"/>
    <x v="0"/>
    <s v="NY-00130"/>
    <s v="EAST NORTHPORT"/>
    <n v="11731"/>
    <s v="SUFFOLK"/>
    <s v="NY"/>
    <n v="542252"/>
    <n v="507357"/>
    <n v="34895"/>
    <n v="302300"/>
    <n v="283100"/>
    <n v="19200"/>
  </r>
  <r>
    <n v="13365"/>
    <n v="13366"/>
    <x v="0"/>
    <s v="NY-00130"/>
    <s v="EAST NORWICH"/>
    <n v="11732"/>
    <s v="NASSAU"/>
    <s v="NY"/>
    <n v="84905"/>
    <n v="80055"/>
    <n v="4850"/>
    <n v="51800"/>
    <n v="46900"/>
    <n v="4900"/>
  </r>
  <r>
    <n v="13365"/>
    <n v="13366"/>
    <x v="0"/>
    <s v="NY-00130"/>
    <s v="EAST PATCHOGUE"/>
    <n v="11772"/>
    <s v="SUFFOLK"/>
    <s v="NY"/>
    <n v="1426310"/>
    <n v="1131655"/>
    <n v="294655"/>
    <n v="632200"/>
    <n v="474000"/>
    <n v="158200"/>
  </r>
  <r>
    <n v="13365"/>
    <n v="13366"/>
    <x v="0"/>
    <s v="NY-00130"/>
    <s v="EAST QUOGUE"/>
    <n v="11941"/>
    <s v="SUFFOLK"/>
    <s v="NY"/>
    <n v="160030"/>
    <n v="132830"/>
    <n v="27200"/>
    <n v="131200"/>
    <n v="114000"/>
    <n v="17200"/>
  </r>
  <r>
    <n v="13365"/>
    <n v="13366"/>
    <x v="0"/>
    <s v="NY-00130"/>
    <s v="EAST QUOGUE"/>
    <n v="11942"/>
    <s v="SUFFOLK"/>
    <s v="NY"/>
    <n v="2271049"/>
    <n v="1859034"/>
    <n v="412015"/>
    <n v="615500"/>
    <n v="487600"/>
    <n v="127900"/>
  </r>
  <r>
    <n v="13365"/>
    <n v="13366"/>
    <x v="0"/>
    <s v="NY-00130"/>
    <s v="EAST QUOQUE"/>
    <n v="11942"/>
    <s v="SUFFOLK"/>
    <s v="NY"/>
    <n v="91583"/>
    <n v="85628"/>
    <n v="5955"/>
    <n v="0"/>
    <n v="0"/>
    <n v="0"/>
  </r>
  <r>
    <n v="13365"/>
    <n v="13366"/>
    <x v="0"/>
    <s v="NY-00130"/>
    <s v="EAST ROCAKWAY"/>
    <n v="11518"/>
    <s v="NASSAU"/>
    <s v="NY"/>
    <n v="106485"/>
    <n v="66735"/>
    <n v="39750"/>
    <n v="106500"/>
    <n v="66800"/>
    <n v="39700"/>
  </r>
  <r>
    <n v="13365"/>
    <n v="13366"/>
    <x v="0"/>
    <s v="NY-00130"/>
    <s v="EAST ROCKAWAY"/>
    <n v="11518"/>
    <s v="NASSAU"/>
    <s v="NY"/>
    <n v="49746028"/>
    <n v="33110577"/>
    <n v="16635451"/>
    <n v="20577400"/>
    <n v="12941400"/>
    <n v="7626600"/>
  </r>
  <r>
    <n v="13365"/>
    <n v="13366"/>
    <x v="0"/>
    <s v="NY-00130"/>
    <s v="EAST ROCKAWAY"/>
    <n v="11518"/>
    <s v="NEW YORK"/>
    <s v="NY"/>
    <n v="169762"/>
    <n v="101777"/>
    <n v="67985"/>
    <n v="49300"/>
    <n v="9300"/>
    <n v="40000"/>
  </r>
  <r>
    <n v="13365"/>
    <n v="13366"/>
    <x v="0"/>
    <s v="NY-00130"/>
    <s v="EAST ROCKAWAY"/>
    <n v="11572"/>
    <s v="NASSAU"/>
    <s v="NY"/>
    <n v="173592"/>
    <n v="151877"/>
    <n v="21715"/>
    <n v="160800"/>
    <n v="146900"/>
    <n v="13900"/>
  </r>
  <r>
    <n v="13365"/>
    <n v="13366"/>
    <x v="0"/>
    <s v="NY-00130"/>
    <s v="EAST ROCKAWAY"/>
    <n v="11578"/>
    <s v="NASSAU"/>
    <s v="NY"/>
    <n v="106373"/>
    <n v="59723"/>
    <n v="46650"/>
    <n v="0"/>
    <n v="0"/>
    <n v="0"/>
  </r>
  <r>
    <n v="13365"/>
    <n v="13366"/>
    <x v="0"/>
    <s v="NY-00130"/>
    <s v="EAST ROCKAWAY"/>
    <n v="11758"/>
    <s v="NASSAU"/>
    <s v="NY"/>
    <n v="232601"/>
    <n v="184301"/>
    <n v="48300"/>
    <n v="0"/>
    <n v="0"/>
    <n v="0"/>
  </r>
  <r>
    <n v="13365"/>
    <n v="13366"/>
    <x v="0"/>
    <s v="NY-00130"/>
    <s v="EAST ROCKWAY"/>
    <n v="11518"/>
    <s v="NASSAU"/>
    <s v="NY"/>
    <n v="17475"/>
    <n v="0"/>
    <n v="17475"/>
    <n v="0"/>
    <n v="0"/>
    <n v="0"/>
  </r>
  <r>
    <n v="13365"/>
    <n v="13366"/>
    <x v="0"/>
    <s v="NY-00130"/>
    <s v="EAST ROCXKAWAY"/>
    <n v="11518"/>
    <s v="NASSAU"/>
    <s v="NY"/>
    <n v="76198"/>
    <n v="60598"/>
    <n v="15600"/>
    <n v="15600"/>
    <n v="0"/>
    <n v="15600"/>
  </r>
  <r>
    <n v="13365"/>
    <n v="13366"/>
    <x v="0"/>
    <s v="NY-00130"/>
    <s v="EAST SETAUKET"/>
    <n v="11733"/>
    <s v="SUFFOLK"/>
    <s v="NY"/>
    <n v="76901"/>
    <n v="67076"/>
    <n v="9825"/>
    <n v="4800"/>
    <n v="0"/>
    <n v="4800"/>
  </r>
  <r>
    <n v="13365"/>
    <n v="13366"/>
    <x v="0"/>
    <s v="NY-00130"/>
    <s v="EAST WILLISTON"/>
    <n v="11550"/>
    <s v="NASSAU"/>
    <s v="NY"/>
    <n v="28565"/>
    <n v="28065"/>
    <n v="500"/>
    <n v="0"/>
    <n v="0"/>
    <n v="0"/>
  </r>
  <r>
    <n v="13365"/>
    <n v="13366"/>
    <x v="0"/>
    <s v="NY-00130"/>
    <s v="EAST WILLISTON"/>
    <n v="11596"/>
    <s v="NASSAU"/>
    <s v="NY"/>
    <n v="80792"/>
    <n v="70392"/>
    <n v="10400"/>
    <n v="4500"/>
    <n v="4500"/>
    <n v="0"/>
  </r>
  <r>
    <n v="13365"/>
    <n v="13366"/>
    <x v="0"/>
    <s v="NY-00130"/>
    <s v="EASTPATCHOGUE"/>
    <n v="11772"/>
    <s v="SUFFOLK"/>
    <s v="NY"/>
    <n v="92635"/>
    <n v="72455"/>
    <n v="20180"/>
    <n v="0"/>
    <n v="0"/>
    <n v="0"/>
  </r>
  <r>
    <n v="13365"/>
    <n v="13366"/>
    <x v="0"/>
    <s v="NY-00130"/>
    <s v="EASTPORT"/>
    <n v="11941"/>
    <s v="SUFFOLK"/>
    <s v="NY"/>
    <n v="39411"/>
    <n v="33336"/>
    <n v="6075"/>
    <n v="39500"/>
    <n v="33400"/>
    <n v="6100"/>
  </r>
  <r>
    <n v="13365"/>
    <n v="13366"/>
    <x v="0"/>
    <s v="NY-00130"/>
    <s v="EASTROCKAWAY"/>
    <n v="11518"/>
    <s v="NASSAU"/>
    <s v="NY"/>
    <n v="133563"/>
    <n v="73363"/>
    <n v="60200"/>
    <n v="25500"/>
    <n v="0"/>
    <n v="25500"/>
  </r>
  <r>
    <n v="13365"/>
    <n v="13366"/>
    <x v="0"/>
    <s v="NY-00130"/>
    <s v="EDGEMERE"/>
    <n v="11691"/>
    <s v="QUEENS"/>
    <s v="NY"/>
    <n v="135592"/>
    <n v="89867"/>
    <n v="45725"/>
    <n v="123400"/>
    <n v="84900"/>
    <n v="38500"/>
  </r>
  <r>
    <n v="13365"/>
    <n v="13366"/>
    <x v="0"/>
    <s v="NY-00130"/>
    <s v="ELMFORD"/>
    <n v="10523"/>
    <s v="WESTCHESTER"/>
    <s v="NY"/>
    <n v="14642"/>
    <n v="14642"/>
    <n v="0"/>
    <n v="10100"/>
    <n v="10100"/>
    <n v="0"/>
  </r>
  <r>
    <n v="13365"/>
    <n v="13366"/>
    <x v="0"/>
    <s v="NY-00130"/>
    <s v="ELMHURST"/>
    <n v="11373"/>
    <s v="QUEENS"/>
    <s v="NY"/>
    <n v="20744"/>
    <n v="19894"/>
    <n v="850"/>
    <n v="1800"/>
    <n v="1800"/>
    <n v="0"/>
  </r>
  <r>
    <n v="13365"/>
    <n v="13366"/>
    <x v="0"/>
    <s v="NY-00130"/>
    <s v="ELMONT"/>
    <n v="11003"/>
    <s v="NASSAU"/>
    <s v="NY"/>
    <n v="1311452"/>
    <n v="1120423"/>
    <n v="191029"/>
    <n v="593800"/>
    <n v="499900"/>
    <n v="93900"/>
  </r>
  <r>
    <n v="13365"/>
    <n v="13366"/>
    <x v="0"/>
    <s v="NY-00130"/>
    <s v="ELMSFORD"/>
    <n v="10523"/>
    <s v="WESTCHESTER"/>
    <s v="NY"/>
    <n v="9532"/>
    <n v="7032"/>
    <n v="2500"/>
    <n v="9600"/>
    <n v="7100"/>
    <n v="2500"/>
  </r>
  <r>
    <n v="13365"/>
    <n v="13366"/>
    <x v="0"/>
    <s v="NY-00130"/>
    <s v="FAIR HARBOR"/>
    <n v="11706"/>
    <s v="SUFFOLK"/>
    <s v="NY"/>
    <n v="51094"/>
    <n v="44069"/>
    <n v="7025"/>
    <n v="14500"/>
    <n v="8500"/>
    <n v="6000"/>
  </r>
  <r>
    <n v="13365"/>
    <n v="13366"/>
    <x v="0"/>
    <s v="NY-00130"/>
    <s v="FAIR HARBOR"/>
    <n v="11752"/>
    <s v="SUFFOLK"/>
    <s v="NY"/>
    <n v="32076"/>
    <n v="26576"/>
    <n v="5500"/>
    <n v="0"/>
    <n v="0"/>
    <n v="0"/>
  </r>
  <r>
    <n v="13365"/>
    <n v="13366"/>
    <x v="0"/>
    <s v="NY-00130"/>
    <s v="FAR  ROCKAWAY"/>
    <n v="11691"/>
    <s v="QUEENS"/>
    <s v="NY"/>
    <n v="101078"/>
    <n v="63518"/>
    <n v="37560"/>
    <n v="49100"/>
    <n v="11600"/>
    <n v="37500"/>
  </r>
  <r>
    <n v="13365"/>
    <n v="13366"/>
    <x v="0"/>
    <s v="NY-00130"/>
    <s v="FAR FOCKAWAY"/>
    <n v="11691"/>
    <s v="QUEENS"/>
    <s v="NY"/>
    <n v="500"/>
    <n v="0"/>
    <n v="500"/>
    <n v="0"/>
    <n v="0"/>
    <n v="0"/>
  </r>
  <r>
    <n v="13365"/>
    <n v="13366"/>
    <x v="0"/>
    <s v="NY-00130"/>
    <s v="FAR ROCAKWAY"/>
    <n v="11691"/>
    <s v="QUEENS"/>
    <s v="NY"/>
    <n v="60803"/>
    <n v="47793"/>
    <n v="13010"/>
    <n v="39200"/>
    <n v="34000"/>
    <n v="5200"/>
  </r>
  <r>
    <n v="13365"/>
    <n v="13366"/>
    <x v="0"/>
    <s v="NY-00130"/>
    <s v="FAR ROCAWAY"/>
    <n v="11691"/>
    <s v="QUEENS"/>
    <s v="NY"/>
    <n v="25920"/>
    <n v="16320"/>
    <n v="9600"/>
    <n v="0"/>
    <n v="0"/>
    <n v="0"/>
  </r>
  <r>
    <n v="13365"/>
    <n v="13366"/>
    <x v="0"/>
    <s v="NY-00130"/>
    <s v="FAR ROCKAW;AY"/>
    <n v="11694"/>
    <s v="QUEENS"/>
    <s v="NY"/>
    <n v="32200"/>
    <n v="0"/>
    <n v="32200"/>
    <n v="0"/>
    <n v="0"/>
    <n v="0"/>
  </r>
  <r>
    <n v="13365"/>
    <n v="13366"/>
    <x v="0"/>
    <s v="NY-00130"/>
    <s v="FAR ROCKAWAY"/>
    <n v="11561"/>
    <s v="NASSAU"/>
    <s v="NY"/>
    <n v="29700"/>
    <n v="0"/>
    <n v="29700"/>
    <n v="0"/>
    <n v="0"/>
    <n v="0"/>
  </r>
  <r>
    <n v="13365"/>
    <n v="13366"/>
    <x v="0"/>
    <s v="NY-00130"/>
    <s v="FAR ROCKAWAY"/>
    <n v="11691"/>
    <s v="NASSAU"/>
    <s v="NY"/>
    <n v="18075"/>
    <n v="0"/>
    <n v="18075"/>
    <n v="0"/>
    <n v="0"/>
    <n v="0"/>
  </r>
  <r>
    <n v="13365"/>
    <n v="13366"/>
    <x v="0"/>
    <s v="NY-00130"/>
    <s v="FAR ROCKAWAY"/>
    <n v="11691"/>
    <s v="NEW YORK"/>
    <s v="NY"/>
    <n v="274315"/>
    <n v="183515"/>
    <n v="90800"/>
    <n v="109200"/>
    <n v="72200"/>
    <n v="37000"/>
  </r>
  <r>
    <n v="13365"/>
    <n v="13366"/>
    <x v="0"/>
    <s v="NY-00130"/>
    <s v="FAR ROCKAWAY"/>
    <n v="11691"/>
    <s v="QUEENS"/>
    <s v="NY"/>
    <n v="47195829"/>
    <n v="29554002"/>
    <n v="17641827"/>
    <n v="17354600"/>
    <n v="9923900"/>
    <n v="7430700"/>
  </r>
  <r>
    <n v="13365"/>
    <n v="13366"/>
    <x v="0"/>
    <s v="NY-00130"/>
    <s v="FAR ROCKAWAY"/>
    <n v="11692"/>
    <s v="NEW YORK"/>
    <s v="NY"/>
    <n v="4903"/>
    <n v="4203"/>
    <n v="700"/>
    <n v="0"/>
    <n v="0"/>
    <n v="0"/>
  </r>
  <r>
    <n v="13365"/>
    <n v="13366"/>
    <x v="0"/>
    <s v="NY-00130"/>
    <s v="FAR ROCKAWAY"/>
    <n v="11692"/>
    <s v="QUEENS"/>
    <s v="NY"/>
    <n v="1036653"/>
    <n v="417206"/>
    <n v="619447"/>
    <n v="179700"/>
    <n v="14000"/>
    <n v="165700"/>
  </r>
  <r>
    <n v="13365"/>
    <n v="13366"/>
    <x v="0"/>
    <s v="NY-00130"/>
    <s v="FAR ROCKAWAY"/>
    <n v="11693"/>
    <s v="QUEENS"/>
    <s v="NY"/>
    <n v="432492"/>
    <n v="210607"/>
    <n v="221885"/>
    <n v="35100"/>
    <n v="14400"/>
    <n v="20700"/>
  </r>
  <r>
    <n v="13365"/>
    <n v="13366"/>
    <x v="0"/>
    <s v="NY-00130"/>
    <s v="FAR ROCKAWAY"/>
    <n v="11694"/>
    <s v="QUEENS"/>
    <s v="NY"/>
    <n v="1356384"/>
    <n v="1033694"/>
    <n v="322690"/>
    <n v="501800"/>
    <n v="387000"/>
    <n v="114800"/>
  </r>
  <r>
    <n v="13365"/>
    <n v="13366"/>
    <x v="0"/>
    <s v="NY-00130"/>
    <s v="FAR ROCKAWAY"/>
    <n v="11697"/>
    <s v="QUEENS"/>
    <s v="NY"/>
    <n v="90021"/>
    <n v="68121"/>
    <n v="21900"/>
    <n v="82100"/>
    <n v="60200"/>
    <n v="21900"/>
  </r>
  <r>
    <n v="13365"/>
    <n v="13366"/>
    <x v="0"/>
    <s v="NY-00130"/>
    <s v="FAR ROCKAWAY"/>
    <n v="99999"/>
    <s v="QUEENS"/>
    <s v="NY"/>
    <n v="11950"/>
    <n v="0"/>
    <n v="11950"/>
    <n v="0"/>
    <n v="0"/>
    <n v="0"/>
  </r>
  <r>
    <n v="13365"/>
    <n v="13366"/>
    <x v="0"/>
    <s v="NY-00130"/>
    <s v="FAR ROCKAWAY NY"/>
    <n v="11693"/>
    <s v="QUEENS"/>
    <s v="NY"/>
    <n v="38500"/>
    <n v="0"/>
    <n v="38500"/>
    <n v="38500"/>
    <n v="0"/>
    <n v="38500"/>
  </r>
  <r>
    <n v="13365"/>
    <n v="13366"/>
    <x v="0"/>
    <s v="NY-00130"/>
    <s v="FAR ROCKAWWAY"/>
    <n v="11691"/>
    <s v="QUEENS"/>
    <s v="NY"/>
    <n v="87580"/>
    <n v="71880"/>
    <n v="15700"/>
    <n v="0"/>
    <n v="0"/>
    <n v="0"/>
  </r>
  <r>
    <n v="13365"/>
    <n v="13366"/>
    <x v="0"/>
    <s v="NY-00130"/>
    <s v="FAR ROCKAWY"/>
    <n v="11691"/>
    <s v="QUEENS"/>
    <s v="NY"/>
    <n v="155270"/>
    <n v="90207"/>
    <n v="65063"/>
    <n v="85600"/>
    <n v="45600"/>
    <n v="40000"/>
  </r>
  <r>
    <n v="13365"/>
    <n v="13366"/>
    <x v="0"/>
    <s v="NY-00130"/>
    <s v="FAR ROCKWAY"/>
    <n v="11691"/>
    <s v="QUEENS"/>
    <s v="NY"/>
    <n v="9380"/>
    <n v="0"/>
    <n v="9380"/>
    <n v="0"/>
    <n v="0"/>
    <n v="0"/>
  </r>
  <r>
    <n v="13365"/>
    <n v="13366"/>
    <x v="0"/>
    <s v="NY-00130"/>
    <s v="FAR ROCKWAY"/>
    <n v="11693"/>
    <s v="QUEENS"/>
    <s v="NY"/>
    <n v="58818"/>
    <n v="33068"/>
    <n v="25750"/>
    <n v="0"/>
    <n v="0"/>
    <n v="0"/>
  </r>
  <r>
    <n v="13365"/>
    <n v="13366"/>
    <x v="0"/>
    <s v="NY-00130"/>
    <s v="FARMINGDALE"/>
    <n v="11735"/>
    <s v="NASSAU"/>
    <s v="NY"/>
    <n v="270311"/>
    <n v="247574"/>
    <n v="22737"/>
    <n v="220500"/>
    <n v="198600"/>
    <n v="21900"/>
  </r>
  <r>
    <n v="13365"/>
    <n v="13366"/>
    <x v="0"/>
    <s v="NY-00130"/>
    <s v="FARMINGDALE"/>
    <n v="11735"/>
    <s v="SUFFOLK"/>
    <s v="NY"/>
    <n v="117541"/>
    <n v="110091"/>
    <n v="7450"/>
    <n v="28600"/>
    <n v="22500"/>
    <n v="6100"/>
  </r>
  <r>
    <n v="13365"/>
    <n v="13366"/>
    <x v="0"/>
    <s v="NY-00130"/>
    <s v="FARMINGVILLE"/>
    <n v="11738"/>
    <s v="SUFFOLK"/>
    <s v="NY"/>
    <n v="187863"/>
    <n v="185338"/>
    <n v="2525"/>
    <n v="125900"/>
    <n v="123900"/>
    <n v="2000"/>
  </r>
  <r>
    <n v="13365"/>
    <n v="13366"/>
    <x v="0"/>
    <s v="NY-00130"/>
    <s v="FARROCKAWAY"/>
    <n v="11691"/>
    <s v="NEW YORK"/>
    <s v="NY"/>
    <n v="136317"/>
    <n v="95742"/>
    <n v="40575"/>
    <n v="0"/>
    <n v="0"/>
    <n v="0"/>
  </r>
  <r>
    <n v="13365"/>
    <n v="13366"/>
    <x v="0"/>
    <s v="NY-00130"/>
    <s v="FARROCKAWAY"/>
    <n v="11691"/>
    <s v="QUEENS"/>
    <s v="NY"/>
    <n v="76180"/>
    <n v="37120"/>
    <n v="39060"/>
    <n v="7200"/>
    <n v="0"/>
    <n v="7200"/>
  </r>
  <r>
    <n v="13365"/>
    <n v="13366"/>
    <x v="0"/>
    <s v="NY-00130"/>
    <s v="FARROCKAWAY"/>
    <n v="11692"/>
    <s v="QUEENS"/>
    <s v="NY"/>
    <n v="23070"/>
    <n v="0"/>
    <n v="23070"/>
    <n v="0"/>
    <n v="0"/>
    <n v="0"/>
  </r>
  <r>
    <n v="13365"/>
    <n v="13366"/>
    <x v="0"/>
    <s v="NY-00130"/>
    <s v="FAT ROCKAWAY"/>
    <n v="11691"/>
    <s v="QUEENS"/>
    <s v="NY"/>
    <n v="45550"/>
    <n v="0"/>
    <n v="45550"/>
    <n v="0"/>
    <n v="0"/>
    <n v="0"/>
  </r>
  <r>
    <n v="13365"/>
    <n v="13366"/>
    <x v="0"/>
    <s v="NY-00130"/>
    <s v="FIRE ISLAND PINES"/>
    <n v="11782"/>
    <s v="SUFFOLK"/>
    <s v="NY"/>
    <n v="141622"/>
    <n v="139122"/>
    <n v="2500"/>
    <n v="0"/>
    <n v="0"/>
    <n v="0"/>
  </r>
  <r>
    <n v="13365"/>
    <n v="13366"/>
    <x v="0"/>
    <s v="NY-00130"/>
    <s v="FLANDERS"/>
    <n v="11901"/>
    <s v="SUFFOLK"/>
    <s v="NY"/>
    <n v="1095960"/>
    <n v="888415"/>
    <n v="207545"/>
    <n v="443300"/>
    <n v="354500"/>
    <n v="88800"/>
  </r>
  <r>
    <n v="13365"/>
    <n v="13366"/>
    <x v="0"/>
    <s v="NY-00130"/>
    <s v="FLORAL PARK"/>
    <n v="11001"/>
    <s v="NASSAU"/>
    <s v="NY"/>
    <n v="421734"/>
    <n v="380614"/>
    <n v="41120"/>
    <n v="260400"/>
    <n v="235600"/>
    <n v="24800"/>
  </r>
  <r>
    <n v="13365"/>
    <n v="13366"/>
    <x v="0"/>
    <s v="NY-00130"/>
    <s v="FLORAL PARK"/>
    <n v="11004"/>
    <s v="QUEENS"/>
    <s v="NY"/>
    <n v="128017"/>
    <n v="112579"/>
    <n v="15438"/>
    <n v="31500"/>
    <n v="31100"/>
    <n v="400"/>
  </r>
  <r>
    <n v="13365"/>
    <n v="13366"/>
    <x v="0"/>
    <s v="NY-00130"/>
    <s v="FLORIDA"/>
    <n v="10921"/>
    <s v="ORANGE"/>
    <s v="NY"/>
    <n v="89284"/>
    <n v="79139"/>
    <n v="10145"/>
    <n v="64100"/>
    <n v="56500"/>
    <n v="7600"/>
  </r>
  <r>
    <n v="13365"/>
    <n v="13366"/>
    <x v="0"/>
    <s v="NY-00130"/>
    <s v="FLUSHING"/>
    <n v="11354"/>
    <s v="QUEENS"/>
    <s v="NY"/>
    <n v="79846"/>
    <n v="57761"/>
    <n v="22085"/>
    <n v="61100"/>
    <n v="57200"/>
    <n v="3900"/>
  </r>
  <r>
    <n v="13365"/>
    <n v="13366"/>
    <x v="0"/>
    <s v="NY-00130"/>
    <s v="FLUSHING"/>
    <n v="11355"/>
    <s v="QUEENS"/>
    <s v="NY"/>
    <n v="56574"/>
    <n v="50334"/>
    <n v="6240"/>
    <n v="14000"/>
    <n v="14000"/>
    <n v="0"/>
  </r>
  <r>
    <n v="13365"/>
    <n v="13366"/>
    <x v="0"/>
    <s v="NY-00130"/>
    <s v="FLUSHING"/>
    <n v="11358"/>
    <s v="QUEENS"/>
    <s v="NY"/>
    <n v="298152"/>
    <n v="265191"/>
    <n v="32961"/>
    <n v="0"/>
    <n v="0"/>
    <n v="0"/>
  </r>
  <r>
    <n v="13365"/>
    <n v="13366"/>
    <x v="0"/>
    <s v="NY-00130"/>
    <s v="FLUSHING"/>
    <n v="11367"/>
    <s v="QUEENS"/>
    <s v="NY"/>
    <n v="18624"/>
    <n v="4549"/>
    <n v="14075"/>
    <n v="6700"/>
    <n v="1600"/>
    <n v="5100"/>
  </r>
  <r>
    <n v="13365"/>
    <n v="13366"/>
    <x v="0"/>
    <s v="NY-00130"/>
    <s v="FLUSHING"/>
    <n v="11371"/>
    <s v="QUEENS"/>
    <s v="NY"/>
    <n v="3000"/>
    <n v="0"/>
    <n v="3000"/>
    <n v="3000"/>
    <n v="0"/>
    <n v="3000"/>
  </r>
  <r>
    <n v="13365"/>
    <n v="13366"/>
    <x v="0"/>
    <s v="NY-00130"/>
    <s v="FORT SALONGA"/>
    <n v="11768"/>
    <s v="SUFFOLK"/>
    <s v="NY"/>
    <n v="282382"/>
    <n v="273722"/>
    <n v="8660"/>
    <n v="220700"/>
    <n v="212000"/>
    <n v="8700"/>
  </r>
  <r>
    <n v="13365"/>
    <n v="13366"/>
    <x v="0"/>
    <s v="NY-00130"/>
    <s v="FORT TILDEN"/>
    <n v="11697"/>
    <s v="QUEENS"/>
    <s v="NY"/>
    <n v="12145"/>
    <n v="0"/>
    <n v="12145"/>
    <n v="12200"/>
    <n v="0"/>
    <n v="12200"/>
  </r>
  <r>
    <n v="13365"/>
    <n v="13366"/>
    <x v="0"/>
    <s v="NY-00130"/>
    <s v="FRANKLIN SQUARE"/>
    <n v="11010"/>
    <s v="NASSAU"/>
    <s v="NY"/>
    <n v="214694"/>
    <n v="198119"/>
    <n v="16575"/>
    <n v="132000"/>
    <n v="123300"/>
    <n v="8700"/>
  </r>
  <r>
    <n v="13365"/>
    <n v="13366"/>
    <x v="0"/>
    <s v="NY-00130"/>
    <s v="FREEPORT"/>
    <n v="11514"/>
    <s v="NASSAU"/>
    <s v="NY"/>
    <n v="94767"/>
    <n v="72692"/>
    <n v="22075"/>
    <n v="14000"/>
    <n v="0"/>
    <n v="14000"/>
  </r>
  <r>
    <n v="13365"/>
    <n v="13366"/>
    <x v="0"/>
    <s v="NY-00130"/>
    <s v="FREEPORT"/>
    <n v="11520"/>
    <s v="NASSAU"/>
    <s v="NY"/>
    <n v="106004976"/>
    <n v="75966761"/>
    <n v="30038215"/>
    <n v="39151200"/>
    <n v="25523000"/>
    <n v="13618200"/>
  </r>
  <r>
    <n v="13365"/>
    <n v="13366"/>
    <x v="0"/>
    <s v="NY-00130"/>
    <s v="FREEPORT"/>
    <n v="11520"/>
    <s v="NEW YORK"/>
    <s v="NY"/>
    <n v="492692"/>
    <n v="290467"/>
    <n v="202225"/>
    <n v="151900"/>
    <n v="89000"/>
    <n v="62900"/>
  </r>
  <r>
    <n v="13365"/>
    <n v="13366"/>
    <x v="0"/>
    <s v="NY-00130"/>
    <s v="FREEPORT"/>
    <n v="11530"/>
    <s v="NASSAU"/>
    <s v="NY"/>
    <n v="30250"/>
    <n v="0"/>
    <n v="30250"/>
    <n v="30300"/>
    <n v="0"/>
    <n v="30300"/>
  </r>
  <r>
    <n v="13365"/>
    <n v="13366"/>
    <x v="0"/>
    <s v="NY-00130"/>
    <s v="FREEPRT"/>
    <n v="11520"/>
    <s v="NASSAU"/>
    <s v="NY"/>
    <n v="129002"/>
    <n v="104272"/>
    <n v="24730"/>
    <n v="0"/>
    <n v="0"/>
    <n v="0"/>
  </r>
  <r>
    <n v="13365"/>
    <n v="13366"/>
    <x v="0"/>
    <s v="NY-00130"/>
    <s v="FRESH MEADOWS"/>
    <n v="11365"/>
    <s v="QUEENS"/>
    <s v="NY"/>
    <n v="94002"/>
    <n v="85477"/>
    <n v="8525"/>
    <n v="18800"/>
    <n v="10200"/>
    <n v="8600"/>
  </r>
  <r>
    <n v="13365"/>
    <n v="13366"/>
    <x v="0"/>
    <s v="NY-00130"/>
    <s v="FRESH MEADOWS"/>
    <n v="11366"/>
    <s v="QUEENS"/>
    <s v="NY"/>
    <n v="12372"/>
    <n v="12372"/>
    <n v="0"/>
    <n v="9200"/>
    <n v="9200"/>
    <n v="0"/>
  </r>
  <r>
    <n v="13365"/>
    <n v="13366"/>
    <x v="0"/>
    <s v="NY-00130"/>
    <s v="GARDEN CITY"/>
    <n v="11530"/>
    <s v="NASSAU"/>
    <s v="NY"/>
    <n v="1117906"/>
    <n v="1069526"/>
    <n v="48380"/>
    <n v="717200"/>
    <n v="668700"/>
    <n v="48500"/>
  </r>
  <r>
    <n v="13365"/>
    <n v="13366"/>
    <x v="0"/>
    <s v="NY-00130"/>
    <s v="GARDINER"/>
    <n v="12525"/>
    <s v="ULSTER"/>
    <s v="NY"/>
    <n v="7900"/>
    <n v="0"/>
    <n v="7900"/>
    <n v="0"/>
    <n v="0"/>
    <n v="0"/>
  </r>
  <r>
    <n v="13365"/>
    <n v="13366"/>
    <x v="0"/>
    <s v="NY-00130"/>
    <s v="GARNERVILLE"/>
    <n v="10923"/>
    <s v="ROCKLAND"/>
    <s v="NY"/>
    <n v="67996"/>
    <n v="48146"/>
    <n v="19850"/>
    <n v="0"/>
    <n v="0"/>
    <n v="0"/>
  </r>
  <r>
    <n v="13365"/>
    <n v="13366"/>
    <x v="0"/>
    <s v="NY-00130"/>
    <s v="GARRISON"/>
    <n v="10524"/>
    <s v="PUTNAM"/>
    <s v="NY"/>
    <n v="97029"/>
    <n v="83501"/>
    <n v="13528"/>
    <n v="13600"/>
    <n v="0"/>
    <n v="13600"/>
  </r>
  <r>
    <n v="13365"/>
    <n v="13366"/>
    <x v="0"/>
    <s v="NY-00130"/>
    <s v="GILGO BEACH"/>
    <n v="11702"/>
    <s v="SUFFOLK"/>
    <s v="NY"/>
    <n v="580734"/>
    <n v="483919"/>
    <n v="96815"/>
    <n v="36900"/>
    <n v="5100"/>
    <n v="31800"/>
  </r>
  <r>
    <n v="13365"/>
    <n v="13366"/>
    <x v="0"/>
    <s v="NY-00130"/>
    <s v="GLEN COVE"/>
    <n v="11542"/>
    <s v="NASSAU"/>
    <s v="NY"/>
    <n v="797977"/>
    <n v="655347"/>
    <n v="142630"/>
    <n v="370600"/>
    <n v="307500"/>
    <n v="63100"/>
  </r>
  <r>
    <n v="13365"/>
    <n v="13366"/>
    <x v="0"/>
    <s v="NY-00130"/>
    <s v="GLEN HEAD"/>
    <n v="11545"/>
    <s v="NASSAU"/>
    <s v="NY"/>
    <n v="853763"/>
    <n v="823488"/>
    <n v="30275"/>
    <n v="634400"/>
    <n v="611700"/>
    <n v="22700"/>
  </r>
  <r>
    <n v="13365"/>
    <n v="13366"/>
    <x v="0"/>
    <s v="NY-00130"/>
    <s v="GLEN OAKS"/>
    <n v="11004"/>
    <s v="QUEENS"/>
    <s v="NY"/>
    <n v="32992"/>
    <n v="29142"/>
    <n v="3850"/>
    <n v="20800"/>
    <n v="20000"/>
    <n v="800"/>
  </r>
  <r>
    <n v="13365"/>
    <n v="13366"/>
    <x v="0"/>
    <s v="NY-00130"/>
    <s v="GLENWOOD LANDING"/>
    <n v="11547"/>
    <s v="NASSAU"/>
    <s v="NY"/>
    <n v="39430"/>
    <n v="39430"/>
    <n v="0"/>
    <n v="0"/>
    <n v="0"/>
    <n v="0"/>
  </r>
  <r>
    <n v="13365"/>
    <n v="13366"/>
    <x v="0"/>
    <s v="NY-00130"/>
    <s v="GOLDENS BRIDGE"/>
    <n v="10526"/>
    <s v="WESTCHESTER"/>
    <s v="NY"/>
    <n v="2450"/>
    <n v="0"/>
    <n v="2450"/>
    <n v="0"/>
    <n v="0"/>
    <n v="0"/>
  </r>
  <r>
    <n v="13365"/>
    <n v="13366"/>
    <x v="0"/>
    <s v="NY-00130"/>
    <s v="GOSHEN"/>
    <n v="10924"/>
    <s v="ORANGE"/>
    <s v="NY"/>
    <n v="52158"/>
    <n v="19740"/>
    <n v="32418"/>
    <n v="15000"/>
    <n v="15000"/>
    <n v="0"/>
  </r>
  <r>
    <n v="13365"/>
    <n v="13366"/>
    <x v="0"/>
    <s v="NY-00130"/>
    <s v="GRAND VIEW"/>
    <n v="10960"/>
    <s v="ROCKLAND"/>
    <s v="NY"/>
    <n v="420203"/>
    <n v="374003"/>
    <n v="46200"/>
    <n v="240000"/>
    <n v="200000"/>
    <n v="40000"/>
  </r>
  <r>
    <n v="13365"/>
    <n v="13366"/>
    <x v="0"/>
    <s v="NY-00130"/>
    <s v="GRAND VIEW-ON-HUDSON"/>
    <n v="10960"/>
    <s v="ROCKLAND"/>
    <s v="NY"/>
    <n v="60790"/>
    <n v="55790"/>
    <n v="5000"/>
    <n v="60800"/>
    <n v="55800"/>
    <n v="5000"/>
  </r>
  <r>
    <n v="13365"/>
    <n v="13366"/>
    <x v="0"/>
    <s v="NY-00130"/>
    <s v="GRANDVIEW"/>
    <n v="10960"/>
    <s v="ROCKLAND"/>
    <s v="NY"/>
    <n v="362815"/>
    <n v="283115"/>
    <n v="79700"/>
    <n v="182600"/>
    <n v="160500"/>
    <n v="22100"/>
  </r>
  <r>
    <n v="13365"/>
    <n v="13366"/>
    <x v="0"/>
    <s v="NY-00130"/>
    <s v="GREAT NECK"/>
    <n v="11020"/>
    <s v="NASSAU"/>
    <s v="NY"/>
    <n v="29271"/>
    <n v="25221"/>
    <n v="4050"/>
    <n v="3300"/>
    <n v="0"/>
    <n v="3300"/>
  </r>
  <r>
    <n v="13365"/>
    <n v="13366"/>
    <x v="0"/>
    <s v="NY-00130"/>
    <s v="GREAT NECK"/>
    <n v="11021"/>
    <s v="NASSAU"/>
    <s v="NY"/>
    <n v="183734"/>
    <n v="176484"/>
    <n v="7250"/>
    <n v="146800"/>
    <n v="140300"/>
    <n v="6500"/>
  </r>
  <r>
    <n v="13365"/>
    <n v="13366"/>
    <x v="0"/>
    <s v="NY-00130"/>
    <s v="GREAT NECK"/>
    <n v="11023"/>
    <s v="NASSAU"/>
    <s v="NY"/>
    <n v="427504"/>
    <n v="320904"/>
    <n v="106600"/>
    <n v="184100"/>
    <n v="144100"/>
    <n v="40000"/>
  </r>
  <r>
    <n v="13365"/>
    <n v="13366"/>
    <x v="0"/>
    <s v="NY-00130"/>
    <s v="GREAT NECK"/>
    <n v="11024"/>
    <s v="NASSAU"/>
    <s v="NY"/>
    <n v="146403"/>
    <n v="133603"/>
    <n v="12800"/>
    <n v="60600"/>
    <n v="51000"/>
    <n v="9600"/>
  </r>
  <r>
    <n v="13365"/>
    <n v="13366"/>
    <x v="0"/>
    <s v="NY-00130"/>
    <s v="GREAT RIVER"/>
    <n v="11739"/>
    <s v="SUFFOLK"/>
    <s v="NY"/>
    <n v="274188"/>
    <n v="245153"/>
    <n v="29035"/>
    <n v="114800"/>
    <n v="94100"/>
    <n v="20700"/>
  </r>
  <r>
    <n v="13365"/>
    <n v="13366"/>
    <x v="0"/>
    <s v="NY-00130"/>
    <s v="GREENLAWN"/>
    <n v="11740"/>
    <s v="SUFFOLK"/>
    <s v="NY"/>
    <n v="263444"/>
    <n v="246319"/>
    <n v="17125"/>
    <n v="44600"/>
    <n v="44400"/>
    <n v="200"/>
  </r>
  <r>
    <n v="13365"/>
    <n v="13366"/>
    <x v="0"/>
    <s v="NY-00130"/>
    <s v="GREENPORT"/>
    <n v="11520"/>
    <s v="NASSAU"/>
    <s v="NY"/>
    <n v="71510"/>
    <n v="50335"/>
    <n v="21175"/>
    <n v="0"/>
    <n v="0"/>
    <n v="0"/>
  </r>
  <r>
    <n v="13365"/>
    <n v="13366"/>
    <x v="0"/>
    <s v="NY-00130"/>
    <s v="GREENPORT"/>
    <n v="11944"/>
    <s v="SUFFOLK"/>
    <s v="NY"/>
    <n v="562554"/>
    <n v="511619"/>
    <n v="50935"/>
    <n v="313000"/>
    <n v="283300"/>
    <n v="29700"/>
  </r>
  <r>
    <n v="13365"/>
    <n v="13366"/>
    <x v="0"/>
    <s v="NY-00130"/>
    <s v="GREENWOOD LAKE"/>
    <n v="10925"/>
    <s v="ORANGE"/>
    <s v="NY"/>
    <n v="152519"/>
    <n v="140069"/>
    <n v="12450"/>
    <n v="64400"/>
    <n v="55800"/>
    <n v="8600"/>
  </r>
  <r>
    <n v="13365"/>
    <n v="13366"/>
    <x v="0"/>
    <s v="NY-00130"/>
    <s v="HALESITE"/>
    <n v="11743"/>
    <s v="SUFFOLK"/>
    <s v="NY"/>
    <n v="76349"/>
    <n v="76029"/>
    <n v="320"/>
    <n v="25200"/>
    <n v="24900"/>
    <n v="300"/>
  </r>
  <r>
    <n v="13365"/>
    <n v="13366"/>
    <x v="0"/>
    <s v="NY-00130"/>
    <s v="HAMILTON BEACH"/>
    <n v="11414"/>
    <s v="QUEENS"/>
    <s v="NY"/>
    <n v="909325"/>
    <n v="594905"/>
    <n v="314420"/>
    <n v="252700"/>
    <n v="159300"/>
    <n v="93400"/>
  </r>
  <r>
    <n v="13365"/>
    <n v="13366"/>
    <x v="0"/>
    <s v="NY-00130"/>
    <s v="HAMILTON BEACH"/>
    <n v="16114"/>
    <s v="QUEENS"/>
    <s v="NY"/>
    <n v="111498"/>
    <n v="70598"/>
    <n v="40900"/>
    <n v="0"/>
    <n v="0"/>
    <n v="0"/>
  </r>
  <r>
    <n v="13365"/>
    <n v="13366"/>
    <x v="0"/>
    <s v="NY-00130"/>
    <s v="HAMPTON BAYS"/>
    <n v="11946"/>
    <s v="SUFFOLK"/>
    <s v="NY"/>
    <n v="2701516"/>
    <n v="2273941"/>
    <n v="427575"/>
    <n v="1232500"/>
    <n v="1033500"/>
    <n v="199000"/>
  </r>
  <r>
    <n v="13365"/>
    <n v="13366"/>
    <x v="0"/>
    <s v="NY-00130"/>
    <s v="HAMPTON BAYS"/>
    <n v="11964"/>
    <s v="SUFFOLK"/>
    <s v="NY"/>
    <n v="144122"/>
    <n v="136922"/>
    <n v="7200"/>
    <n v="0"/>
    <n v="0"/>
    <n v="0"/>
  </r>
  <r>
    <n v="13365"/>
    <n v="13366"/>
    <x v="0"/>
    <s v="NY-00130"/>
    <s v="HAMPTON NBAYS"/>
    <n v="11946"/>
    <s v="SUFFOLK"/>
    <s v="NY"/>
    <n v="200535"/>
    <n v="200535"/>
    <n v="0"/>
    <n v="0"/>
    <n v="0"/>
    <n v="0"/>
  </r>
  <r>
    <n v="13365"/>
    <n v="13366"/>
    <x v="0"/>
    <s v="NY-00130"/>
    <s v="HARRIMAN"/>
    <n v="10926"/>
    <s v="ORANGE"/>
    <s v="NY"/>
    <n v="22676"/>
    <n v="22676"/>
    <n v="0"/>
    <n v="0"/>
    <n v="0"/>
    <n v="0"/>
  </r>
  <r>
    <n v="13365"/>
    <n v="13366"/>
    <x v="0"/>
    <s v="NY-00130"/>
    <s v="HARRISON"/>
    <n v="10528"/>
    <s v="WESTCHESTER"/>
    <s v="NY"/>
    <n v="73162"/>
    <n v="60312"/>
    <n v="12850"/>
    <n v="0"/>
    <n v="0"/>
    <n v="0"/>
  </r>
  <r>
    <n v="13365"/>
    <n v="13366"/>
    <x v="0"/>
    <s v="NY-00130"/>
    <s v="HARTSDALE"/>
    <n v="10530"/>
    <s v="WESTCHESTER"/>
    <s v="NY"/>
    <n v="464298"/>
    <n v="417598"/>
    <n v="46700"/>
    <n v="225400"/>
    <n v="183300"/>
    <n v="42100"/>
  </r>
  <r>
    <n v="13365"/>
    <n v="13366"/>
    <x v="0"/>
    <s v="NY-00130"/>
    <s v="HASTINGS ON HUDSON"/>
    <n v="10706"/>
    <s v="WESTCHESTER"/>
    <s v="NY"/>
    <n v="246103"/>
    <n v="211501"/>
    <n v="34602"/>
    <n v="134000"/>
    <n v="113800"/>
    <n v="20200"/>
  </r>
  <r>
    <n v="13365"/>
    <n v="13366"/>
    <x v="0"/>
    <s v="NY-00130"/>
    <s v="HASTINGS-ON-HUDSON"/>
    <n v="10706"/>
    <s v="WESTCHESTER"/>
    <s v="NY"/>
    <n v="153308"/>
    <n v="141158"/>
    <n v="12150"/>
    <n v="800"/>
    <n v="0"/>
    <n v="800"/>
  </r>
  <r>
    <n v="13365"/>
    <n v="13366"/>
    <x v="0"/>
    <s v="NY-00130"/>
    <s v="HAUPPAUGE"/>
    <n v="11788"/>
    <s v="SUFFOLK"/>
    <s v="NY"/>
    <n v="519798"/>
    <n v="486498"/>
    <n v="33300"/>
    <n v="78600"/>
    <n v="75600"/>
    <n v="3000"/>
  </r>
  <r>
    <n v="13365"/>
    <n v="13366"/>
    <x v="0"/>
    <s v="NY-00130"/>
    <s v="HAVERSTRAW"/>
    <n v="10927"/>
    <s v="ROCKLAND"/>
    <s v="NY"/>
    <n v="143645"/>
    <n v="31270"/>
    <n v="112375"/>
    <n v="78400"/>
    <n v="30800"/>
    <n v="47600"/>
  </r>
  <r>
    <n v="13365"/>
    <n v="13366"/>
    <x v="0"/>
    <s v="NY-00130"/>
    <s v="HAWTHORNE"/>
    <n v="10532"/>
    <s v="WESTCHESTER"/>
    <s v="NY"/>
    <n v="20556"/>
    <n v="20556"/>
    <n v="0"/>
    <n v="14900"/>
    <n v="14900"/>
    <n v="0"/>
  </r>
  <r>
    <n v="13365"/>
    <n v="13366"/>
    <x v="0"/>
    <s v="NY-00130"/>
    <s v="HEMPSTEAD"/>
    <n v="11550"/>
    <s v="NASSAU"/>
    <s v="NY"/>
    <n v="1229944"/>
    <n v="1088234"/>
    <n v="141710"/>
    <n v="223800"/>
    <n v="187600"/>
    <n v="36200"/>
  </r>
  <r>
    <n v="13365"/>
    <n v="13366"/>
    <x v="0"/>
    <s v="NY-00130"/>
    <s v="HEWLETT"/>
    <n v="11557"/>
    <s v="NASSAU"/>
    <s v="NY"/>
    <n v="4188076"/>
    <n v="3452461"/>
    <n v="735615"/>
    <n v="1410100"/>
    <n v="1175800"/>
    <n v="234300"/>
  </r>
  <r>
    <n v="13365"/>
    <n v="13366"/>
    <x v="0"/>
    <s v="NY-00130"/>
    <s v="HEWLETT HARBOR"/>
    <n v="11557"/>
    <s v="NASSAU"/>
    <s v="NY"/>
    <n v="672941"/>
    <n v="564351"/>
    <n v="108590"/>
    <n v="175000"/>
    <n v="135000"/>
    <n v="40000"/>
  </r>
  <r>
    <n v="13365"/>
    <n v="13366"/>
    <x v="0"/>
    <s v="NY-00130"/>
    <s v="HICKSVILLE"/>
    <n v="11801"/>
    <s v="NASSAU"/>
    <s v="NY"/>
    <n v="897103"/>
    <n v="856773"/>
    <n v="40330"/>
    <n v="376800"/>
    <n v="344000"/>
    <n v="32800"/>
  </r>
  <r>
    <n v="13365"/>
    <n v="13366"/>
    <x v="0"/>
    <s v="NY-00130"/>
    <s v="HIGHLAND FALLS"/>
    <n v="10928"/>
    <s v="ORANGE"/>
    <s v="NY"/>
    <n v="13631"/>
    <n v="13631"/>
    <n v="0"/>
    <n v="0"/>
    <n v="0"/>
    <n v="0"/>
  </r>
  <r>
    <n v="13365"/>
    <n v="13366"/>
    <x v="0"/>
    <s v="NY-00130"/>
    <s v="HIGHLAND MILLS"/>
    <n v="10930"/>
    <s v="ORANGE"/>
    <s v="NY"/>
    <n v="32397"/>
    <n v="30097"/>
    <n v="2300"/>
    <n v="27100"/>
    <n v="26800"/>
    <n v="300"/>
  </r>
  <r>
    <n v="13365"/>
    <n v="13366"/>
    <x v="0"/>
    <s v="NY-00130"/>
    <s v="HOLBROOK"/>
    <n v="11741"/>
    <s v="SUFFOLK"/>
    <s v="NY"/>
    <n v="159572"/>
    <n v="158572"/>
    <n v="1000"/>
    <n v="66300"/>
    <n v="65300"/>
    <n v="1000"/>
  </r>
  <r>
    <n v="13365"/>
    <n v="13366"/>
    <x v="0"/>
    <s v="NY-00130"/>
    <s v="HOLLIS"/>
    <n v="11423"/>
    <s v="QUEENS"/>
    <s v="NY"/>
    <n v="347063"/>
    <n v="288411"/>
    <n v="58652"/>
    <n v="97900"/>
    <n v="74700"/>
    <n v="23200"/>
  </r>
  <r>
    <n v="13365"/>
    <n v="13366"/>
    <x v="0"/>
    <s v="NY-00130"/>
    <s v="HOLLIS HILLS"/>
    <n v="11427"/>
    <s v="QUEENS"/>
    <s v="NY"/>
    <n v="24255"/>
    <n v="24255"/>
    <n v="0"/>
    <n v="21200"/>
    <n v="21200"/>
    <n v="0"/>
  </r>
  <r>
    <n v="13365"/>
    <n v="13366"/>
    <x v="0"/>
    <s v="NY-00130"/>
    <s v="HOLTSVILLE"/>
    <n v="11742"/>
    <s v="SUFFOLK"/>
    <s v="NY"/>
    <n v="82815"/>
    <n v="73995"/>
    <n v="8820"/>
    <n v="49700"/>
    <n v="49700"/>
    <n v="0"/>
  </r>
  <r>
    <n v="13365"/>
    <n v="13366"/>
    <x v="0"/>
    <s v="NY-00130"/>
    <s v="HOWARD"/>
    <n v="11414"/>
    <s v="QUEENS"/>
    <s v="NY"/>
    <n v="139582"/>
    <n v="99282"/>
    <n v="40300"/>
    <n v="99000"/>
    <n v="66200"/>
    <n v="32800"/>
  </r>
  <r>
    <n v="13365"/>
    <n v="13366"/>
    <x v="0"/>
    <s v="NY-00130"/>
    <s v="HOWARD BCH"/>
    <n v="11414"/>
    <s v="QUEENS"/>
    <s v="NY"/>
    <n v="36425"/>
    <n v="0"/>
    <n v="36425"/>
    <n v="0"/>
    <n v="0"/>
    <n v="0"/>
  </r>
  <r>
    <n v="13365"/>
    <n v="13366"/>
    <x v="0"/>
    <s v="NY-00130"/>
    <s v="HOWARD BEACH"/>
    <n v="11411"/>
    <s v="QUEENS"/>
    <s v="NY"/>
    <n v="350758"/>
    <n v="231248"/>
    <n v="119510"/>
    <n v="0"/>
    <n v="0"/>
    <n v="0"/>
  </r>
  <r>
    <n v="13365"/>
    <n v="13366"/>
    <x v="0"/>
    <s v="NY-00130"/>
    <s v="HOWARD BEACH"/>
    <n v="11414"/>
    <s v="NASSAU"/>
    <s v="NY"/>
    <n v="40700"/>
    <n v="0"/>
    <n v="40700"/>
    <n v="40000"/>
    <n v="0"/>
    <n v="40000"/>
  </r>
  <r>
    <n v="13365"/>
    <n v="13366"/>
    <x v="0"/>
    <s v="NY-00130"/>
    <s v="HOWARD BEACH"/>
    <n v="11414"/>
    <s v="NEW YORK"/>
    <s v="NY"/>
    <n v="316247"/>
    <n v="160422"/>
    <n v="155825"/>
    <n v="25600"/>
    <n v="10000"/>
    <n v="15600"/>
  </r>
  <r>
    <n v="13365"/>
    <n v="13366"/>
    <x v="0"/>
    <s v="NY-00130"/>
    <s v="HOWARD BEACH"/>
    <n v="11414"/>
    <s v="QUEENS"/>
    <s v="NY"/>
    <n v="120235873"/>
    <n v="73528957"/>
    <n v="46706916"/>
    <n v="51514300"/>
    <n v="32336060.02"/>
    <n v="18978239.98"/>
  </r>
  <r>
    <n v="13365"/>
    <n v="13366"/>
    <x v="0"/>
    <s v="NY-00130"/>
    <s v="HOWARD BEACH"/>
    <n v="11415"/>
    <s v="QUEENS"/>
    <s v="NY"/>
    <n v="151400"/>
    <n v="121575"/>
    <n v="29825"/>
    <n v="0"/>
    <n v="0"/>
    <n v="0"/>
  </r>
  <r>
    <n v="13365"/>
    <n v="13366"/>
    <x v="0"/>
    <s v="NY-00130"/>
    <s v="HOWARD BEACH"/>
    <n v="11417"/>
    <s v="QUEENS"/>
    <s v="NY"/>
    <n v="51430"/>
    <n v="0"/>
    <n v="51430"/>
    <n v="40000"/>
    <n v="0"/>
    <n v="40000"/>
  </r>
  <r>
    <n v="13365"/>
    <n v="13366"/>
    <x v="0"/>
    <s v="NY-00130"/>
    <s v="HOWARD BEACH"/>
    <n v="11704"/>
    <s v="QUEENS"/>
    <s v="NY"/>
    <n v="26742"/>
    <n v="24742"/>
    <n v="2000"/>
    <n v="0"/>
    <n v="0"/>
    <n v="0"/>
  </r>
  <r>
    <n v="13365"/>
    <n v="13366"/>
    <x v="0"/>
    <s v="NY-00130"/>
    <s v="HOWARD EACH"/>
    <n v="11414"/>
    <s v="QUEENS"/>
    <s v="NY"/>
    <n v="98332"/>
    <n v="78132"/>
    <n v="20200"/>
    <n v="92900"/>
    <n v="73200"/>
    <n v="19700"/>
  </r>
  <r>
    <n v="13365"/>
    <n v="13366"/>
    <x v="0"/>
    <s v="NY-00130"/>
    <s v="HOWARDBEACH"/>
    <n v="11414"/>
    <s v="QUEENS"/>
    <s v="NY"/>
    <n v="7250"/>
    <n v="0"/>
    <n v="7250"/>
    <n v="0"/>
    <n v="0"/>
    <n v="0"/>
  </r>
  <r>
    <n v="13365"/>
    <n v="13366"/>
    <x v="0"/>
    <s v="NY-00130"/>
    <s v="HOWRAD BEACH"/>
    <n v="11414"/>
    <s v="QUEENS"/>
    <s v="NY"/>
    <n v="18800"/>
    <n v="0"/>
    <n v="18800"/>
    <n v="18800"/>
    <n v="0"/>
    <n v="18800"/>
  </r>
  <r>
    <n v="13365"/>
    <n v="13366"/>
    <x v="0"/>
    <s v="NY-00130"/>
    <s v="HUNTINGTON"/>
    <n v="11743"/>
    <s v="SUFFOLK"/>
    <s v="NY"/>
    <n v="1922989"/>
    <n v="1780027"/>
    <n v="142962"/>
    <n v="946000"/>
    <n v="833400"/>
    <n v="112600"/>
  </r>
  <r>
    <n v="13365"/>
    <n v="13366"/>
    <x v="0"/>
    <s v="NY-00130"/>
    <s v="HUNTINGTON"/>
    <n v="11746"/>
    <s v="SUFFOLK"/>
    <s v="NY"/>
    <n v="116105"/>
    <n v="94105"/>
    <n v="22000"/>
    <n v="52100"/>
    <n v="31200"/>
    <n v="20900"/>
  </r>
  <r>
    <n v="13365"/>
    <n v="13366"/>
    <x v="0"/>
    <s v="NY-00130"/>
    <s v="HUNTINGTON BAY"/>
    <n v="11743"/>
    <s v="SUFFOLK"/>
    <s v="NY"/>
    <n v="278445"/>
    <n v="248225"/>
    <n v="30220"/>
    <n v="123900"/>
    <n v="122800"/>
    <n v="1100"/>
  </r>
  <r>
    <n v="13365"/>
    <n v="13366"/>
    <x v="0"/>
    <s v="NY-00130"/>
    <s v="HUNTINGTON STATION"/>
    <n v="11746"/>
    <s v="SUFFOLK"/>
    <s v="NY"/>
    <n v="611045"/>
    <n v="523235"/>
    <n v="87810"/>
    <n v="124300"/>
    <n v="109100"/>
    <n v="15200"/>
  </r>
  <r>
    <n v="13365"/>
    <n v="13366"/>
    <x v="0"/>
    <s v="NY-00130"/>
    <s v="HUNTINGTON STATION NY 11746"/>
    <n v="11746"/>
    <s v="SUFFOLK"/>
    <s v="NY"/>
    <n v="250"/>
    <n v="0"/>
    <n v="250"/>
    <n v="0"/>
    <n v="0"/>
    <n v="0"/>
  </r>
  <r>
    <n v="13365"/>
    <n v="13366"/>
    <x v="0"/>
    <s v="NY-00130"/>
    <s v="HURLEYVILLE"/>
    <n v="12747"/>
    <s v="SULLIVAN"/>
    <s v="NY"/>
    <n v="38933"/>
    <n v="38933"/>
    <n v="0"/>
    <n v="0"/>
    <n v="0"/>
    <n v="0"/>
  </r>
  <r>
    <n v="13365"/>
    <n v="13366"/>
    <x v="0"/>
    <s v="NY-00130"/>
    <s v="INWOOD"/>
    <n v="11096"/>
    <s v="NASSAU"/>
    <s v="NY"/>
    <n v="7280629"/>
    <n v="4786389"/>
    <n v="2494240"/>
    <n v="3225200"/>
    <n v="1973000"/>
    <n v="1252200"/>
  </r>
  <r>
    <n v="13365"/>
    <n v="13366"/>
    <x v="0"/>
    <s v="NY-00130"/>
    <s v="INWOOD"/>
    <n v="11096"/>
    <s v="QUEENS"/>
    <s v="NY"/>
    <n v="20000"/>
    <n v="0"/>
    <n v="20000"/>
    <n v="20000"/>
    <n v="0"/>
    <n v="20000"/>
  </r>
  <r>
    <n v="13365"/>
    <n v="13366"/>
    <x v="0"/>
    <s v="NY-00130"/>
    <s v="ISLAN PARK"/>
    <n v="11558"/>
    <s v="NASSAU"/>
    <s v="NY"/>
    <n v="143946"/>
    <n v="83516"/>
    <n v="60430"/>
    <n v="0"/>
    <n v="0"/>
    <n v="0"/>
  </r>
  <r>
    <n v="13365"/>
    <n v="13366"/>
    <x v="0"/>
    <s v="NY-00130"/>
    <s v="ISLAND  PARK"/>
    <n v="11558"/>
    <s v="NASSAU"/>
    <s v="NY"/>
    <n v="61999"/>
    <n v="31874"/>
    <n v="30125"/>
    <n v="0"/>
    <n v="0"/>
    <n v="0"/>
  </r>
  <r>
    <n v="13365"/>
    <n v="13366"/>
    <x v="0"/>
    <s v="NY-00130"/>
    <s v="ISLAND PARK"/>
    <n v="8844"/>
    <s v="NASSAU"/>
    <s v="NY"/>
    <n v="162319"/>
    <n v="125419"/>
    <n v="36900"/>
    <n v="0"/>
    <n v="0"/>
    <n v="0"/>
  </r>
  <r>
    <n v="13365"/>
    <n v="13366"/>
    <x v="0"/>
    <s v="NY-00130"/>
    <s v="ISLAND PARK"/>
    <n v="11096"/>
    <s v="NASSAU"/>
    <s v="NY"/>
    <n v="13950"/>
    <n v="0"/>
    <n v="13950"/>
    <n v="14000"/>
    <n v="0"/>
    <n v="14000"/>
  </r>
  <r>
    <n v="13365"/>
    <n v="13366"/>
    <x v="0"/>
    <s v="NY-00130"/>
    <s v="ISLAND PARK"/>
    <n v="11510"/>
    <s v="NASSAU"/>
    <s v="NY"/>
    <n v="22200"/>
    <n v="0"/>
    <n v="22200"/>
    <n v="22200"/>
    <n v="0"/>
    <n v="22200"/>
  </r>
  <r>
    <n v="13365"/>
    <n v="13366"/>
    <x v="0"/>
    <s v="NY-00130"/>
    <s v="ISLAND PARK"/>
    <n v="11555"/>
    <s v="NASSAU"/>
    <s v="NY"/>
    <n v="121233"/>
    <n v="88938"/>
    <n v="32295"/>
    <n v="0"/>
    <n v="0"/>
    <n v="0"/>
  </r>
  <r>
    <n v="13365"/>
    <n v="13366"/>
    <x v="0"/>
    <s v="NY-00130"/>
    <s v="ISLAND PARK"/>
    <n v="11558"/>
    <s v="KINGS"/>
    <s v="NY"/>
    <n v="171323"/>
    <n v="124423"/>
    <n v="46900"/>
    <n v="0"/>
    <n v="0"/>
    <n v="0"/>
  </r>
  <r>
    <n v="13365"/>
    <n v="13366"/>
    <x v="0"/>
    <s v="NY-00130"/>
    <s v="ISLAND PARK"/>
    <n v="11558"/>
    <s v="NASSAU"/>
    <s v="NY"/>
    <n v="108251451"/>
    <n v="70250039"/>
    <n v="38001412"/>
    <n v="42397000"/>
    <n v="27502700"/>
    <n v="14777900"/>
  </r>
  <r>
    <n v="13365"/>
    <n v="13366"/>
    <x v="0"/>
    <s v="NY-00130"/>
    <s v="ISLAND PARK"/>
    <n v="11559"/>
    <s v="NASSAU"/>
    <s v="NY"/>
    <n v="6500"/>
    <n v="0"/>
    <n v="6500"/>
    <n v="6500"/>
    <n v="0"/>
    <n v="6500"/>
  </r>
  <r>
    <n v="13365"/>
    <n v="13366"/>
    <x v="0"/>
    <s v="NY-00130"/>
    <s v="ISLAND PARK"/>
    <n v="11561"/>
    <s v="NASSAU"/>
    <s v="NY"/>
    <n v="6300"/>
    <n v="0"/>
    <n v="6300"/>
    <n v="0"/>
    <n v="0"/>
    <n v="0"/>
  </r>
  <r>
    <n v="13365"/>
    <n v="13366"/>
    <x v="0"/>
    <s v="NY-00130"/>
    <s v="ISLAND PARK"/>
    <n v="11566"/>
    <s v="NASSAU"/>
    <s v="NY"/>
    <n v="15850"/>
    <n v="0"/>
    <n v="15850"/>
    <n v="0"/>
    <n v="0"/>
    <n v="0"/>
  </r>
  <r>
    <n v="13365"/>
    <n v="13366"/>
    <x v="0"/>
    <s v="NY-00130"/>
    <s v="ISLAND PARK"/>
    <n v="11572"/>
    <s v="NASSAU"/>
    <s v="NY"/>
    <n v="23900"/>
    <n v="0"/>
    <n v="23900"/>
    <n v="23900"/>
    <n v="0"/>
    <n v="23900"/>
  </r>
  <r>
    <n v="13365"/>
    <n v="13366"/>
    <x v="0"/>
    <s v="NY-00130"/>
    <s v="ISLAND PARK"/>
    <n v="11751"/>
    <s v="NASSAU"/>
    <s v="NY"/>
    <n v="24275"/>
    <n v="0"/>
    <n v="24275"/>
    <n v="24300"/>
    <n v="0"/>
    <n v="24300"/>
  </r>
  <r>
    <n v="13365"/>
    <n v="13366"/>
    <x v="0"/>
    <s v="NY-00130"/>
    <s v="ISLAND PARK,"/>
    <n v="11558"/>
    <s v="NASSAU"/>
    <s v="NY"/>
    <n v="192598"/>
    <n v="102548"/>
    <n v="90050"/>
    <n v="0"/>
    <n v="0"/>
    <n v="0"/>
  </r>
  <r>
    <n v="13365"/>
    <n v="13366"/>
    <x v="0"/>
    <s v="NY-00130"/>
    <s v="ISLAND PARKL"/>
    <n v="11558"/>
    <s v="NASSAU"/>
    <s v="NY"/>
    <n v="93528"/>
    <n v="75108"/>
    <n v="18420"/>
    <n v="0"/>
    <n v="0"/>
    <n v="0"/>
  </r>
  <r>
    <n v="13365"/>
    <n v="13366"/>
    <x v="0"/>
    <s v="NY-00130"/>
    <s v="ISLAND PART"/>
    <n v="11558"/>
    <s v="NASSAU"/>
    <s v="NY"/>
    <n v="54900"/>
    <n v="0"/>
    <n v="54900"/>
    <n v="0"/>
    <n v="0"/>
    <n v="0"/>
  </r>
  <r>
    <n v="13365"/>
    <n v="13366"/>
    <x v="0"/>
    <s v="NY-00130"/>
    <s v="ISLANLD PARK"/>
    <n v="11558"/>
    <s v="NASSAU"/>
    <s v="NY"/>
    <n v="185178"/>
    <n v="99603"/>
    <n v="85575"/>
    <n v="0"/>
    <n v="0"/>
    <n v="0"/>
  </r>
  <r>
    <n v="13365"/>
    <n v="13366"/>
    <x v="0"/>
    <s v="NY-00130"/>
    <s v="ISLIP"/>
    <n v="11751"/>
    <s v="SUFFOLK"/>
    <s v="NY"/>
    <n v="3562249"/>
    <n v="2775287"/>
    <n v="786962"/>
    <n v="1883900"/>
    <n v="1448600"/>
    <n v="435300"/>
  </r>
  <r>
    <n v="13365"/>
    <n v="13366"/>
    <x v="0"/>
    <s v="NY-00130"/>
    <s v="ISLIP"/>
    <n v="11751"/>
    <s v="SULLIVAN"/>
    <s v="NY"/>
    <n v="73097"/>
    <n v="57162"/>
    <n v="15935"/>
    <n v="23200"/>
    <n v="21300"/>
    <n v="1900"/>
  </r>
  <r>
    <n v="13365"/>
    <n v="13366"/>
    <x v="0"/>
    <s v="NY-00130"/>
    <s v="ISLIP TERRACE"/>
    <n v="11752"/>
    <s v="SUFFOLK"/>
    <s v="NY"/>
    <n v="120109"/>
    <n v="105109"/>
    <n v="15000"/>
    <n v="60900"/>
    <n v="60900"/>
    <n v="0"/>
  </r>
  <r>
    <n v="13365"/>
    <n v="13366"/>
    <x v="0"/>
    <s v="NY-00130"/>
    <s v="JACKSON HEIGHTS"/>
    <n v="11370"/>
    <s v="QUEENS"/>
    <s v="NY"/>
    <n v="3250"/>
    <n v="0"/>
    <n v="3250"/>
    <n v="0"/>
    <n v="0"/>
    <n v="0"/>
  </r>
  <r>
    <n v="13365"/>
    <n v="13366"/>
    <x v="0"/>
    <s v="NY-00130"/>
    <s v="JACKSON HEIGHTS"/>
    <n v="11372"/>
    <s v="QUEENS"/>
    <s v="NY"/>
    <n v="12100"/>
    <n v="0"/>
    <n v="12100"/>
    <n v="12100"/>
    <n v="0"/>
    <n v="12100"/>
  </r>
  <r>
    <n v="13365"/>
    <n v="13366"/>
    <x v="0"/>
    <s v="NY-00130"/>
    <s v="JAMAICA"/>
    <n v="11413"/>
    <s v="QUEENS"/>
    <s v="NY"/>
    <n v="45814"/>
    <n v="39414"/>
    <n v="6400"/>
    <n v="38400"/>
    <n v="32000"/>
    <n v="6400"/>
  </r>
  <r>
    <n v="13365"/>
    <n v="13366"/>
    <x v="0"/>
    <s v="NY-00130"/>
    <s v="JAMAICA"/>
    <n v="11414"/>
    <s v="QUEENS"/>
    <s v="NY"/>
    <n v="543774"/>
    <n v="322904"/>
    <n v="220870"/>
    <n v="318400"/>
    <n v="178400"/>
    <n v="140000"/>
  </r>
  <r>
    <n v="13365"/>
    <n v="13366"/>
    <x v="0"/>
    <s v="NY-00130"/>
    <s v="JAMAICA"/>
    <n v="11422"/>
    <s v="QUEENS"/>
    <s v="NY"/>
    <n v="160143"/>
    <n v="98898"/>
    <n v="61245"/>
    <n v="97500"/>
    <n v="65300"/>
    <n v="32200"/>
  </r>
  <r>
    <n v="13365"/>
    <n v="13366"/>
    <x v="0"/>
    <s v="NY-00130"/>
    <s v="JAMAICA"/>
    <n v="11429"/>
    <s v="QUEENS"/>
    <s v="NY"/>
    <n v="14150"/>
    <n v="13850"/>
    <n v="300"/>
    <n v="0"/>
    <n v="0"/>
    <n v="0"/>
  </r>
  <r>
    <n v="13365"/>
    <n v="13366"/>
    <x v="0"/>
    <s v="NY-00130"/>
    <s v="JAMAICA"/>
    <n v="11432"/>
    <s v="QUEENS"/>
    <s v="NY"/>
    <n v="373601"/>
    <n v="333814"/>
    <n v="39787"/>
    <n v="142500"/>
    <n v="130100"/>
    <n v="12400"/>
  </r>
  <r>
    <n v="13365"/>
    <n v="13366"/>
    <x v="0"/>
    <s v="NY-00130"/>
    <s v="JAMAICA"/>
    <n v="11433"/>
    <s v="QUEENS"/>
    <s v="NY"/>
    <n v="170385"/>
    <n v="133904"/>
    <n v="36481"/>
    <n v="67200"/>
    <n v="40300"/>
    <n v="26900"/>
  </r>
  <r>
    <n v="13365"/>
    <n v="13366"/>
    <x v="0"/>
    <s v="NY-00130"/>
    <s v="JAMAICA"/>
    <n v="11434"/>
    <s v="QUEENS"/>
    <s v="NY"/>
    <n v="411633"/>
    <n v="324488"/>
    <n v="87145"/>
    <n v="120800"/>
    <n v="111000"/>
    <n v="9800"/>
  </r>
  <r>
    <n v="13365"/>
    <n v="13366"/>
    <x v="0"/>
    <s v="NY-00130"/>
    <s v="JAMAICA"/>
    <n v="11435"/>
    <s v="QUEENS"/>
    <s v="NY"/>
    <n v="248954"/>
    <n v="221229"/>
    <n v="27725"/>
    <n v="8600"/>
    <n v="8600"/>
    <n v="0"/>
  </r>
  <r>
    <n v="13365"/>
    <n v="13366"/>
    <x v="0"/>
    <s v="NY-00130"/>
    <s v="JAMAICA"/>
    <n v="11436"/>
    <s v="QUEENS"/>
    <s v="NY"/>
    <n v="275134"/>
    <n v="218254"/>
    <n v="56880"/>
    <n v="87100"/>
    <n v="46400"/>
    <n v="40700"/>
  </r>
  <r>
    <n v="13365"/>
    <n v="13366"/>
    <x v="0"/>
    <s v="NY-00130"/>
    <s v="JAMESPORT"/>
    <n v="11947"/>
    <s v="SUFFOLK"/>
    <s v="NY"/>
    <n v="167269"/>
    <n v="140506"/>
    <n v="26763"/>
    <n v="117100"/>
    <n v="94800"/>
    <n v="22300"/>
  </r>
  <r>
    <n v="13365"/>
    <n v="13366"/>
    <x v="0"/>
    <s v="NY-00130"/>
    <s v="JEFFERSONVILLE"/>
    <n v="12748"/>
    <s v="SULLIVAN"/>
    <s v="NY"/>
    <n v="71584"/>
    <n v="70359"/>
    <n v="1225"/>
    <n v="31800"/>
    <n v="31500"/>
    <n v="300"/>
  </r>
  <r>
    <n v="13365"/>
    <n v="13366"/>
    <x v="0"/>
    <s v="NY-00130"/>
    <s v="JERICHO"/>
    <n v="11753"/>
    <s v="NASSAU"/>
    <s v="NY"/>
    <n v="101648"/>
    <n v="95448"/>
    <n v="6200"/>
    <n v="44200"/>
    <n v="43900"/>
    <n v="300"/>
  </r>
  <r>
    <n v="13365"/>
    <n v="13366"/>
    <x v="0"/>
    <s v="NY-00130"/>
    <s v="JERICHO"/>
    <n v="11753"/>
    <s v="NEW YORK"/>
    <s v="NY"/>
    <n v="7390"/>
    <n v="3190"/>
    <n v="4200"/>
    <n v="0"/>
    <n v="0"/>
    <n v="0"/>
  </r>
  <r>
    <n v="13365"/>
    <n v="13366"/>
    <x v="0"/>
    <s v="NY-00130"/>
    <s v="KEW GARDENS"/>
    <n v="11415"/>
    <s v="QUEENS"/>
    <s v="NY"/>
    <n v="1640"/>
    <n v="0"/>
    <n v="1640"/>
    <n v="1200"/>
    <n v="0"/>
    <n v="1200"/>
  </r>
  <r>
    <n v="13365"/>
    <n v="13366"/>
    <x v="0"/>
    <s v="NY-00130"/>
    <s v="KINGS PARK"/>
    <n v="11754"/>
    <s v="SUFFOLK"/>
    <s v="NY"/>
    <n v="86487"/>
    <n v="77537"/>
    <n v="8950"/>
    <n v="8800"/>
    <n v="7400"/>
    <n v="1400"/>
  </r>
  <r>
    <n v="13365"/>
    <n v="13366"/>
    <x v="0"/>
    <s v="NY-00130"/>
    <s v="KINGSTON"/>
    <n v="12401"/>
    <s v="ULSTER"/>
    <s v="NY"/>
    <n v="275362"/>
    <n v="239212"/>
    <n v="36150"/>
    <n v="48400"/>
    <n v="41900"/>
    <n v="6500"/>
  </r>
  <r>
    <n v="13365"/>
    <n v="13366"/>
    <x v="0"/>
    <s v="NY-00130"/>
    <s v="KISMET"/>
    <n v="11706"/>
    <s v="SUFFOLK"/>
    <s v="NY"/>
    <n v="589326"/>
    <n v="437931"/>
    <n v="151395"/>
    <n v="40500"/>
    <n v="27100"/>
    <n v="13400"/>
  </r>
  <r>
    <n v="13365"/>
    <n v="13366"/>
    <x v="0"/>
    <s v="NY-00130"/>
    <s v="KISMET"/>
    <n v="11770"/>
    <s v="SUFFOLK"/>
    <s v="NY"/>
    <n v="41075"/>
    <n v="32575"/>
    <n v="8500"/>
    <n v="0"/>
    <n v="0"/>
    <n v="0"/>
  </r>
  <r>
    <n v="13365"/>
    <n v="13366"/>
    <x v="0"/>
    <s v="NY-00130"/>
    <s v="KISMET FIRE ISLAND"/>
    <n v="11706"/>
    <s v="SUFFOLK"/>
    <s v="NY"/>
    <n v="33943"/>
    <n v="30943"/>
    <n v="3000"/>
    <n v="16100"/>
    <n v="16100"/>
    <n v="0"/>
  </r>
  <r>
    <n v="13365"/>
    <n v="13366"/>
    <x v="0"/>
    <s v="NY-00130"/>
    <s v="LAKE GROVE"/>
    <n v="11755"/>
    <s v="SUFFOLK"/>
    <s v="NY"/>
    <n v="39910"/>
    <n v="39410"/>
    <n v="500"/>
    <n v="0"/>
    <n v="0"/>
    <n v="0"/>
  </r>
  <r>
    <n v="13365"/>
    <n v="13366"/>
    <x v="0"/>
    <s v="NY-00130"/>
    <s v="LAKE PEEKSKILL"/>
    <n v="10537"/>
    <s v="PUTNAM"/>
    <s v="NY"/>
    <n v="54375"/>
    <n v="43925"/>
    <n v="10450"/>
    <n v="29000"/>
    <n v="22000"/>
    <n v="7000"/>
  </r>
  <r>
    <n v="13365"/>
    <n v="13366"/>
    <x v="0"/>
    <s v="NY-00130"/>
    <s v="LAKE RONKONKOMA"/>
    <n v="11779"/>
    <s v="SUFFOLK"/>
    <s v="NY"/>
    <n v="81202"/>
    <n v="73152"/>
    <n v="8050"/>
    <n v="27400"/>
    <n v="27400"/>
    <n v="0"/>
  </r>
  <r>
    <n v="13365"/>
    <n v="13366"/>
    <x v="0"/>
    <s v="NY-00130"/>
    <s v="LARCHMONT"/>
    <n v="10538"/>
    <s v="WESTCHESTER"/>
    <s v="NY"/>
    <n v="854112"/>
    <n v="756742"/>
    <n v="97370"/>
    <n v="245900"/>
    <n v="189600"/>
    <n v="56300"/>
  </r>
  <r>
    <n v="13365"/>
    <n v="13366"/>
    <x v="0"/>
    <s v="NY-00130"/>
    <s v="LAURANCE"/>
    <n v="11559"/>
    <s v="NASSAU"/>
    <s v="NY"/>
    <n v="230063"/>
    <n v="187963"/>
    <n v="42100"/>
    <n v="0"/>
    <n v="0"/>
    <n v="0"/>
  </r>
  <r>
    <n v="13365"/>
    <n v="13366"/>
    <x v="0"/>
    <s v="NY-00130"/>
    <s v="LAUREL"/>
    <n v="11948"/>
    <s v="SUFFOLK"/>
    <s v="NY"/>
    <n v="644919"/>
    <n v="631644"/>
    <n v="13275"/>
    <n v="549300"/>
    <n v="541200"/>
    <n v="8100"/>
  </r>
  <r>
    <n v="13365"/>
    <n v="13366"/>
    <x v="0"/>
    <s v="NY-00130"/>
    <s v="LAURELTON"/>
    <n v="11413"/>
    <s v="QUEENS"/>
    <s v="NY"/>
    <n v="280179"/>
    <n v="221824"/>
    <n v="58355"/>
    <n v="144600"/>
    <n v="101200"/>
    <n v="43400"/>
  </r>
  <r>
    <n v="13365"/>
    <n v="13366"/>
    <x v="0"/>
    <s v="NY-00130"/>
    <s v="LAWRENC"/>
    <n v="11559"/>
    <s v="NASSAU"/>
    <s v="NY"/>
    <n v="260843"/>
    <n v="224583"/>
    <n v="36260"/>
    <n v="0"/>
    <n v="0"/>
    <n v="0"/>
  </r>
  <r>
    <n v="13365"/>
    <n v="13366"/>
    <x v="0"/>
    <s v="NY-00130"/>
    <s v="LAWRENCE"/>
    <n v="11559"/>
    <s v="NASSAU"/>
    <s v="NY"/>
    <n v="17781910"/>
    <n v="12276921"/>
    <n v="5504989"/>
    <n v="6797600"/>
    <n v="4844800"/>
    <n v="1952800"/>
  </r>
  <r>
    <n v="13365"/>
    <n v="13366"/>
    <x v="0"/>
    <s v="NY-00130"/>
    <s v="LAWRENCE"/>
    <n v="11559"/>
    <s v="QUEENS"/>
    <s v="NY"/>
    <n v="7175"/>
    <n v="0"/>
    <n v="7175"/>
    <n v="7200"/>
    <n v="0"/>
    <n v="7200"/>
  </r>
  <r>
    <n v="13365"/>
    <n v="13366"/>
    <x v="0"/>
    <s v="NY-00130"/>
    <s v="LAWRENCE"/>
    <n v="11563"/>
    <s v="NASSAU"/>
    <s v="NY"/>
    <n v="143588"/>
    <n v="116748"/>
    <n v="26840"/>
    <n v="125100"/>
    <n v="101300"/>
    <n v="23800"/>
  </r>
  <r>
    <n v="13365"/>
    <n v="13366"/>
    <x v="0"/>
    <s v="NY-00130"/>
    <s v="LEVITTOWN"/>
    <n v="11756"/>
    <s v="NASSAU"/>
    <s v="NY"/>
    <n v="549964"/>
    <n v="480569"/>
    <n v="69395"/>
    <n v="176000"/>
    <n v="162800"/>
    <n v="13200"/>
  </r>
  <r>
    <n v="13365"/>
    <n v="13366"/>
    <x v="0"/>
    <s v="NY-00130"/>
    <s v="LIBERTY"/>
    <n v="12754"/>
    <s v="SULLIVAN"/>
    <s v="NY"/>
    <n v="18654"/>
    <n v="18654"/>
    <n v="0"/>
    <n v="0"/>
    <n v="0"/>
    <n v="0"/>
  </r>
  <r>
    <n v="13365"/>
    <n v="13366"/>
    <x v="0"/>
    <s v="NY-00130"/>
    <s v="LIDENHURST"/>
    <n v="11757"/>
    <s v="SUFFOLK"/>
    <s v="NY"/>
    <n v="142171"/>
    <n v="122771"/>
    <n v="19400"/>
    <n v="0"/>
    <n v="0"/>
    <n v="0"/>
  </r>
  <r>
    <n v="13365"/>
    <n v="13366"/>
    <x v="0"/>
    <s v="NY-00130"/>
    <s v="LIDO  BEACH"/>
    <n v="11561"/>
    <s v="NASSAU"/>
    <s v="NY"/>
    <n v="206955"/>
    <n v="99460"/>
    <n v="107495"/>
    <n v="107200"/>
    <n v="81800"/>
    <n v="25400"/>
  </r>
  <r>
    <n v="13365"/>
    <n v="13366"/>
    <x v="0"/>
    <s v="NY-00130"/>
    <s v="LIDO BEACH"/>
    <n v="11516"/>
    <s v="NASSAU"/>
    <s v="NY"/>
    <n v="107655"/>
    <n v="73075"/>
    <n v="34580"/>
    <n v="0"/>
    <n v="0"/>
    <n v="0"/>
  </r>
  <r>
    <n v="13365"/>
    <n v="13366"/>
    <x v="0"/>
    <s v="NY-00130"/>
    <s v="LIDO BEACH"/>
    <n v="11561"/>
    <s v="NASSAU"/>
    <s v="NY"/>
    <n v="20249822"/>
    <n v="13974591"/>
    <n v="6275231"/>
    <n v="6716400"/>
    <n v="4794500"/>
    <n v="1921900"/>
  </r>
  <r>
    <n v="13365"/>
    <n v="13366"/>
    <x v="0"/>
    <s v="NY-00130"/>
    <s v="LIDOBEACH"/>
    <n v="11501"/>
    <s v="NASSAU"/>
    <s v="NY"/>
    <n v="49089"/>
    <n v="45414"/>
    <n v="3675"/>
    <n v="0"/>
    <n v="0"/>
    <n v="0"/>
  </r>
  <r>
    <n v="13365"/>
    <n v="13366"/>
    <x v="0"/>
    <s v="NY-00130"/>
    <s v="LILDO BEACH"/>
    <n v="11561"/>
    <s v="NASSAU"/>
    <s v="NY"/>
    <n v="38688"/>
    <n v="38688"/>
    <n v="0"/>
    <n v="38700"/>
    <n v="38700"/>
    <n v="0"/>
  </r>
  <r>
    <n v="13365"/>
    <n v="13366"/>
    <x v="0"/>
    <s v="NY-00130"/>
    <s v="LINDEHURST"/>
    <n v="11757"/>
    <s v="SUFFOLK"/>
    <s v="NY"/>
    <n v="153322"/>
    <n v="113997"/>
    <n v="39325"/>
    <n v="0"/>
    <n v="0"/>
    <n v="0"/>
  </r>
  <r>
    <n v="13365"/>
    <n v="13366"/>
    <x v="0"/>
    <s v="NY-00130"/>
    <s v="LINDENHURAT"/>
    <n v="11757"/>
    <s v="SUFFOLK"/>
    <s v="NY"/>
    <n v="37515"/>
    <n v="0"/>
    <n v="37515"/>
    <n v="0"/>
    <n v="0"/>
    <n v="0"/>
  </r>
  <r>
    <n v="13365"/>
    <n v="13366"/>
    <x v="0"/>
    <s v="NY-00130"/>
    <s v="LINDENHURST"/>
    <n v="11575"/>
    <s v="SUFFOLK"/>
    <s v="NY"/>
    <n v="419099"/>
    <n v="339649"/>
    <n v="79450"/>
    <n v="0"/>
    <n v="0"/>
    <n v="0"/>
  </r>
  <r>
    <n v="13365"/>
    <n v="13366"/>
    <x v="0"/>
    <s v="NY-00130"/>
    <s v="LINDENHURST"/>
    <n v="11735"/>
    <s v="SUFFOLK"/>
    <s v="NY"/>
    <n v="75483"/>
    <n v="75483"/>
    <n v="0"/>
    <n v="0"/>
    <n v="0"/>
    <n v="0"/>
  </r>
  <r>
    <n v="13365"/>
    <n v="13366"/>
    <x v="0"/>
    <s v="NY-00130"/>
    <s v="LINDENHURST"/>
    <n v="11740"/>
    <s v="SUFFOLK"/>
    <s v="NY"/>
    <n v="8125"/>
    <n v="0"/>
    <n v="8125"/>
    <n v="8200"/>
    <n v="0"/>
    <n v="8200"/>
  </r>
  <r>
    <n v="13365"/>
    <n v="13366"/>
    <x v="0"/>
    <s v="NY-00130"/>
    <s v="LINDENHURST"/>
    <n v="11756"/>
    <s v="SUFFOLK"/>
    <s v="NY"/>
    <n v="101600"/>
    <n v="83650"/>
    <n v="17950"/>
    <n v="18000"/>
    <n v="0"/>
    <n v="18000"/>
  </r>
  <r>
    <n v="13365"/>
    <n v="13366"/>
    <x v="0"/>
    <s v="NY-00130"/>
    <s v="LINDENHURST"/>
    <n v="11757"/>
    <s v="NASSAU"/>
    <s v="NY"/>
    <n v="80028"/>
    <n v="63568"/>
    <n v="16460"/>
    <n v="61000"/>
    <n v="44500"/>
    <n v="16500"/>
  </r>
  <r>
    <n v="13365"/>
    <n v="13366"/>
    <x v="0"/>
    <s v="NY-00130"/>
    <s v="LINDENHURST"/>
    <n v="11757"/>
    <s v="SUFFOLK"/>
    <s v="NY"/>
    <n v="102648540"/>
    <n v="74139891"/>
    <n v="28508649"/>
    <n v="45810100"/>
    <n v="31141775"/>
    <n v="14654925"/>
  </r>
  <r>
    <n v="13365"/>
    <n v="13366"/>
    <x v="0"/>
    <s v="NY-00130"/>
    <s v="LINDENHUST"/>
    <n v="11757"/>
    <s v="SUFFOLK"/>
    <s v="NY"/>
    <n v="184672"/>
    <n v="149242"/>
    <n v="35430"/>
    <n v="0"/>
    <n v="0"/>
    <n v="0"/>
  </r>
  <r>
    <n v="13365"/>
    <n v="13366"/>
    <x v="0"/>
    <s v="NY-00130"/>
    <s v="LINDHENHURST"/>
    <n v="11757"/>
    <s v="SUFFOLK"/>
    <s v="NY"/>
    <n v="10500"/>
    <n v="0"/>
    <n v="10500"/>
    <n v="10500"/>
    <n v="0"/>
    <n v="10500"/>
  </r>
  <r>
    <n v="13365"/>
    <n v="13366"/>
    <x v="0"/>
    <s v="NY-00130"/>
    <s v="LINDNEHURST"/>
    <n v="11757"/>
    <s v="SUFFOLK"/>
    <s v="NY"/>
    <n v="160747"/>
    <n v="104797"/>
    <n v="55950"/>
    <n v="0"/>
    <n v="0"/>
    <n v="0"/>
  </r>
  <r>
    <n v="13365"/>
    <n v="13366"/>
    <x v="0"/>
    <s v="NY-00130"/>
    <s v="LINDUNHURST"/>
    <n v="11757"/>
    <s v="SUFFOLK"/>
    <s v="NY"/>
    <n v="39314"/>
    <n v="26464"/>
    <n v="12850"/>
    <n v="22700"/>
    <n v="11500"/>
    <n v="11200"/>
  </r>
  <r>
    <n v="13365"/>
    <n v="13366"/>
    <x v="0"/>
    <s v="NY-00130"/>
    <s v="LINENHURST"/>
    <n v="11757"/>
    <s v="SUFFOLK"/>
    <s v="NY"/>
    <n v="157749"/>
    <n v="119129"/>
    <n v="38620"/>
    <n v="73900"/>
    <n v="36300"/>
    <n v="37600"/>
  </r>
  <r>
    <n v="13365"/>
    <n v="13366"/>
    <x v="0"/>
    <s v="NY-00130"/>
    <s v="LITTLE NECK"/>
    <n v="11362"/>
    <s v="QUEENS"/>
    <s v="NY"/>
    <n v="114546"/>
    <n v="103866"/>
    <n v="10680"/>
    <n v="69000"/>
    <n v="58300"/>
    <n v="10700"/>
  </r>
  <r>
    <n v="13365"/>
    <n v="13366"/>
    <x v="0"/>
    <s v="NY-00130"/>
    <s v="LITTLE NECK"/>
    <n v="11363"/>
    <s v="QUEENS"/>
    <s v="NY"/>
    <n v="122049"/>
    <n v="39324"/>
    <n v="82725"/>
    <n v="49100"/>
    <n v="13800"/>
    <n v="35300"/>
  </r>
  <r>
    <n v="13365"/>
    <n v="13366"/>
    <x v="0"/>
    <s v="NY-00130"/>
    <s v="LIVINGSTON MANOR"/>
    <n v="12758"/>
    <s v="SULLIVAN"/>
    <s v="NY"/>
    <n v="72493"/>
    <n v="71343"/>
    <n v="1150"/>
    <n v="68600"/>
    <n v="67900"/>
    <n v="700"/>
  </r>
  <r>
    <n v="13365"/>
    <n v="13366"/>
    <x v="0"/>
    <s v="NY-00130"/>
    <s v="LLOYD HARBOR"/>
    <n v="11743"/>
    <s v="SUFFOLK"/>
    <s v="NY"/>
    <n v="190970"/>
    <n v="171970"/>
    <n v="19000"/>
    <n v="60400"/>
    <n v="60400"/>
    <n v="0"/>
  </r>
  <r>
    <n v="13365"/>
    <n v="13366"/>
    <x v="0"/>
    <s v="NY-00130"/>
    <s v="LOCUST VALLEY"/>
    <n v="11560"/>
    <s v="NASSAU"/>
    <s v="NY"/>
    <n v="375152"/>
    <n v="344042"/>
    <n v="31110"/>
    <n v="123900"/>
    <n v="121500"/>
    <n v="2400"/>
  </r>
  <r>
    <n v="13365"/>
    <n v="13366"/>
    <x v="0"/>
    <s v="NY-00130"/>
    <s v="LOGNBEACH"/>
    <n v="11561"/>
    <s v="NASSAU"/>
    <s v="NY"/>
    <n v="5875"/>
    <n v="0"/>
    <n v="5875"/>
    <n v="0"/>
    <n v="0"/>
    <n v="0"/>
  </r>
  <r>
    <n v="13365"/>
    <n v="13366"/>
    <x v="0"/>
    <s v="NY-00130"/>
    <s v="LONB BEACH"/>
    <n v="11561"/>
    <s v="NASSAU"/>
    <s v="NY"/>
    <n v="55176"/>
    <n v="10676"/>
    <n v="44500"/>
    <n v="31700"/>
    <n v="10700"/>
    <n v="21000"/>
  </r>
  <r>
    <n v="13365"/>
    <n v="13366"/>
    <x v="0"/>
    <s v="NY-00130"/>
    <s v="LONELYVILLE FIRE ISLAND"/>
    <n v="11770"/>
    <s v="SUFFOLK"/>
    <s v="NY"/>
    <n v="114588"/>
    <n v="95488"/>
    <n v="19100"/>
    <n v="114600"/>
    <n v="95500"/>
    <n v="19100"/>
  </r>
  <r>
    <n v="13365"/>
    <n v="13366"/>
    <x v="0"/>
    <s v="NY-00130"/>
    <s v="LONG  BEACH"/>
    <n v="11561"/>
    <s v="NASSAU"/>
    <s v="NY"/>
    <n v="202914"/>
    <n v="129917"/>
    <n v="72997"/>
    <n v="72400"/>
    <n v="49000"/>
    <n v="23400"/>
  </r>
  <r>
    <n v="13365"/>
    <n v="13366"/>
    <x v="0"/>
    <s v="NY-00130"/>
    <s v="LONG BAECH"/>
    <n v="11561"/>
    <s v="NASSAU"/>
    <s v="NY"/>
    <n v="81085"/>
    <n v="74535"/>
    <n v="6550"/>
    <n v="81100"/>
    <n v="74600"/>
    <n v="6500"/>
  </r>
  <r>
    <n v="13365"/>
    <n v="13366"/>
    <x v="0"/>
    <s v="NY-00130"/>
    <s v="LONG BEACH"/>
    <n v="11516"/>
    <s v="NASSAU"/>
    <s v="NY"/>
    <n v="125265"/>
    <n v="41325"/>
    <n v="83940"/>
    <n v="75800"/>
    <n v="40200"/>
    <n v="35600"/>
  </r>
  <r>
    <n v="13365"/>
    <n v="13366"/>
    <x v="0"/>
    <s v="NY-00130"/>
    <s v="LONG BEACH"/>
    <n v="11530"/>
    <s v="NASSAU"/>
    <s v="NY"/>
    <n v="82183"/>
    <n v="51983"/>
    <n v="30200"/>
    <n v="0"/>
    <n v="0"/>
    <n v="0"/>
  </r>
  <r>
    <n v="13365"/>
    <n v="13366"/>
    <x v="0"/>
    <s v="NY-00130"/>
    <s v="LONG BEACH"/>
    <n v="11560"/>
    <s v="NASSAU"/>
    <s v="NY"/>
    <n v="3275"/>
    <n v="0"/>
    <n v="3275"/>
    <n v="0"/>
    <n v="0"/>
    <n v="0"/>
  </r>
  <r>
    <n v="13365"/>
    <n v="13366"/>
    <x v="0"/>
    <s v="NY-00130"/>
    <s v="LONG BEACH"/>
    <n v="11561"/>
    <s v="NASSAU"/>
    <s v="NY"/>
    <n v="238283285"/>
    <n v="148198737"/>
    <n v="90084548"/>
    <n v="103284700"/>
    <n v="63695950"/>
    <n v="39588750"/>
  </r>
  <r>
    <n v="13365"/>
    <n v="13366"/>
    <x v="0"/>
    <s v="NY-00130"/>
    <s v="LONG BEACH"/>
    <n v="11561"/>
    <s v="NEW YORK"/>
    <s v="NY"/>
    <n v="955860"/>
    <n v="461655"/>
    <n v="494205"/>
    <n v="165300"/>
    <n v="36300"/>
    <n v="129000"/>
  </r>
  <r>
    <n v="13365"/>
    <n v="13366"/>
    <x v="0"/>
    <s v="NY-00130"/>
    <s v="LONG BEACH"/>
    <n v="11561"/>
    <s v="SUFFOLK"/>
    <s v="NY"/>
    <n v="70591"/>
    <n v="44191"/>
    <n v="26400"/>
    <n v="0"/>
    <n v="0"/>
    <n v="0"/>
  </r>
  <r>
    <n v="13365"/>
    <n v="13366"/>
    <x v="0"/>
    <s v="NY-00130"/>
    <s v="LONG BEACH"/>
    <n v="11566"/>
    <s v="NASSAU"/>
    <s v="NY"/>
    <n v="98624"/>
    <n v="70161"/>
    <n v="28463"/>
    <n v="0"/>
    <n v="0"/>
    <n v="0"/>
  </r>
  <r>
    <n v="13365"/>
    <n v="13366"/>
    <x v="0"/>
    <s v="NY-00130"/>
    <s v="LONG BEACH"/>
    <n v="11572"/>
    <s v="NASSAU"/>
    <s v="NY"/>
    <n v="35900"/>
    <n v="0"/>
    <n v="35900"/>
    <n v="0"/>
    <n v="0"/>
    <n v="0"/>
  </r>
  <r>
    <n v="13365"/>
    <n v="13366"/>
    <x v="0"/>
    <s v="NY-00130"/>
    <s v="LONG BEACH"/>
    <n v="11681"/>
    <s v="NASSAU"/>
    <s v="NY"/>
    <n v="136219"/>
    <n v="76869"/>
    <n v="59350"/>
    <n v="0"/>
    <n v="0"/>
    <n v="0"/>
  </r>
  <r>
    <n v="13365"/>
    <n v="13366"/>
    <x v="0"/>
    <s v="NY-00130"/>
    <s v="LONG BEACH"/>
    <n v="11797"/>
    <s v="NASSAU"/>
    <s v="NY"/>
    <n v="15900"/>
    <n v="0"/>
    <n v="15900"/>
    <n v="0"/>
    <n v="0"/>
    <n v="0"/>
  </r>
  <r>
    <n v="13365"/>
    <n v="13366"/>
    <x v="0"/>
    <s v="NY-00130"/>
    <s v="LONG BEACH"/>
    <n v="15611"/>
    <s v="NASSAU"/>
    <s v="NY"/>
    <n v="28700"/>
    <n v="0"/>
    <n v="28700"/>
    <n v="0"/>
    <n v="0"/>
    <n v="0"/>
  </r>
  <r>
    <n v="13365"/>
    <n v="13366"/>
    <x v="0"/>
    <s v="NY-00130"/>
    <s v="LONG BEASCH"/>
    <n v="11561"/>
    <s v="NASSAU"/>
    <s v="NY"/>
    <n v="15005"/>
    <n v="0"/>
    <n v="15005"/>
    <n v="15100"/>
    <n v="0"/>
    <n v="15100"/>
  </r>
  <r>
    <n v="13365"/>
    <n v="13366"/>
    <x v="0"/>
    <s v="NY-00130"/>
    <s v="LONG ISLAND"/>
    <n v="11001"/>
    <s v="NASSAU"/>
    <s v="NY"/>
    <n v="117632"/>
    <n v="80532"/>
    <n v="37100"/>
    <n v="0"/>
    <n v="0"/>
    <n v="0"/>
  </r>
  <r>
    <n v="13365"/>
    <n v="13366"/>
    <x v="0"/>
    <s v="NY-00130"/>
    <s v="LONG ISLAND CITY"/>
    <n v="11101"/>
    <s v="QUEENS"/>
    <s v="NY"/>
    <n v="455020"/>
    <n v="46157"/>
    <n v="408863"/>
    <n v="167500"/>
    <n v="8400"/>
    <n v="159100"/>
  </r>
  <r>
    <n v="13365"/>
    <n v="13366"/>
    <x v="0"/>
    <s v="NY-00130"/>
    <s v="LONG ISLAND CITY"/>
    <n v="11102"/>
    <s v="QUEENS"/>
    <s v="NY"/>
    <n v="5514"/>
    <n v="0"/>
    <n v="5514"/>
    <n v="0"/>
    <n v="0"/>
    <n v="0"/>
  </r>
  <r>
    <n v="13365"/>
    <n v="13366"/>
    <x v="0"/>
    <s v="NY-00130"/>
    <s v="LONG ISLAND CITY"/>
    <n v="11109"/>
    <s v="QUEENS"/>
    <s v="NY"/>
    <n v="13150"/>
    <n v="0"/>
    <n v="13150"/>
    <n v="12800"/>
    <n v="0"/>
    <n v="12800"/>
  </r>
  <r>
    <n v="13365"/>
    <n v="13366"/>
    <x v="0"/>
    <s v="NY-00130"/>
    <s v="LONG ISLAND CITY"/>
    <n v="11415"/>
    <s v="QUEENS"/>
    <s v="NY"/>
    <n v="10000"/>
    <n v="0"/>
    <n v="10000"/>
    <n v="10000"/>
    <n v="0"/>
    <n v="10000"/>
  </r>
  <r>
    <n v="13365"/>
    <n v="13366"/>
    <x v="0"/>
    <s v="NY-00130"/>
    <s v="LONGBEACH"/>
    <n v="11561"/>
    <s v="NASSAU"/>
    <s v="NY"/>
    <n v="621193"/>
    <n v="404208"/>
    <n v="216985"/>
    <n v="276700"/>
    <n v="215900"/>
    <n v="60800"/>
  </r>
  <r>
    <n v="13365"/>
    <n v="13366"/>
    <x v="0"/>
    <s v="NY-00130"/>
    <s v="LYNBROOK"/>
    <n v="11563"/>
    <s v="NASSAU"/>
    <s v="NY"/>
    <n v="523458"/>
    <n v="445323"/>
    <n v="78135"/>
    <n v="151800"/>
    <n v="130300"/>
    <n v="21500"/>
  </r>
  <r>
    <n v="13365"/>
    <n v="13366"/>
    <x v="0"/>
    <s v="NY-00130"/>
    <s v="MAHOPAC"/>
    <n v="10541"/>
    <s v="PUTNAM"/>
    <s v="NY"/>
    <n v="170732"/>
    <n v="162632"/>
    <n v="8100"/>
    <n v="100"/>
    <n v="0"/>
    <n v="100"/>
  </r>
  <r>
    <n v="13365"/>
    <n v="13366"/>
    <x v="0"/>
    <s v="NY-00130"/>
    <s v="MALVERNE"/>
    <n v="11565"/>
    <s v="NASSAU"/>
    <s v="NY"/>
    <n v="160112"/>
    <n v="121582"/>
    <n v="38530"/>
    <n v="36100"/>
    <n v="33600"/>
    <n v="2500"/>
  </r>
  <r>
    <n v="13365"/>
    <n v="13366"/>
    <x v="0"/>
    <s v="NY-00130"/>
    <s v="MAMARONECK"/>
    <n v="10543"/>
    <s v="WESTCHESTER"/>
    <s v="NY"/>
    <n v="642371"/>
    <n v="554221"/>
    <n v="88150"/>
    <n v="229600"/>
    <n v="176400"/>
    <n v="53200"/>
  </r>
  <r>
    <n v="13365"/>
    <n v="13366"/>
    <x v="0"/>
    <s v="NY-00130"/>
    <s v="MANHASSET"/>
    <n v="11030"/>
    <s v="NASSAU"/>
    <s v="NY"/>
    <n v="576811"/>
    <n v="505161"/>
    <n v="71650"/>
    <n v="316000"/>
    <n v="273100"/>
    <n v="42900"/>
  </r>
  <r>
    <n v="13365"/>
    <n v="13366"/>
    <x v="0"/>
    <s v="NY-00130"/>
    <s v="MANHATTAN"/>
    <n v="10009"/>
    <s v="NEW YORK"/>
    <s v="NY"/>
    <n v="14887"/>
    <n v="0"/>
    <n v="14887"/>
    <n v="0"/>
    <n v="0"/>
    <n v="0"/>
  </r>
  <r>
    <n v="13365"/>
    <n v="13366"/>
    <x v="0"/>
    <s v="NY-00130"/>
    <s v="MANHATTAN"/>
    <n v="10029"/>
    <s v="NEW YORK"/>
    <s v="NY"/>
    <n v="9325"/>
    <n v="0"/>
    <n v="9325"/>
    <n v="9400"/>
    <n v="0"/>
    <n v="9400"/>
  </r>
  <r>
    <n v="13365"/>
    <n v="13366"/>
    <x v="0"/>
    <s v="NY-00130"/>
    <s v="MANHATTAN"/>
    <n v="10032"/>
    <s v="NEW YORK"/>
    <s v="NY"/>
    <n v="5425"/>
    <n v="0"/>
    <n v="5425"/>
    <n v="0"/>
    <n v="0"/>
    <n v="0"/>
  </r>
  <r>
    <n v="13365"/>
    <n v="13366"/>
    <x v="0"/>
    <s v="NY-00130"/>
    <s v="MANHATTAN"/>
    <n v="10128"/>
    <s v="NEW YORK"/>
    <s v="NY"/>
    <n v="3000"/>
    <n v="0"/>
    <n v="3000"/>
    <n v="0"/>
    <n v="0"/>
    <n v="0"/>
  </r>
  <r>
    <n v="13365"/>
    <n v="13366"/>
    <x v="0"/>
    <s v="NY-00130"/>
    <s v="MANORVILLE"/>
    <n v="11949"/>
    <s v="SUFFOLK"/>
    <s v="NY"/>
    <n v="118627"/>
    <n v="106177"/>
    <n v="12450"/>
    <n v="99800"/>
    <n v="95300"/>
    <n v="4500"/>
  </r>
  <r>
    <n v="13365"/>
    <n v="13366"/>
    <x v="0"/>
    <s v="NY-00130"/>
    <s v="MASPETH"/>
    <n v="11378"/>
    <s v="QUEENS"/>
    <s v="NY"/>
    <n v="34386"/>
    <n v="30786"/>
    <n v="3600"/>
    <n v="0"/>
    <n v="0"/>
    <n v="0"/>
  </r>
  <r>
    <n v="13365"/>
    <n v="13366"/>
    <x v="0"/>
    <s v="NY-00130"/>
    <s v="MASSAPEQA"/>
    <n v="11758"/>
    <s v="NASSAU"/>
    <s v="NY"/>
    <n v="192087"/>
    <n v="110302"/>
    <n v="81785"/>
    <n v="0"/>
    <n v="0"/>
    <n v="0"/>
  </r>
  <r>
    <n v="13365"/>
    <n v="13366"/>
    <x v="0"/>
    <s v="NY-00130"/>
    <s v="MASSAPEQUA"/>
    <n v="11554"/>
    <s v="NASSAU"/>
    <s v="NY"/>
    <n v="122455"/>
    <n v="87400"/>
    <n v="35055"/>
    <n v="0"/>
    <n v="0"/>
    <n v="0"/>
  </r>
  <r>
    <n v="13365"/>
    <n v="13366"/>
    <x v="0"/>
    <s v="NY-00130"/>
    <s v="MASSAPEQUA"/>
    <n v="11758"/>
    <s v="NASSAU"/>
    <s v="NY"/>
    <n v="215371642"/>
    <n v="157717782"/>
    <n v="57653860"/>
    <n v="97667800"/>
    <n v="70177200"/>
    <n v="27490600"/>
  </r>
  <r>
    <n v="13365"/>
    <n v="13366"/>
    <x v="0"/>
    <s v="NY-00130"/>
    <s v="MASSAPEQUA"/>
    <n v="11758"/>
    <s v="NEW YORK"/>
    <s v="NY"/>
    <n v="24719"/>
    <n v="15979"/>
    <n v="8740"/>
    <n v="14000"/>
    <n v="7700"/>
    <n v="6300"/>
  </r>
  <r>
    <n v="13365"/>
    <n v="13366"/>
    <x v="0"/>
    <s v="NY-00130"/>
    <s v="MASSAPEQUA"/>
    <n v="11762"/>
    <s v="NASSAU"/>
    <s v="NY"/>
    <n v="5952"/>
    <n v="5452"/>
    <n v="500"/>
    <n v="0"/>
    <n v="0"/>
    <n v="0"/>
  </r>
  <r>
    <n v="13365"/>
    <n v="13366"/>
    <x v="0"/>
    <s v="NY-00130"/>
    <s v="MASSAPEQUA PARK"/>
    <n v="11762"/>
    <s v="NASSAU"/>
    <s v="NY"/>
    <n v="3252941"/>
    <n v="2654871"/>
    <n v="598070"/>
    <n v="1652300"/>
    <n v="1377500"/>
    <n v="274800"/>
  </r>
  <r>
    <n v="13365"/>
    <n v="13366"/>
    <x v="0"/>
    <s v="NY-00130"/>
    <s v="MASSAPEQUA PK"/>
    <n v="11762"/>
    <s v="NASSAU"/>
    <s v="NY"/>
    <n v="123383"/>
    <n v="103883"/>
    <n v="19500"/>
    <n v="60900"/>
    <n v="54000"/>
    <n v="6900"/>
  </r>
  <r>
    <n v="13365"/>
    <n v="13366"/>
    <x v="0"/>
    <s v="NY-00130"/>
    <s v="MASSAPEQUQA"/>
    <n v="11758"/>
    <s v="NASSAU"/>
    <s v="NY"/>
    <n v="230432"/>
    <n v="100532"/>
    <n v="129900"/>
    <n v="95100"/>
    <n v="69200"/>
    <n v="25900"/>
  </r>
  <r>
    <n v="13365"/>
    <n v="13366"/>
    <x v="0"/>
    <s v="NY-00130"/>
    <s v="MASSAPEQUUA"/>
    <n v="11758"/>
    <s v="NASSAU"/>
    <s v="NY"/>
    <n v="108181"/>
    <n v="90381"/>
    <n v="17800"/>
    <n v="25900"/>
    <n v="8600"/>
    <n v="17300"/>
  </r>
  <r>
    <n v="13365"/>
    <n v="13366"/>
    <x v="0"/>
    <s v="NY-00130"/>
    <s v="MASSPEQUA"/>
    <n v="11758"/>
    <s v="NASSAU"/>
    <s v="NY"/>
    <n v="581708"/>
    <n v="482483"/>
    <n v="99225"/>
    <n v="31500"/>
    <n v="0"/>
    <n v="31500"/>
  </r>
  <r>
    <n v="13365"/>
    <n v="13366"/>
    <x v="0"/>
    <s v="NY-00130"/>
    <s v="MASTI C BEACH"/>
    <n v="11951"/>
    <s v="SUFFOLK"/>
    <s v="NY"/>
    <n v="85247"/>
    <n v="62347"/>
    <n v="22900"/>
    <n v="80400"/>
    <n v="57500"/>
    <n v="22900"/>
  </r>
  <r>
    <n v="13365"/>
    <n v="13366"/>
    <x v="0"/>
    <s v="NY-00130"/>
    <s v="MASTIC"/>
    <n v="11950"/>
    <s v="SUFFOLK"/>
    <s v="NY"/>
    <n v="253633"/>
    <n v="221975"/>
    <n v="31658"/>
    <n v="46800"/>
    <n v="32800"/>
    <n v="14000"/>
  </r>
  <r>
    <n v="13365"/>
    <n v="13366"/>
    <x v="0"/>
    <s v="NY-00130"/>
    <s v="MASTIC BEACH"/>
    <n v="11558"/>
    <s v="NASSAU"/>
    <s v="NY"/>
    <n v="51134"/>
    <n v="48134"/>
    <n v="3000"/>
    <n v="0"/>
    <n v="0"/>
    <n v="0"/>
  </r>
  <r>
    <n v="13365"/>
    <n v="13366"/>
    <x v="0"/>
    <s v="NY-00130"/>
    <s v="MASTIC BEACH"/>
    <n v="11951"/>
    <s v="SUFFOLK"/>
    <s v="NY"/>
    <n v="11261068"/>
    <n v="8540095"/>
    <n v="2720973"/>
    <n v="4892000"/>
    <n v="3508000"/>
    <n v="1384000"/>
  </r>
  <r>
    <n v="13365"/>
    <n v="13366"/>
    <x v="0"/>
    <s v="NY-00130"/>
    <s v="MATTITUCK"/>
    <n v="11952"/>
    <s v="SUFFOLK"/>
    <s v="NY"/>
    <n v="136409"/>
    <n v="119029"/>
    <n v="17380"/>
    <n v="108300"/>
    <n v="91600"/>
    <n v="16700"/>
  </r>
  <r>
    <n v="13365"/>
    <n v="13366"/>
    <x v="0"/>
    <s v="NY-00130"/>
    <s v="MEDFORD"/>
    <n v="11763"/>
    <s v="SUFFOLK"/>
    <s v="NY"/>
    <n v="109499"/>
    <n v="108999"/>
    <n v="500"/>
    <n v="38900"/>
    <n v="38400"/>
    <n v="500"/>
  </r>
  <r>
    <n v="13365"/>
    <n v="13366"/>
    <x v="0"/>
    <s v="NY-00130"/>
    <s v="MELVILLE"/>
    <n v="11747"/>
    <s v="SUFFOLK"/>
    <s v="NY"/>
    <n v="768140"/>
    <n v="723923"/>
    <n v="44217"/>
    <n v="140200"/>
    <n v="138300"/>
    <n v="1900"/>
  </r>
  <r>
    <n v="13365"/>
    <n v="13366"/>
    <x v="0"/>
    <s v="NY-00130"/>
    <s v="MERRICK"/>
    <n v="11420"/>
    <s v="NASSAU"/>
    <s v="NY"/>
    <n v="40317"/>
    <n v="22047"/>
    <n v="18270"/>
    <n v="0"/>
    <n v="0"/>
    <n v="0"/>
  </r>
  <r>
    <n v="13365"/>
    <n v="13366"/>
    <x v="0"/>
    <s v="NY-00130"/>
    <s v="MERRICK"/>
    <n v="11566"/>
    <s v="NASSAU"/>
    <s v="NY"/>
    <n v="48408452"/>
    <n v="34721165"/>
    <n v="13687287"/>
    <n v="20549100"/>
    <n v="14995200"/>
    <n v="5553900"/>
  </r>
  <r>
    <n v="13365"/>
    <n v="13366"/>
    <x v="0"/>
    <s v="NY-00130"/>
    <s v="MERRICK"/>
    <n v="11566"/>
    <s v="NEW YORK"/>
    <s v="NY"/>
    <n v="187391"/>
    <n v="158991"/>
    <n v="28400"/>
    <n v="73300"/>
    <n v="50100"/>
    <n v="23200"/>
  </r>
  <r>
    <n v="13365"/>
    <n v="13366"/>
    <x v="0"/>
    <s v="NY-00130"/>
    <s v="MERRICK"/>
    <n v="11566"/>
    <s v="SUFFOLK"/>
    <s v="NY"/>
    <n v="173740"/>
    <n v="77340"/>
    <n v="96400"/>
    <n v="0"/>
    <n v="0"/>
    <n v="0"/>
  </r>
  <r>
    <n v="13365"/>
    <n v="13366"/>
    <x v="0"/>
    <s v="NY-00130"/>
    <s v="MIDDE ISLAND"/>
    <n v="11953"/>
    <s v="SUFFOLK"/>
    <s v="NY"/>
    <n v="13837"/>
    <n v="12717"/>
    <n v="1120"/>
    <n v="0"/>
    <n v="0"/>
    <n v="0"/>
  </r>
  <r>
    <n v="13365"/>
    <n v="13366"/>
    <x v="0"/>
    <s v="NY-00130"/>
    <s v="MIDDLE ISLAND"/>
    <n v="11953"/>
    <s v="SUFFOLK"/>
    <s v="NY"/>
    <n v="19858"/>
    <n v="18983"/>
    <n v="875"/>
    <n v="19900"/>
    <n v="19000"/>
    <n v="900"/>
  </r>
  <r>
    <n v="13365"/>
    <n v="13366"/>
    <x v="0"/>
    <s v="NY-00130"/>
    <s v="MIDDLE VILLAGE"/>
    <n v="11379"/>
    <s v="QUEENS"/>
    <s v="NY"/>
    <n v="63540"/>
    <n v="48990"/>
    <n v="14550"/>
    <n v="14000"/>
    <n v="14000"/>
    <n v="0"/>
  </r>
  <r>
    <n v="13365"/>
    <n v="13366"/>
    <x v="0"/>
    <s v="NY-00130"/>
    <s v="MIDDLETOWN"/>
    <n v="10940"/>
    <s v="ORANGE"/>
    <s v="NY"/>
    <n v="234854"/>
    <n v="210739"/>
    <n v="24115"/>
    <n v="78600"/>
    <n v="71600"/>
    <n v="7000"/>
  </r>
  <r>
    <n v="13365"/>
    <n v="13366"/>
    <x v="0"/>
    <s v="NY-00130"/>
    <s v="MIDDLETOWN"/>
    <n v="10941"/>
    <s v="ORANGE"/>
    <s v="NY"/>
    <n v="18327"/>
    <n v="18327"/>
    <n v="0"/>
    <n v="17500"/>
    <n v="17500"/>
    <n v="0"/>
  </r>
  <r>
    <n v="13365"/>
    <n v="13366"/>
    <x v="0"/>
    <s v="NY-00130"/>
    <s v="MILLER PLACE"/>
    <n v="11764"/>
    <s v="SUFFOLK"/>
    <s v="NY"/>
    <n v="338548"/>
    <n v="336173"/>
    <n v="2375"/>
    <n v="298400"/>
    <n v="297400"/>
    <n v="1000"/>
  </r>
  <r>
    <n v="13365"/>
    <n v="13366"/>
    <x v="0"/>
    <s v="NY-00130"/>
    <s v="MINEOLA"/>
    <n v="11501"/>
    <s v="NASSAU"/>
    <s v="NY"/>
    <n v="258734"/>
    <n v="224359"/>
    <n v="34375"/>
    <n v="24600"/>
    <n v="24000"/>
    <n v="600"/>
  </r>
  <r>
    <n v="13365"/>
    <n v="13366"/>
    <x v="0"/>
    <s v="NY-00130"/>
    <s v="MLVERNE"/>
    <n v="11565"/>
    <s v="NASSAU"/>
    <s v="NY"/>
    <n v="56701"/>
    <n v="56701"/>
    <n v="0"/>
    <n v="0"/>
    <n v="0"/>
    <n v="0"/>
  </r>
  <r>
    <n v="13365"/>
    <n v="13366"/>
    <x v="0"/>
    <s v="NY-00130"/>
    <s v="MOHEGAN LAKE"/>
    <n v="10547"/>
    <s v="WESTCHESTER"/>
    <s v="NY"/>
    <n v="3500"/>
    <n v="0"/>
    <n v="3500"/>
    <n v="2500"/>
    <n v="0"/>
    <n v="2500"/>
  </r>
  <r>
    <n v="13365"/>
    <n v="13366"/>
    <x v="0"/>
    <s v="NY-00130"/>
    <s v="MONROE"/>
    <n v="10950"/>
    <s v="ORANGE"/>
    <s v="NY"/>
    <n v="174293"/>
    <n v="152993"/>
    <n v="21300"/>
    <n v="64600"/>
    <n v="59700"/>
    <n v="4900"/>
  </r>
  <r>
    <n v="13365"/>
    <n v="13366"/>
    <x v="0"/>
    <s v="NY-00130"/>
    <s v="MONSEY"/>
    <n v="10952"/>
    <s v="ROCKLAND"/>
    <s v="NY"/>
    <n v="248376"/>
    <n v="74026"/>
    <n v="174350"/>
    <n v="73100"/>
    <n v="2900"/>
    <n v="70200"/>
  </r>
  <r>
    <n v="13365"/>
    <n v="13366"/>
    <x v="0"/>
    <s v="NY-00130"/>
    <s v="MONTAUK"/>
    <n v="11954"/>
    <s v="SUFFOLK"/>
    <s v="NY"/>
    <n v="21114"/>
    <n v="17014"/>
    <n v="4100"/>
    <n v="0"/>
    <n v="0"/>
    <n v="0"/>
  </r>
  <r>
    <n v="13365"/>
    <n v="13366"/>
    <x v="0"/>
    <s v="NY-00130"/>
    <s v="MONTICELLO"/>
    <n v="12701"/>
    <s v="SULLIVAN"/>
    <s v="NY"/>
    <n v="146914"/>
    <n v="143514"/>
    <n v="3400"/>
    <n v="0"/>
    <n v="0"/>
    <n v="0"/>
  </r>
  <r>
    <n v="13365"/>
    <n v="13366"/>
    <x v="0"/>
    <s v="NY-00130"/>
    <s v="MORICHES"/>
    <n v="11955"/>
    <s v="SUFFOLK"/>
    <s v="NY"/>
    <n v="337750"/>
    <n v="291430"/>
    <n v="46320"/>
    <n v="114500"/>
    <n v="92300"/>
    <n v="22200"/>
  </r>
  <r>
    <n v="13365"/>
    <n v="13366"/>
    <x v="0"/>
    <s v="NY-00130"/>
    <s v="MOUNT KISCO"/>
    <n v="10549"/>
    <s v="WESTCHESTER"/>
    <s v="NY"/>
    <n v="38786"/>
    <n v="37786"/>
    <n v="1000"/>
    <n v="38900"/>
    <n v="37900"/>
    <n v="1000"/>
  </r>
  <r>
    <n v="13365"/>
    <n v="13366"/>
    <x v="0"/>
    <s v="NY-00130"/>
    <s v="MOUNT SINAI"/>
    <n v="11766"/>
    <s v="SUFFOLK"/>
    <s v="NY"/>
    <n v="109714"/>
    <n v="94949"/>
    <n v="14765"/>
    <n v="63300"/>
    <n v="60500"/>
    <n v="2800"/>
  </r>
  <r>
    <n v="13365"/>
    <n v="13366"/>
    <x v="0"/>
    <s v="NY-00130"/>
    <s v="MOUNT VERNON"/>
    <n v="10550"/>
    <s v="WESTCHESTER"/>
    <s v="NY"/>
    <n v="83418"/>
    <n v="81918"/>
    <n v="1500"/>
    <n v="21100"/>
    <n v="20600"/>
    <n v="500"/>
  </r>
  <r>
    <n v="13365"/>
    <n v="13366"/>
    <x v="0"/>
    <s v="NY-00130"/>
    <s v="MOUNT VERNON"/>
    <n v="10552"/>
    <s v="WESTCHESTER"/>
    <s v="NY"/>
    <n v="162230"/>
    <n v="154050"/>
    <n v="8180"/>
    <n v="150200"/>
    <n v="145000"/>
    <n v="5200"/>
  </r>
  <r>
    <n v="13365"/>
    <n v="13366"/>
    <x v="0"/>
    <s v="NY-00130"/>
    <s v="MOUNT VERNON"/>
    <n v="10553"/>
    <s v="WESTCHESTER"/>
    <s v="NY"/>
    <n v="16964"/>
    <n v="16964"/>
    <n v="0"/>
    <n v="0"/>
    <n v="0"/>
    <n v="0"/>
  </r>
  <r>
    <n v="13365"/>
    <n v="13366"/>
    <x v="0"/>
    <s v="NY-00130"/>
    <s v="MOUNTAIN DALE"/>
    <n v="12763"/>
    <s v="SULLIVAN"/>
    <s v="NY"/>
    <n v="18586"/>
    <n v="18236"/>
    <n v="350"/>
    <n v="0"/>
    <n v="0"/>
    <n v="0"/>
  </r>
  <r>
    <n v="13365"/>
    <n v="13366"/>
    <x v="0"/>
    <s v="NY-00130"/>
    <s v="MUTTONTOWN"/>
    <n v="11753"/>
    <s v="NASSAU"/>
    <s v="NY"/>
    <n v="8007"/>
    <n v="8007"/>
    <n v="0"/>
    <n v="6100"/>
    <n v="6100"/>
    <n v="0"/>
  </r>
  <r>
    <n v="13365"/>
    <n v="13366"/>
    <x v="0"/>
    <s v="NY-00130"/>
    <s v="N BELLMORE"/>
    <n v="11710"/>
    <s v="NASSAU"/>
    <s v="NY"/>
    <n v="107915"/>
    <n v="105315"/>
    <n v="2600"/>
    <n v="88900"/>
    <n v="86800"/>
    <n v="2100"/>
  </r>
  <r>
    <n v="13365"/>
    <n v="13366"/>
    <x v="0"/>
    <s v="NY-00130"/>
    <s v="N WOODMERE"/>
    <n v="11581"/>
    <s v="NASSAU"/>
    <s v="NY"/>
    <n v="238032"/>
    <n v="179007"/>
    <n v="59025"/>
    <n v="60000"/>
    <n v="37100"/>
    <n v="22900"/>
  </r>
  <r>
    <n v="13365"/>
    <n v="13366"/>
    <x v="0"/>
    <s v="NY-00130"/>
    <s v="N. BELLMORE"/>
    <n v="11710"/>
    <s v="NASSAU"/>
    <s v="NY"/>
    <n v="127389"/>
    <n v="108089"/>
    <n v="19300"/>
    <n v="0"/>
    <n v="0"/>
    <n v="0"/>
  </r>
  <r>
    <n v="13365"/>
    <n v="13366"/>
    <x v="0"/>
    <s v="NY-00130"/>
    <s v="NEPONIST"/>
    <n v="11694"/>
    <s v="QUEENS"/>
    <s v="NY"/>
    <n v="162056"/>
    <n v="121656"/>
    <n v="40400"/>
    <n v="99100"/>
    <n v="80500"/>
    <n v="18600"/>
  </r>
  <r>
    <n v="13365"/>
    <n v="13366"/>
    <x v="0"/>
    <s v="NY-00130"/>
    <s v="NEPONSIT"/>
    <n v="11694"/>
    <s v="NEW YORK"/>
    <s v="NY"/>
    <n v="177286"/>
    <n v="112486"/>
    <n v="64800"/>
    <n v="141000"/>
    <n v="105000"/>
    <n v="36000"/>
  </r>
  <r>
    <n v="13365"/>
    <n v="13366"/>
    <x v="0"/>
    <s v="NY-00130"/>
    <s v="NEPONSIT"/>
    <n v="11694"/>
    <s v="QUEENS"/>
    <s v="NY"/>
    <n v="21886766"/>
    <n v="15651434"/>
    <n v="6235332"/>
    <n v="8539500"/>
    <n v="6159700"/>
    <n v="2379800"/>
  </r>
  <r>
    <n v="13365"/>
    <n v="13366"/>
    <x v="0"/>
    <s v="NY-00130"/>
    <s v="NEPONSIT BEACH"/>
    <n v="11694"/>
    <s v="QUEENS"/>
    <s v="NY"/>
    <n v="393264"/>
    <n v="251814"/>
    <n v="141450"/>
    <n v="0"/>
    <n v="0"/>
    <n v="0"/>
  </r>
  <r>
    <n v="13365"/>
    <n v="13366"/>
    <x v="0"/>
    <s v="NY-00130"/>
    <s v="NESCONSET"/>
    <n v="11767"/>
    <s v="SUFFOLK"/>
    <s v="NY"/>
    <n v="83969"/>
    <n v="79369"/>
    <n v="4600"/>
    <n v="61700"/>
    <n v="61500"/>
    <n v="200"/>
  </r>
  <r>
    <n v="13365"/>
    <n v="13366"/>
    <x v="0"/>
    <s v="NY-00130"/>
    <s v="NEW"/>
    <n v="10306"/>
    <s v="RICHMOND"/>
    <s v="NY"/>
    <n v="64520"/>
    <n v="0"/>
    <n v="64520"/>
    <n v="0"/>
    <n v="0"/>
    <n v="0"/>
  </r>
  <r>
    <n v="13365"/>
    <n v="13366"/>
    <x v="0"/>
    <s v="NY-00130"/>
    <s v="NEW CITY"/>
    <n v="10956"/>
    <s v="ROCKLAND"/>
    <s v="NY"/>
    <n v="445332"/>
    <n v="397194"/>
    <n v="48138"/>
    <n v="182300"/>
    <n v="151300"/>
    <n v="31000"/>
  </r>
  <r>
    <n v="13365"/>
    <n v="13366"/>
    <x v="0"/>
    <s v="NY-00130"/>
    <s v="NEW HEMPSTEAD"/>
    <n v="10977"/>
    <s v="ROCKLAND"/>
    <s v="NY"/>
    <n v="17109"/>
    <n v="15609"/>
    <n v="1500"/>
    <n v="0"/>
    <n v="0"/>
    <n v="0"/>
  </r>
  <r>
    <n v="13365"/>
    <n v="13366"/>
    <x v="0"/>
    <s v="NY-00130"/>
    <s v="NEW HYDE PARK"/>
    <n v="11040"/>
    <s v="NASSAU"/>
    <s v="NY"/>
    <n v="229622"/>
    <n v="218247"/>
    <n v="11375"/>
    <n v="58500"/>
    <n v="57800"/>
    <n v="700"/>
  </r>
  <r>
    <n v="13365"/>
    <n v="13366"/>
    <x v="0"/>
    <s v="NY-00130"/>
    <s v="NEW PALTZ"/>
    <n v="12561"/>
    <s v="ULSTER"/>
    <s v="NY"/>
    <n v="1250"/>
    <n v="0"/>
    <n v="1250"/>
    <n v="1300"/>
    <n v="0"/>
    <n v="1300"/>
  </r>
  <r>
    <n v="13365"/>
    <n v="13366"/>
    <x v="0"/>
    <s v="NY-00130"/>
    <s v="NEW ROCHELLE"/>
    <n v="10801"/>
    <s v="WESTCHESTER"/>
    <s v="NY"/>
    <n v="313051"/>
    <n v="294631"/>
    <n v="18420"/>
    <n v="239600"/>
    <n v="233100"/>
    <n v="6500"/>
  </r>
  <r>
    <n v="13365"/>
    <n v="13366"/>
    <x v="0"/>
    <s v="NY-00130"/>
    <s v="NEW ROCHELLE"/>
    <n v="10804"/>
    <s v="WESTCHESTER"/>
    <s v="NY"/>
    <n v="167685"/>
    <n v="160785"/>
    <n v="6900"/>
    <n v="102000"/>
    <n v="98300"/>
    <n v="3700"/>
  </r>
  <r>
    <n v="13365"/>
    <n v="13366"/>
    <x v="0"/>
    <s v="NY-00130"/>
    <s v="NEW ROCHELLE"/>
    <n v="10805"/>
    <s v="WESTCHESTER"/>
    <s v="NY"/>
    <n v="224622"/>
    <n v="215521"/>
    <n v="9101"/>
    <n v="1900"/>
    <n v="0"/>
    <n v="1900"/>
  </r>
  <r>
    <n v="13365"/>
    <n v="13366"/>
    <x v="0"/>
    <s v="NY-00130"/>
    <s v="NEW SUFFOLK"/>
    <n v="11956"/>
    <s v="SUFFOLK"/>
    <s v="NY"/>
    <n v="292872"/>
    <n v="254522"/>
    <n v="38350"/>
    <n v="236300"/>
    <n v="200000"/>
    <n v="36300"/>
  </r>
  <r>
    <n v="13365"/>
    <n v="13366"/>
    <x v="0"/>
    <s v="NY-00130"/>
    <s v="NEW WINDSOR"/>
    <n v="12553"/>
    <s v="ORANGE"/>
    <s v="NY"/>
    <n v="62891"/>
    <n v="62891"/>
    <n v="0"/>
    <n v="29100"/>
    <n v="29100"/>
    <n v="0"/>
  </r>
  <r>
    <n v="13365"/>
    <n v="13366"/>
    <x v="0"/>
    <s v="NY-00130"/>
    <s v="NEW YORK"/>
    <n v="10001"/>
    <s v="NASSAU"/>
    <s v="NY"/>
    <n v="21300"/>
    <n v="0"/>
    <n v="21300"/>
    <n v="14000"/>
    <n v="0"/>
    <n v="14000"/>
  </r>
  <r>
    <n v="13365"/>
    <n v="13366"/>
    <x v="0"/>
    <s v="NY-00130"/>
    <s v="NEW YORK"/>
    <n v="10001"/>
    <s v="NEW YORK"/>
    <s v="NY"/>
    <n v="20987"/>
    <n v="0"/>
    <n v="20987"/>
    <n v="4100"/>
    <n v="0"/>
    <n v="4100"/>
  </r>
  <r>
    <n v="13365"/>
    <n v="13366"/>
    <x v="0"/>
    <s v="NY-00130"/>
    <s v="NEW YORK"/>
    <n v="10002"/>
    <s v="NEW YORK"/>
    <s v="NY"/>
    <n v="434710"/>
    <n v="34969"/>
    <n v="399741"/>
    <n v="73500"/>
    <n v="0"/>
    <n v="73500"/>
  </r>
  <r>
    <n v="13365"/>
    <n v="13366"/>
    <x v="0"/>
    <s v="NY-00130"/>
    <s v="NEW YORK"/>
    <n v="10003"/>
    <s v="NEW YORK"/>
    <s v="NY"/>
    <n v="91566"/>
    <n v="86696"/>
    <n v="4870"/>
    <n v="82800"/>
    <n v="82300"/>
    <n v="500"/>
  </r>
  <r>
    <n v="13365"/>
    <n v="13366"/>
    <x v="0"/>
    <s v="NY-00130"/>
    <s v="NEW YORK"/>
    <n v="10004"/>
    <s v="NEW YORK"/>
    <s v="NY"/>
    <n v="53225"/>
    <n v="0"/>
    <n v="53225"/>
    <n v="5800"/>
    <n v="0"/>
    <n v="5800"/>
  </r>
  <r>
    <n v="13365"/>
    <n v="13366"/>
    <x v="0"/>
    <s v="NY-00130"/>
    <s v="NEW YORK"/>
    <n v="10005"/>
    <s v="NEW YORK"/>
    <s v="NY"/>
    <n v="19475"/>
    <n v="0"/>
    <n v="19475"/>
    <n v="2500"/>
    <n v="0"/>
    <n v="2500"/>
  </r>
  <r>
    <n v="13365"/>
    <n v="13366"/>
    <x v="0"/>
    <s v="NY-00130"/>
    <s v="NEW YORK"/>
    <n v="10006"/>
    <s v="NEW YORK"/>
    <s v="NY"/>
    <n v="179223"/>
    <n v="10958"/>
    <n v="168265"/>
    <n v="72300"/>
    <n v="9900"/>
    <n v="62400"/>
  </r>
  <r>
    <n v="13365"/>
    <n v="13366"/>
    <x v="0"/>
    <s v="NY-00130"/>
    <s v="NEW YORK"/>
    <n v="10007"/>
    <s v="NEW YORK"/>
    <s v="NY"/>
    <n v="68744"/>
    <n v="35344"/>
    <n v="33400"/>
    <n v="35400"/>
    <n v="35400"/>
    <n v="0"/>
  </r>
  <r>
    <n v="13365"/>
    <n v="13366"/>
    <x v="0"/>
    <s v="NY-00130"/>
    <s v="NEW YORK"/>
    <n v="10009"/>
    <s v="NEW YORK"/>
    <s v="NY"/>
    <n v="1337161"/>
    <n v="302383"/>
    <n v="1034778"/>
    <n v="398100"/>
    <n v="24600"/>
    <n v="373500"/>
  </r>
  <r>
    <n v="13365"/>
    <n v="13366"/>
    <x v="0"/>
    <s v="NY-00130"/>
    <s v="NEW YORK"/>
    <n v="10010"/>
    <s v="NEW YORK"/>
    <s v="NY"/>
    <n v="62922"/>
    <n v="0"/>
    <n v="62922"/>
    <n v="15600"/>
    <n v="0"/>
    <n v="15600"/>
  </r>
  <r>
    <n v="13365"/>
    <n v="13366"/>
    <x v="0"/>
    <s v="NY-00130"/>
    <s v="NEW YORK"/>
    <n v="10011"/>
    <s v="NEW YORK"/>
    <s v="NY"/>
    <n v="382980"/>
    <n v="139764"/>
    <n v="243216"/>
    <n v="75700"/>
    <n v="16400"/>
    <n v="59300"/>
  </r>
  <r>
    <n v="13365"/>
    <n v="13366"/>
    <x v="0"/>
    <s v="NY-00130"/>
    <s v="NEW YORK"/>
    <n v="10012"/>
    <s v="NEW YORK"/>
    <s v="NY"/>
    <n v="13537"/>
    <n v="0"/>
    <n v="13537"/>
    <n v="9900"/>
    <n v="0"/>
    <n v="9900"/>
  </r>
  <r>
    <n v="13365"/>
    <n v="13366"/>
    <x v="0"/>
    <s v="NY-00130"/>
    <s v="NEW YORK"/>
    <n v="10013"/>
    <s v="NEW YORK"/>
    <s v="NY"/>
    <n v="743871"/>
    <n v="249041"/>
    <n v="494830"/>
    <n v="202200"/>
    <n v="70800"/>
    <n v="131400"/>
  </r>
  <r>
    <n v="13365"/>
    <n v="13366"/>
    <x v="0"/>
    <s v="NY-00130"/>
    <s v="NEW YORK"/>
    <n v="10014"/>
    <s v="NEW YORK"/>
    <s v="NY"/>
    <n v="1333738"/>
    <n v="346360"/>
    <n v="987378"/>
    <n v="658700"/>
    <n v="76800"/>
    <n v="581900"/>
  </r>
  <r>
    <n v="13365"/>
    <n v="13366"/>
    <x v="0"/>
    <s v="NY-00130"/>
    <s v="NEW YORK"/>
    <n v="10015"/>
    <s v="NEW YORK"/>
    <s v="NY"/>
    <n v="35130"/>
    <n v="12130"/>
    <n v="23000"/>
    <n v="0"/>
    <n v="0"/>
    <n v="0"/>
  </r>
  <r>
    <n v="13365"/>
    <n v="13366"/>
    <x v="0"/>
    <s v="NY-00130"/>
    <s v="NEW YORK"/>
    <n v="10016"/>
    <s v="NEW YORK"/>
    <s v="NY"/>
    <n v="41715"/>
    <n v="0"/>
    <n v="41715"/>
    <n v="18800"/>
    <n v="0"/>
    <n v="18800"/>
  </r>
  <r>
    <n v="13365"/>
    <n v="13366"/>
    <x v="0"/>
    <s v="NY-00130"/>
    <s v="NEW YORK"/>
    <n v="10018"/>
    <s v="NEW YORK"/>
    <s v="NY"/>
    <n v="38125"/>
    <n v="0"/>
    <n v="38125"/>
    <n v="30700"/>
    <n v="0"/>
    <n v="30700"/>
  </r>
  <r>
    <n v="13365"/>
    <n v="13366"/>
    <x v="0"/>
    <s v="NY-00130"/>
    <s v="NEW YORK"/>
    <n v="10019"/>
    <s v="NEW YORK"/>
    <s v="NY"/>
    <n v="14500"/>
    <n v="0"/>
    <n v="14500"/>
    <n v="0"/>
    <n v="0"/>
    <n v="0"/>
  </r>
  <r>
    <n v="13365"/>
    <n v="13366"/>
    <x v="0"/>
    <s v="NY-00130"/>
    <s v="NEW YORK"/>
    <n v="10025"/>
    <s v="NEW YORK"/>
    <s v="NY"/>
    <n v="5525"/>
    <n v="0"/>
    <n v="5525"/>
    <n v="5600"/>
    <n v="0"/>
    <n v="5600"/>
  </r>
  <r>
    <n v="13365"/>
    <n v="13366"/>
    <x v="0"/>
    <s v="NY-00130"/>
    <s v="NEW YORK"/>
    <n v="10027"/>
    <s v="NEW YORK"/>
    <s v="NY"/>
    <n v="55685"/>
    <n v="55685"/>
    <n v="0"/>
    <n v="10700"/>
    <n v="10700"/>
    <n v="0"/>
  </r>
  <r>
    <n v="13365"/>
    <n v="13366"/>
    <x v="0"/>
    <s v="NY-00130"/>
    <s v="NEW YORK"/>
    <n v="10029"/>
    <s v="NEW YORK"/>
    <s v="NY"/>
    <n v="62820"/>
    <n v="0"/>
    <n v="62820"/>
    <n v="44300"/>
    <n v="0"/>
    <n v="44300"/>
  </r>
  <r>
    <n v="13365"/>
    <n v="13366"/>
    <x v="0"/>
    <s v="NY-00130"/>
    <s v="NEW YORK"/>
    <n v="10030"/>
    <s v="NEW YORK"/>
    <s v="NY"/>
    <n v="11225"/>
    <n v="0"/>
    <n v="11225"/>
    <n v="3800"/>
    <n v="0"/>
    <n v="3800"/>
  </r>
  <r>
    <n v="13365"/>
    <n v="13366"/>
    <x v="0"/>
    <s v="NY-00130"/>
    <s v="NEW YORK"/>
    <n v="10033"/>
    <s v="NEW YORK"/>
    <s v="NY"/>
    <n v="27800"/>
    <n v="0"/>
    <n v="27800"/>
    <n v="0"/>
    <n v="0"/>
    <n v="0"/>
  </r>
  <r>
    <n v="13365"/>
    <n v="13366"/>
    <x v="0"/>
    <s v="NY-00130"/>
    <s v="NEW YORK"/>
    <n v="10035"/>
    <s v="NEW YORK"/>
    <s v="NY"/>
    <n v="2955"/>
    <n v="0"/>
    <n v="2955"/>
    <n v="0"/>
    <n v="0"/>
    <n v="0"/>
  </r>
  <r>
    <n v="13365"/>
    <n v="13366"/>
    <x v="0"/>
    <s v="NY-00130"/>
    <s v="NEW YORK"/>
    <n v="10037"/>
    <s v="NEW YORK"/>
    <s v="NY"/>
    <n v="109886"/>
    <n v="0"/>
    <n v="109886"/>
    <n v="47700"/>
    <n v="0"/>
    <n v="47700"/>
  </r>
  <r>
    <n v="13365"/>
    <n v="13366"/>
    <x v="0"/>
    <s v="NY-00130"/>
    <s v="NEW YORK"/>
    <n v="10038"/>
    <s v="NEW YORK"/>
    <s v="NY"/>
    <n v="733695"/>
    <n v="160459"/>
    <n v="573236"/>
    <n v="223400"/>
    <n v="5800"/>
    <n v="217600"/>
  </r>
  <r>
    <n v="13365"/>
    <n v="13366"/>
    <x v="0"/>
    <s v="NY-00130"/>
    <s v="NEW YORK"/>
    <n v="10039"/>
    <s v="NEW YORK"/>
    <s v="NY"/>
    <n v="116081"/>
    <n v="0"/>
    <n v="116081"/>
    <n v="33000"/>
    <n v="0"/>
    <n v="33000"/>
  </r>
  <r>
    <n v="13365"/>
    <n v="13366"/>
    <x v="0"/>
    <s v="NY-00130"/>
    <s v="NEW YORK"/>
    <n v="10040"/>
    <s v="NEW YORK"/>
    <s v="NY"/>
    <n v="5300"/>
    <n v="0"/>
    <n v="5300"/>
    <n v="5300"/>
    <n v="0"/>
    <n v="5300"/>
  </r>
  <r>
    <n v="13365"/>
    <n v="13366"/>
    <x v="0"/>
    <s v="NY-00130"/>
    <s v="NEW YORK"/>
    <n v="10041"/>
    <s v="NEW YORK"/>
    <s v="NY"/>
    <n v="24825"/>
    <n v="0"/>
    <n v="24825"/>
    <n v="6300"/>
    <n v="0"/>
    <n v="6300"/>
  </r>
  <r>
    <n v="13365"/>
    <n v="13366"/>
    <x v="0"/>
    <s v="NY-00130"/>
    <s v="NEW YORK"/>
    <n v="10065"/>
    <s v="NEW YORK"/>
    <s v="NY"/>
    <n v="2125"/>
    <n v="0"/>
    <n v="2125"/>
    <n v="0"/>
    <n v="0"/>
    <n v="0"/>
  </r>
  <r>
    <n v="13365"/>
    <n v="13366"/>
    <x v="0"/>
    <s v="NY-00130"/>
    <s v="NEW YORK"/>
    <n v="10075"/>
    <s v="NEW YORK"/>
    <s v="NY"/>
    <n v="88200"/>
    <n v="0"/>
    <n v="88200"/>
    <n v="26000"/>
    <n v="0"/>
    <n v="26000"/>
  </r>
  <r>
    <n v="13365"/>
    <n v="13366"/>
    <x v="0"/>
    <s v="NY-00130"/>
    <s v="NEW YORK"/>
    <n v="10128"/>
    <s v="NEW YORK"/>
    <s v="NY"/>
    <n v="143853"/>
    <n v="6038"/>
    <n v="137815"/>
    <n v="52600"/>
    <n v="0"/>
    <n v="52600"/>
  </r>
  <r>
    <n v="13365"/>
    <n v="13366"/>
    <x v="0"/>
    <s v="NY-00130"/>
    <s v="NEW YORK"/>
    <n v="10280"/>
    <s v="NEW YORK"/>
    <s v="NY"/>
    <n v="29500"/>
    <n v="0"/>
    <n v="29500"/>
    <n v="5500"/>
    <n v="0"/>
    <n v="5500"/>
  </r>
  <r>
    <n v="13365"/>
    <n v="13366"/>
    <x v="0"/>
    <s v="NY-00130"/>
    <s v="NEW YORK"/>
    <n v="10286"/>
    <s v="NEW YORK"/>
    <s v="NY"/>
    <n v="4400"/>
    <n v="0"/>
    <n v="4400"/>
    <n v="4400"/>
    <n v="0"/>
    <n v="4400"/>
  </r>
  <r>
    <n v="13365"/>
    <n v="13366"/>
    <x v="0"/>
    <s v="NY-00130"/>
    <s v="NEW YORK"/>
    <n v="10306"/>
    <s v="RICHMOND"/>
    <s v="NY"/>
    <n v="250613"/>
    <n v="159533"/>
    <n v="91080"/>
    <n v="136600"/>
    <n v="77200"/>
    <n v="59400"/>
  </r>
  <r>
    <n v="13365"/>
    <n v="13366"/>
    <x v="0"/>
    <s v="NY-00130"/>
    <s v="NEW YORK"/>
    <n v="10464"/>
    <s v="BRONX"/>
    <s v="NY"/>
    <n v="26700"/>
    <n v="0"/>
    <n v="26700"/>
    <n v="26700"/>
    <n v="0"/>
    <n v="26700"/>
  </r>
  <r>
    <n v="13365"/>
    <n v="13366"/>
    <x v="0"/>
    <s v="NY-00130"/>
    <s v="NEW YORK"/>
    <n v="10465"/>
    <s v="BRONX"/>
    <s v="NY"/>
    <n v="82061"/>
    <n v="64561"/>
    <n v="17500"/>
    <n v="52000"/>
    <n v="36800"/>
    <n v="15200"/>
  </r>
  <r>
    <n v="13365"/>
    <n v="13366"/>
    <x v="0"/>
    <s v="NY-00130"/>
    <s v="NEW YORK"/>
    <n v="11209"/>
    <s v="KINGS"/>
    <s v="NY"/>
    <n v="2000"/>
    <n v="0"/>
    <n v="2000"/>
    <n v="0"/>
    <n v="0"/>
    <n v="0"/>
  </r>
  <r>
    <n v="13365"/>
    <n v="13366"/>
    <x v="0"/>
    <s v="NY-00130"/>
    <s v="NEW YORK"/>
    <n v="11224"/>
    <s v="KINGS"/>
    <s v="NY"/>
    <n v="26850"/>
    <n v="0"/>
    <n v="26850"/>
    <n v="16000"/>
    <n v="0"/>
    <n v="16000"/>
  </r>
  <r>
    <n v="13365"/>
    <n v="13366"/>
    <x v="0"/>
    <s v="NY-00130"/>
    <s v="NEW YORK"/>
    <n v="11234"/>
    <s v="KINGS"/>
    <s v="NY"/>
    <n v="22700"/>
    <n v="0"/>
    <n v="22700"/>
    <n v="22700"/>
    <n v="0"/>
    <n v="22700"/>
  </r>
  <r>
    <n v="13365"/>
    <n v="13366"/>
    <x v="0"/>
    <s v="NY-00130"/>
    <s v="NEW YORK"/>
    <n v="11414"/>
    <s v="QUEENS"/>
    <s v="NY"/>
    <n v="489196"/>
    <n v="338021"/>
    <n v="151175"/>
    <n v="129200"/>
    <n v="80600"/>
    <n v="48600"/>
  </r>
  <r>
    <n v="13365"/>
    <n v="13366"/>
    <x v="0"/>
    <s v="NY-00130"/>
    <s v="NEW YORK"/>
    <n v="11516"/>
    <s v="NASSAU"/>
    <s v="NY"/>
    <n v="131405"/>
    <n v="101755"/>
    <n v="29650"/>
    <n v="92500"/>
    <n v="62800"/>
    <n v="29700"/>
  </r>
  <r>
    <n v="13365"/>
    <n v="13366"/>
    <x v="0"/>
    <s v="NY-00130"/>
    <s v="NEW YORK"/>
    <n v="11561"/>
    <s v="NASSAU"/>
    <s v="NY"/>
    <n v="48575"/>
    <n v="0"/>
    <n v="48575"/>
    <n v="22600"/>
    <n v="0"/>
    <n v="22600"/>
  </r>
  <r>
    <n v="13365"/>
    <n v="13366"/>
    <x v="0"/>
    <s v="NY-00130"/>
    <s v="NEW YORK"/>
    <n v="11691"/>
    <s v="QUEENS"/>
    <s v="NY"/>
    <n v="89891"/>
    <n v="72516"/>
    <n v="17375"/>
    <n v="86600"/>
    <n v="69300"/>
    <n v="17300"/>
  </r>
  <r>
    <n v="13365"/>
    <n v="13366"/>
    <x v="0"/>
    <s v="NY-00130"/>
    <s v="NEW YORK"/>
    <n v="11693"/>
    <s v="KINGS"/>
    <s v="NY"/>
    <n v="42170"/>
    <n v="0"/>
    <n v="42170"/>
    <n v="0"/>
    <n v="0"/>
    <n v="0"/>
  </r>
  <r>
    <n v="13365"/>
    <n v="13366"/>
    <x v="0"/>
    <s v="NY-00130"/>
    <s v="NEW YORK"/>
    <n v="11693"/>
    <s v="QUEENS"/>
    <s v="NY"/>
    <n v="107893"/>
    <n v="66538"/>
    <n v="41355"/>
    <n v="14000"/>
    <n v="0"/>
    <n v="14000"/>
  </r>
  <r>
    <n v="13365"/>
    <n v="13366"/>
    <x v="0"/>
    <s v="NY-00130"/>
    <s v="NEW YORK"/>
    <n v="11694"/>
    <s v="QUEENS"/>
    <s v="NY"/>
    <n v="108747"/>
    <n v="19197"/>
    <n v="89550"/>
    <n v="89600"/>
    <n v="400"/>
    <n v="89200"/>
  </r>
  <r>
    <n v="13365"/>
    <n v="13366"/>
    <x v="0"/>
    <s v="NY-00130"/>
    <s v="NEW YORK"/>
    <n v="11697"/>
    <s v="QUEENS"/>
    <s v="NY"/>
    <n v="132674"/>
    <n v="116499"/>
    <n v="16175"/>
    <n v="0"/>
    <n v="0"/>
    <n v="0"/>
  </r>
  <r>
    <n v="13365"/>
    <n v="13366"/>
    <x v="0"/>
    <s v="NY-00130"/>
    <s v="NEW YORK CITY"/>
    <n v="11693"/>
    <s v="QUEENS"/>
    <s v="NY"/>
    <n v="72154"/>
    <n v="57704"/>
    <n v="14450"/>
    <n v="0"/>
    <n v="0"/>
    <n v="0"/>
  </r>
  <r>
    <n v="13365"/>
    <n v="13366"/>
    <x v="0"/>
    <s v="NY-00130"/>
    <s v="NEW YORK CITY"/>
    <n v="11694"/>
    <s v="QUEENS"/>
    <s v="NY"/>
    <n v="94214"/>
    <n v="62639"/>
    <n v="31575"/>
    <n v="0"/>
    <n v="0"/>
    <n v="0"/>
  </r>
  <r>
    <n v="13365"/>
    <n v="13366"/>
    <x v="0"/>
    <s v="NY-00130"/>
    <s v="NEWBURGH"/>
    <n v="12550"/>
    <s v="ORANGE"/>
    <s v="NY"/>
    <n v="90708"/>
    <n v="84533"/>
    <n v="6175"/>
    <n v="51400"/>
    <n v="51400"/>
    <n v="0"/>
  </r>
  <r>
    <n v="13365"/>
    <n v="13366"/>
    <x v="0"/>
    <s v="NY-00130"/>
    <s v="NEWYORK"/>
    <n v="10009"/>
    <s v="NEW YORK"/>
    <s v="NY"/>
    <n v="18380"/>
    <n v="0"/>
    <n v="18380"/>
    <n v="0"/>
    <n v="0"/>
    <n v="0"/>
  </r>
  <r>
    <n v="13365"/>
    <n v="13366"/>
    <x v="0"/>
    <s v="NY-00130"/>
    <s v="NEWYORK"/>
    <n v="11691"/>
    <s v="QUEENS"/>
    <s v="NY"/>
    <n v="90906"/>
    <n v="30706"/>
    <n v="60200"/>
    <n v="0"/>
    <n v="0"/>
    <n v="0"/>
  </r>
  <r>
    <n v="13365"/>
    <n v="13366"/>
    <x v="0"/>
    <s v="NY-00130"/>
    <s v="NEWYORK"/>
    <n v="11693"/>
    <s v="QUEENS"/>
    <s v="NY"/>
    <n v="28787"/>
    <n v="0"/>
    <n v="28787"/>
    <n v="17400"/>
    <n v="0"/>
    <n v="17400"/>
  </r>
  <r>
    <n v="13365"/>
    <n v="13366"/>
    <x v="0"/>
    <s v="NY-00130"/>
    <s v="NORTH BABYLON"/>
    <n v="11703"/>
    <s v="SUFFOLK"/>
    <s v="NY"/>
    <n v="253960"/>
    <n v="247205"/>
    <n v="6755"/>
    <n v="120200"/>
    <n v="119300"/>
    <n v="900"/>
  </r>
  <r>
    <n v="13365"/>
    <n v="13366"/>
    <x v="0"/>
    <s v="NY-00130"/>
    <s v="NORTH BABYLON"/>
    <n v="11704"/>
    <s v="SUFFOLK"/>
    <s v="NY"/>
    <n v="23779"/>
    <n v="23779"/>
    <n v="0"/>
    <n v="9400"/>
    <n v="9400"/>
    <n v="0"/>
  </r>
  <r>
    <n v="13365"/>
    <n v="13366"/>
    <x v="0"/>
    <s v="NY-00130"/>
    <s v="NORTH BALDWIN"/>
    <n v="11510"/>
    <s v="NASSAU"/>
    <s v="NY"/>
    <n v="367128"/>
    <n v="313878"/>
    <n v="53250"/>
    <n v="170800"/>
    <n v="149000"/>
    <n v="21800"/>
  </r>
  <r>
    <n v="13365"/>
    <n v="13366"/>
    <x v="0"/>
    <s v="NY-00130"/>
    <s v="NORTH BELLMORE"/>
    <n v="11710"/>
    <s v="NASSAU"/>
    <s v="NY"/>
    <n v="120239"/>
    <n v="114989"/>
    <n v="5250"/>
    <n v="0"/>
    <n v="0"/>
    <n v="0"/>
  </r>
  <r>
    <n v="13365"/>
    <n v="13366"/>
    <x v="0"/>
    <s v="NY-00130"/>
    <s v="NORTH MASSAPEQUA"/>
    <n v="11758"/>
    <s v="NASSAU"/>
    <s v="NY"/>
    <n v="104359"/>
    <n v="90569"/>
    <n v="13790"/>
    <n v="72300"/>
    <n v="58500"/>
    <n v="13800"/>
  </r>
  <r>
    <n v="13365"/>
    <n v="13366"/>
    <x v="0"/>
    <s v="NY-00130"/>
    <s v="NORTH MERRICK"/>
    <n v="11566"/>
    <s v="NASSAU"/>
    <s v="NY"/>
    <n v="21173"/>
    <n v="21173"/>
    <n v="0"/>
    <n v="21100"/>
    <n v="21100"/>
    <n v="0"/>
  </r>
  <r>
    <n v="13365"/>
    <n v="13366"/>
    <x v="0"/>
    <s v="NY-00130"/>
    <s v="NORTH SALEM"/>
    <n v="10560"/>
    <s v="WESTCHESTER"/>
    <s v="NY"/>
    <n v="127544"/>
    <n v="121294"/>
    <n v="6250"/>
    <n v="0"/>
    <n v="0"/>
    <n v="0"/>
  </r>
  <r>
    <n v="13365"/>
    <n v="13366"/>
    <x v="0"/>
    <s v="NY-00130"/>
    <s v="NORTH WOODMERE"/>
    <n v="11581"/>
    <s v="NASSAU"/>
    <s v="NY"/>
    <n v="1848233"/>
    <n v="1275021"/>
    <n v="573212"/>
    <n v="536100"/>
    <n v="365500"/>
    <n v="170600"/>
  </r>
  <r>
    <n v="13365"/>
    <n v="13366"/>
    <x v="0"/>
    <s v="NY-00130"/>
    <s v="NORTHPORT"/>
    <n v="11768"/>
    <s v="SUFFOLK"/>
    <s v="NY"/>
    <n v="3856635"/>
    <n v="3038511"/>
    <n v="818124"/>
    <n v="1492100"/>
    <n v="1265200"/>
    <n v="226900"/>
  </r>
  <r>
    <n v="13365"/>
    <n v="13366"/>
    <x v="0"/>
    <s v="NY-00130"/>
    <s v="NY"/>
    <n v="10002"/>
    <s v="NEW YORK"/>
    <s v="NY"/>
    <n v="2880"/>
    <n v="0"/>
    <n v="2880"/>
    <n v="0"/>
    <n v="0"/>
    <n v="0"/>
  </r>
  <r>
    <n v="13365"/>
    <n v="13366"/>
    <x v="0"/>
    <s v="NY-00130"/>
    <s v="NY"/>
    <n v="10009"/>
    <s v="NEW YORK"/>
    <s v="NY"/>
    <n v="20000"/>
    <n v="0"/>
    <n v="20000"/>
    <n v="0"/>
    <n v="0"/>
    <n v="0"/>
  </r>
  <r>
    <n v="13365"/>
    <n v="13366"/>
    <x v="0"/>
    <s v="NY-00130"/>
    <s v="NY"/>
    <n v="10011"/>
    <s v="NEW YORK"/>
    <s v="NY"/>
    <n v="500"/>
    <n v="0"/>
    <n v="500"/>
    <n v="0"/>
    <n v="0"/>
    <n v="0"/>
  </r>
  <r>
    <n v="13365"/>
    <n v="13366"/>
    <x v="0"/>
    <s v="NY-00130"/>
    <s v="NY"/>
    <n v="10018"/>
    <s v="NEW YORK"/>
    <s v="NY"/>
    <n v="3700"/>
    <n v="0"/>
    <n v="3700"/>
    <n v="0"/>
    <n v="0"/>
    <n v="0"/>
  </r>
  <r>
    <n v="13365"/>
    <n v="13366"/>
    <x v="0"/>
    <s v="NY-00130"/>
    <s v="NY"/>
    <n v="10029"/>
    <s v="NEW YORK"/>
    <s v="NY"/>
    <n v="5225"/>
    <n v="0"/>
    <n v="5225"/>
    <n v="0"/>
    <n v="0"/>
    <n v="0"/>
  </r>
  <r>
    <n v="13365"/>
    <n v="13366"/>
    <x v="0"/>
    <s v="NY-00130"/>
    <s v="NY"/>
    <n v="10038"/>
    <s v="NEW YORK"/>
    <s v="NY"/>
    <n v="12750"/>
    <n v="0"/>
    <n v="12750"/>
    <n v="8500"/>
    <n v="0"/>
    <n v="8500"/>
  </r>
  <r>
    <n v="13365"/>
    <n v="13366"/>
    <x v="0"/>
    <s v="NY-00130"/>
    <s v="NY"/>
    <n v="10041"/>
    <s v="NEW YORK"/>
    <s v="NY"/>
    <n v="24825"/>
    <n v="0"/>
    <n v="24825"/>
    <n v="2000"/>
    <n v="0"/>
    <n v="2000"/>
  </r>
  <r>
    <n v="13365"/>
    <n v="13366"/>
    <x v="0"/>
    <s v="NY-00130"/>
    <s v="NY"/>
    <n v="10075"/>
    <s v="NEW YORK"/>
    <s v="NY"/>
    <n v="32175"/>
    <n v="0"/>
    <n v="32175"/>
    <n v="32200"/>
    <n v="0"/>
    <n v="32200"/>
  </r>
  <r>
    <n v="13365"/>
    <n v="13366"/>
    <x v="0"/>
    <s v="NY-00130"/>
    <s v="NY"/>
    <n v="10469"/>
    <s v="BRONX"/>
    <s v="NY"/>
    <n v="22651"/>
    <n v="21301"/>
    <n v="1350"/>
    <n v="0"/>
    <n v="0"/>
    <n v="0"/>
  </r>
  <r>
    <n v="13365"/>
    <n v="13366"/>
    <x v="0"/>
    <s v="NY-00130"/>
    <s v="NYACK"/>
    <n v="10960"/>
    <s v="ROCKLAND"/>
    <s v="NY"/>
    <n v="1695813"/>
    <n v="1330718"/>
    <n v="365095"/>
    <n v="814400"/>
    <n v="646500"/>
    <n v="167900"/>
  </r>
  <r>
    <n v="13365"/>
    <n v="13366"/>
    <x v="0"/>
    <s v="NY-00130"/>
    <s v="NYC"/>
    <n v="10001"/>
    <s v="NEW YORK"/>
    <s v="NY"/>
    <n v="11175"/>
    <n v="0"/>
    <n v="11175"/>
    <n v="11200"/>
    <n v="0"/>
    <n v="11200"/>
  </r>
  <r>
    <n v="13365"/>
    <n v="13366"/>
    <x v="0"/>
    <s v="NY-00130"/>
    <s v="NYC"/>
    <n v="10002"/>
    <s v="NEW YORK"/>
    <s v="NY"/>
    <n v="7100"/>
    <n v="0"/>
    <n v="7100"/>
    <n v="7100"/>
    <n v="0"/>
    <n v="7100"/>
  </r>
  <r>
    <n v="13365"/>
    <n v="13366"/>
    <x v="0"/>
    <s v="NY-00130"/>
    <s v="NYC"/>
    <n v="10016"/>
    <s v="NEW YORK"/>
    <s v="NY"/>
    <n v="35200"/>
    <n v="0"/>
    <n v="35200"/>
    <n v="0"/>
    <n v="0"/>
    <n v="0"/>
  </r>
  <r>
    <n v="13365"/>
    <n v="13366"/>
    <x v="0"/>
    <s v="NY-00130"/>
    <s v="NYC"/>
    <n v="10029"/>
    <s v="NEW YORK"/>
    <s v="NY"/>
    <n v="16875"/>
    <n v="0"/>
    <n v="16875"/>
    <n v="0"/>
    <n v="0"/>
    <n v="0"/>
  </r>
  <r>
    <n v="13365"/>
    <n v="13366"/>
    <x v="0"/>
    <s v="NY-00130"/>
    <s v="NYC"/>
    <n v="11229"/>
    <s v="NEW YORK"/>
    <s v="NY"/>
    <n v="162556"/>
    <n v="125756"/>
    <n v="36800"/>
    <n v="114200"/>
    <n v="79400"/>
    <n v="34800"/>
  </r>
  <r>
    <n v="13365"/>
    <n v="13366"/>
    <x v="0"/>
    <s v="NY-00130"/>
    <s v="OAK BEACH"/>
    <n v="11702"/>
    <s v="SUFFOLK"/>
    <s v="NY"/>
    <n v="2122002"/>
    <n v="1700973"/>
    <n v="421029"/>
    <n v="514800"/>
    <n v="362700"/>
    <n v="152100"/>
  </r>
  <r>
    <n v="13365"/>
    <n v="13366"/>
    <x v="0"/>
    <s v="NY-00130"/>
    <s v="OAK BEACH"/>
    <n v="11718"/>
    <s v="SUFFOLK"/>
    <s v="NY"/>
    <n v="17876"/>
    <n v="14451"/>
    <n v="3425"/>
    <n v="0"/>
    <n v="0"/>
    <n v="0"/>
  </r>
  <r>
    <n v="13365"/>
    <n v="13366"/>
    <x v="0"/>
    <s v="NY-00130"/>
    <s v="OAK ISLAND"/>
    <n v="11702"/>
    <s v="SUFFOLK"/>
    <s v="NY"/>
    <n v="34796"/>
    <n v="24596"/>
    <n v="10200"/>
    <n v="28100"/>
    <n v="17900"/>
    <n v="10200"/>
  </r>
  <r>
    <n v="13365"/>
    <n v="13366"/>
    <x v="0"/>
    <s v="NY-00130"/>
    <s v="OAKDALE"/>
    <n v="11757"/>
    <s v="SUFFOLK"/>
    <s v="NY"/>
    <n v="112947"/>
    <n v="107747"/>
    <n v="5200"/>
    <n v="0"/>
    <n v="0"/>
    <n v="0"/>
  </r>
  <r>
    <n v="13365"/>
    <n v="13366"/>
    <x v="0"/>
    <s v="NY-00130"/>
    <s v="OAKDALE"/>
    <n v="11769"/>
    <s v="SUFFOLK"/>
    <s v="NY"/>
    <n v="19330232"/>
    <n v="15210057"/>
    <n v="4120175"/>
    <n v="8302300"/>
    <n v="6424200"/>
    <n v="1878100"/>
  </r>
  <r>
    <n v="13365"/>
    <n v="13366"/>
    <x v="0"/>
    <s v="NY-00130"/>
    <s v="OAKLAND GARDENS"/>
    <n v="11364"/>
    <s v="QUEENS"/>
    <s v="NY"/>
    <n v="15180"/>
    <n v="15180"/>
    <n v="0"/>
    <n v="10700"/>
    <n v="10700"/>
    <n v="0"/>
  </r>
  <r>
    <n v="13365"/>
    <n v="13366"/>
    <x v="0"/>
    <s v="NY-00130"/>
    <s v="OAKLAND GDNS"/>
    <n v="11364"/>
    <s v="QUEENS"/>
    <s v="NY"/>
    <n v="9627"/>
    <n v="9627"/>
    <n v="0"/>
    <n v="0"/>
    <n v="0"/>
    <n v="0"/>
  </r>
  <r>
    <n v="13365"/>
    <n v="13366"/>
    <x v="0"/>
    <s v="NY-00130"/>
    <s v="OCEAN BAY PARK"/>
    <n v="11770"/>
    <s v="SUFFOLK"/>
    <s v="NY"/>
    <n v="415603"/>
    <n v="372328"/>
    <n v="43275"/>
    <n v="0"/>
    <n v="0"/>
    <n v="0"/>
  </r>
  <r>
    <n v="13365"/>
    <n v="13366"/>
    <x v="0"/>
    <s v="NY-00130"/>
    <s v="OCEAN BEACH"/>
    <n v="11770"/>
    <s v="SUFFOLK"/>
    <s v="NY"/>
    <n v="2677019"/>
    <n v="2223519"/>
    <n v="453500"/>
    <n v="687000"/>
    <n v="557400"/>
    <n v="129600"/>
  </r>
  <r>
    <n v="13365"/>
    <n v="13366"/>
    <x v="0"/>
    <s v="NY-00130"/>
    <s v="OCEAN SIDE"/>
    <n v="11572"/>
    <s v="NASSAU"/>
    <s v="NY"/>
    <n v="117083"/>
    <n v="64188"/>
    <n v="52895"/>
    <n v="9500"/>
    <n v="9500"/>
    <n v="0"/>
  </r>
  <r>
    <n v="13365"/>
    <n v="13366"/>
    <x v="0"/>
    <s v="NY-00130"/>
    <s v="OCEANBEACH"/>
    <n v="11770"/>
    <s v="SUFFOLK"/>
    <s v="NY"/>
    <n v="12950"/>
    <n v="0"/>
    <n v="12950"/>
    <n v="8500"/>
    <n v="0"/>
    <n v="8500"/>
  </r>
  <r>
    <n v="13365"/>
    <n v="13366"/>
    <x v="0"/>
    <s v="NY-00130"/>
    <s v="OCEANIDE"/>
    <n v="11572"/>
    <s v="NASSAU"/>
    <s v="NY"/>
    <n v="151781"/>
    <n v="108911"/>
    <n v="42870"/>
    <n v="79900"/>
    <n v="39900"/>
    <n v="40000"/>
  </r>
  <r>
    <n v="13365"/>
    <n v="13366"/>
    <x v="0"/>
    <s v="NY-00130"/>
    <s v="OCEANSDIE"/>
    <n v="11572"/>
    <s v="NASSAU"/>
    <s v="NY"/>
    <n v="74594"/>
    <n v="49544"/>
    <n v="25050"/>
    <n v="0"/>
    <n v="0"/>
    <n v="0"/>
  </r>
  <r>
    <n v="13365"/>
    <n v="13366"/>
    <x v="0"/>
    <s v="NY-00130"/>
    <s v="OCEANSIDE"/>
    <n v="1572"/>
    <s v="NASSAU"/>
    <s v="NY"/>
    <n v="210984"/>
    <n v="152884"/>
    <n v="58100"/>
    <n v="0"/>
    <n v="0"/>
    <n v="0"/>
  </r>
  <r>
    <n v="13365"/>
    <n v="13366"/>
    <x v="0"/>
    <s v="NY-00130"/>
    <s v="OCEANSIDE"/>
    <n v="11518"/>
    <s v="NASSAU"/>
    <s v="NY"/>
    <n v="86585"/>
    <n v="50975"/>
    <n v="35610"/>
    <n v="14000"/>
    <n v="14000"/>
    <n v="0"/>
  </r>
  <r>
    <n v="13365"/>
    <n v="13366"/>
    <x v="0"/>
    <s v="NY-00130"/>
    <s v="OCEANSIDE"/>
    <n v="11558"/>
    <s v="NASSAU"/>
    <s v="NY"/>
    <n v="4975"/>
    <n v="0"/>
    <n v="4975"/>
    <n v="0"/>
    <n v="0"/>
    <n v="0"/>
  </r>
  <r>
    <n v="13365"/>
    <n v="13366"/>
    <x v="0"/>
    <s v="NY-00130"/>
    <s v="OCEANSIDE"/>
    <n v="11561"/>
    <s v="NASSAU"/>
    <s v="NY"/>
    <n v="39500"/>
    <n v="0"/>
    <n v="39500"/>
    <n v="0"/>
    <n v="0"/>
    <n v="0"/>
  </r>
  <r>
    <n v="13365"/>
    <n v="13366"/>
    <x v="0"/>
    <s v="NY-00130"/>
    <s v="OCEANSIDE"/>
    <n v="11572"/>
    <s v="NASSAU"/>
    <s v="NY"/>
    <n v="169728605"/>
    <n v="107537378"/>
    <n v="62191227"/>
    <n v="68861100"/>
    <n v="46022300"/>
    <n v="22838800"/>
  </r>
  <r>
    <n v="13365"/>
    <n v="13366"/>
    <x v="0"/>
    <s v="NY-00130"/>
    <s v="OCEANSIDE"/>
    <n v="11572"/>
    <s v="NEW YORK"/>
    <s v="NY"/>
    <n v="28810"/>
    <n v="0"/>
    <n v="28810"/>
    <n v="0"/>
    <n v="0"/>
    <n v="0"/>
  </r>
  <r>
    <n v="13365"/>
    <n v="13366"/>
    <x v="0"/>
    <s v="NY-00130"/>
    <s v="OCEANSIDE,"/>
    <n v="11572"/>
    <s v="NASSAU"/>
    <s v="NY"/>
    <n v="5220"/>
    <n v="0"/>
    <n v="5220"/>
    <n v="0"/>
    <n v="0"/>
    <n v="0"/>
  </r>
  <r>
    <n v="13365"/>
    <n v="13366"/>
    <x v="0"/>
    <s v="NY-00130"/>
    <s v="OCEASNSIDE"/>
    <n v="11572"/>
    <s v="NASSAU"/>
    <s v="NY"/>
    <n v="166302"/>
    <n v="108102"/>
    <n v="58200"/>
    <n v="0"/>
    <n v="0"/>
    <n v="0"/>
  </r>
  <r>
    <n v="13365"/>
    <n v="13366"/>
    <x v="0"/>
    <s v="NY-00130"/>
    <s v="OCENSIDE"/>
    <n v="11572"/>
    <s v="NASSAU"/>
    <s v="NY"/>
    <n v="40111"/>
    <n v="856"/>
    <n v="39255"/>
    <n v="18200"/>
    <n v="0"/>
    <n v="18200"/>
  </r>
  <r>
    <n v="13365"/>
    <n v="13366"/>
    <x v="0"/>
    <s v="NY-00130"/>
    <s v="OEANSIDE"/>
    <n v="11572"/>
    <s v="NASSAU"/>
    <s v="NY"/>
    <n v="97802"/>
    <n v="76457"/>
    <n v="21345"/>
    <n v="87800"/>
    <n v="66400"/>
    <n v="21400"/>
  </r>
  <r>
    <n v="13365"/>
    <n v="13366"/>
    <x v="0"/>
    <s v="NY-00130"/>
    <s v="OLD BETHPAGE"/>
    <n v="11804"/>
    <s v="NASSAU"/>
    <s v="NY"/>
    <n v="82161"/>
    <n v="81161"/>
    <n v="1000"/>
    <n v="35700"/>
    <n v="35200"/>
    <n v="500"/>
  </r>
  <r>
    <n v="13365"/>
    <n v="13366"/>
    <x v="0"/>
    <s v="NY-00130"/>
    <s v="OLD WESTBURY"/>
    <n v="11568"/>
    <s v="NASSAU"/>
    <s v="NY"/>
    <n v="296056"/>
    <n v="285656"/>
    <n v="10400"/>
    <n v="44200"/>
    <n v="44200"/>
    <n v="0"/>
  </r>
  <r>
    <n v="13365"/>
    <n v="13366"/>
    <x v="0"/>
    <s v="NY-00130"/>
    <s v="ORANGEBURG"/>
    <n v="10962"/>
    <s v="ROCKLAND"/>
    <s v="NY"/>
    <n v="5510"/>
    <n v="5510"/>
    <n v="0"/>
    <n v="0"/>
    <n v="0"/>
    <n v="0"/>
  </r>
  <r>
    <n v="13365"/>
    <n v="13366"/>
    <x v="0"/>
    <s v="NY-00130"/>
    <s v="ORIENT"/>
    <n v="11957"/>
    <s v="SUFFOLK"/>
    <s v="NY"/>
    <n v="77152"/>
    <n v="69977"/>
    <n v="7175"/>
    <n v="0"/>
    <n v="0"/>
    <n v="0"/>
  </r>
  <r>
    <n v="13365"/>
    <n v="13366"/>
    <x v="0"/>
    <s v="NY-00130"/>
    <s v="OSSINING"/>
    <n v="10562"/>
    <s v="WESTCHESTER"/>
    <s v="NY"/>
    <n v="35144"/>
    <n v="35144"/>
    <n v="0"/>
    <n v="26600"/>
    <n v="26600"/>
    <n v="0"/>
  </r>
  <r>
    <n v="13365"/>
    <n v="13366"/>
    <x v="0"/>
    <s v="NY-00130"/>
    <s v="OYSTER BAY"/>
    <n v="11771"/>
    <s v="NASSAU"/>
    <s v="NY"/>
    <n v="840057"/>
    <n v="684832"/>
    <n v="155225"/>
    <n v="265500"/>
    <n v="221200"/>
    <n v="44300"/>
  </r>
  <r>
    <n v="13365"/>
    <n v="13366"/>
    <x v="0"/>
    <s v="NY-00130"/>
    <s v="OZONE PARK"/>
    <n v="11368"/>
    <s v="QUEENS"/>
    <s v="NY"/>
    <n v="45016"/>
    <n v="36816"/>
    <n v="8200"/>
    <n v="0"/>
    <n v="0"/>
    <n v="0"/>
  </r>
  <r>
    <n v="13365"/>
    <n v="13366"/>
    <x v="0"/>
    <s v="NY-00130"/>
    <s v="OZONE PARK"/>
    <n v="11416"/>
    <s v="QUEENS"/>
    <s v="NY"/>
    <n v="173259"/>
    <n v="150772"/>
    <n v="22487"/>
    <n v="31100"/>
    <n v="30600"/>
    <n v="500"/>
  </r>
  <r>
    <n v="13365"/>
    <n v="13366"/>
    <x v="0"/>
    <s v="NY-00130"/>
    <s v="OZONE PARK"/>
    <n v="11417"/>
    <s v="QUEENS"/>
    <s v="NY"/>
    <n v="214754"/>
    <n v="148554"/>
    <n v="66200"/>
    <n v="57200"/>
    <n v="21100"/>
    <n v="36100"/>
  </r>
  <r>
    <n v="13365"/>
    <n v="13366"/>
    <x v="0"/>
    <s v="NY-00130"/>
    <s v="PALISADES"/>
    <n v="10964"/>
    <s v="ROCKLAND"/>
    <s v="NY"/>
    <n v="12050"/>
    <n v="12050"/>
    <n v="0"/>
    <n v="12100"/>
    <n v="12100"/>
    <n v="0"/>
  </r>
  <r>
    <n v="13365"/>
    <n v="13366"/>
    <x v="0"/>
    <s v="NY-00130"/>
    <s v="PATCHOGUE"/>
    <n v="11772"/>
    <s v="SUFFOLK"/>
    <s v="NY"/>
    <n v="6433926"/>
    <n v="4945737"/>
    <n v="1488189"/>
    <n v="2883400"/>
    <n v="2084600"/>
    <n v="798800"/>
  </r>
  <r>
    <n v="13365"/>
    <n v="13366"/>
    <x v="0"/>
    <s v="NY-00130"/>
    <s v="PEARL RIVER"/>
    <n v="10965"/>
    <s v="ROCKLAND"/>
    <s v="NY"/>
    <n v="356455"/>
    <n v="332595"/>
    <n v="23860"/>
    <n v="130100"/>
    <n v="113500"/>
    <n v="16600"/>
  </r>
  <r>
    <n v="13365"/>
    <n v="13366"/>
    <x v="0"/>
    <s v="NY-00130"/>
    <s v="PECONIC"/>
    <n v="11958"/>
    <s v="SUFFOLK"/>
    <s v="NY"/>
    <n v="20266"/>
    <n v="15566"/>
    <n v="4700"/>
    <n v="4700"/>
    <n v="0"/>
    <n v="4700"/>
  </r>
  <r>
    <n v="13365"/>
    <n v="13366"/>
    <x v="0"/>
    <s v="NY-00130"/>
    <s v="PEEKSKILL"/>
    <n v="10566"/>
    <s v="WESTCHESTER"/>
    <s v="NY"/>
    <n v="40340"/>
    <n v="33865"/>
    <n v="6475"/>
    <n v="14000"/>
    <n v="8000"/>
    <n v="6000"/>
  </r>
  <r>
    <n v="13365"/>
    <n v="13366"/>
    <x v="0"/>
    <s v="NY-00130"/>
    <s v="PIERMONT"/>
    <n v="10968"/>
    <s v="ROCKLAND"/>
    <s v="NY"/>
    <n v="2515431"/>
    <n v="2001952"/>
    <n v="513479"/>
    <n v="1269000"/>
    <n v="914600"/>
    <n v="354400"/>
  </r>
  <r>
    <n v="13365"/>
    <n v="13366"/>
    <x v="0"/>
    <s v="NY-00130"/>
    <s v="PINE BUSH"/>
    <n v="12566"/>
    <s v="ULSTER"/>
    <s v="NY"/>
    <n v="47438"/>
    <n v="47438"/>
    <n v="0"/>
    <n v="0"/>
    <n v="0"/>
    <n v="0"/>
  </r>
  <r>
    <n v="13365"/>
    <n v="13366"/>
    <x v="0"/>
    <s v="NY-00130"/>
    <s v="PINE ISLAND"/>
    <n v="10969"/>
    <s v="ORANGE"/>
    <s v="NY"/>
    <n v="65798"/>
    <n v="63118"/>
    <n v="2680"/>
    <n v="14000"/>
    <n v="12000"/>
    <n v="2000"/>
  </r>
  <r>
    <n v="13365"/>
    <n v="13366"/>
    <x v="0"/>
    <s v="NY-00130"/>
    <s v="PLAINVIEW"/>
    <n v="11803"/>
    <s v="NASSAU"/>
    <s v="NY"/>
    <n v="454869"/>
    <n v="408419"/>
    <n v="46450"/>
    <n v="67600"/>
    <n v="48100"/>
    <n v="19500"/>
  </r>
  <r>
    <n v="13365"/>
    <n v="13366"/>
    <x v="0"/>
    <s v="NY-00130"/>
    <s v="POINT LOOK OUT"/>
    <n v="11569"/>
    <s v="NASSAU"/>
    <s v="NY"/>
    <n v="57047"/>
    <n v="24497"/>
    <n v="32550"/>
    <n v="14000"/>
    <n v="14000"/>
    <n v="0"/>
  </r>
  <r>
    <n v="13365"/>
    <n v="13366"/>
    <x v="0"/>
    <s v="NY-00130"/>
    <s v="POINT LOOKOUT"/>
    <n v="11568"/>
    <s v="NASSAU"/>
    <s v="NY"/>
    <n v="109156"/>
    <n v="77006"/>
    <n v="32150"/>
    <n v="14000"/>
    <n v="2000"/>
    <n v="12000"/>
  </r>
  <r>
    <n v="13365"/>
    <n v="13366"/>
    <x v="0"/>
    <s v="NY-00130"/>
    <s v="POINT LOOKOUT"/>
    <n v="11569"/>
    <s v="NASSAU"/>
    <s v="NY"/>
    <n v="3317103"/>
    <n v="2220424"/>
    <n v="1096679"/>
    <n v="1404800"/>
    <n v="890900"/>
    <n v="513900"/>
  </r>
  <r>
    <n v="13365"/>
    <n v="13366"/>
    <x v="0"/>
    <s v="NY-00130"/>
    <s v="POMONA"/>
    <n v="10970"/>
    <s v="ROCKLAND"/>
    <s v="NY"/>
    <n v="272210"/>
    <n v="246635"/>
    <n v="25575"/>
    <n v="144500"/>
    <n v="124000"/>
    <n v="20500"/>
  </r>
  <r>
    <n v="13365"/>
    <n v="13366"/>
    <x v="0"/>
    <s v="NY-00130"/>
    <s v="PORT CHESTER"/>
    <n v="10573"/>
    <s v="WESTCHESTER"/>
    <s v="NY"/>
    <n v="118328"/>
    <n v="105903"/>
    <n v="12425"/>
    <n v="5100"/>
    <n v="4800"/>
    <n v="300"/>
  </r>
  <r>
    <n v="13365"/>
    <n v="13366"/>
    <x v="0"/>
    <s v="NY-00130"/>
    <s v="PORT JEFFERSON"/>
    <n v="11777"/>
    <s v="NEW YORK"/>
    <s v="NY"/>
    <n v="21876"/>
    <n v="21876"/>
    <n v="0"/>
    <n v="10800"/>
    <n v="10800"/>
    <n v="0"/>
  </r>
  <r>
    <n v="13365"/>
    <n v="13366"/>
    <x v="0"/>
    <s v="NY-00130"/>
    <s v="PORT JEFFERSON"/>
    <n v="11777"/>
    <s v="SUFFOLK"/>
    <s v="NY"/>
    <n v="52604"/>
    <n v="24579"/>
    <n v="28025"/>
    <n v="10000"/>
    <n v="10000"/>
    <n v="0"/>
  </r>
  <r>
    <n v="13365"/>
    <n v="13366"/>
    <x v="0"/>
    <s v="NY-00130"/>
    <s v="PORT JEFFERSON STATION"/>
    <n v="11776"/>
    <s v="SUFFOLK"/>
    <s v="NY"/>
    <n v="193167"/>
    <n v="187542"/>
    <n v="5625"/>
    <n v="63900"/>
    <n v="63100"/>
    <n v="800"/>
  </r>
  <r>
    <n v="13365"/>
    <n v="13366"/>
    <x v="0"/>
    <s v="NY-00130"/>
    <s v="PORT JERVIS"/>
    <n v="12771"/>
    <s v="ORANGE"/>
    <s v="NY"/>
    <n v="38354"/>
    <n v="36984"/>
    <n v="1370"/>
    <n v="10100"/>
    <n v="10100"/>
    <n v="0"/>
  </r>
  <r>
    <n v="13365"/>
    <n v="13366"/>
    <x v="0"/>
    <s v="NY-00130"/>
    <s v="PORT WASHINGTON"/>
    <n v="11050"/>
    <s v="NASSAU"/>
    <s v="NY"/>
    <n v="541624"/>
    <n v="479669"/>
    <n v="61955"/>
    <n v="230000"/>
    <n v="223400"/>
    <n v="6600"/>
  </r>
  <r>
    <n v="13365"/>
    <n v="13366"/>
    <x v="0"/>
    <s v="NY-00130"/>
    <s v="POUND RIDGE"/>
    <n v="10576"/>
    <s v="WESTCHESTER"/>
    <s v="NY"/>
    <n v="74949"/>
    <n v="72499"/>
    <n v="2450"/>
    <n v="46200"/>
    <n v="44700"/>
    <n v="1500"/>
  </r>
  <r>
    <n v="13365"/>
    <n v="13366"/>
    <x v="0"/>
    <s v="NY-00130"/>
    <s v="PT LOOKOUT"/>
    <n v="11569"/>
    <s v="NASSAU"/>
    <s v="NY"/>
    <n v="10925"/>
    <n v="0"/>
    <n v="10925"/>
    <n v="0"/>
    <n v="0"/>
    <n v="0"/>
  </r>
  <r>
    <n v="13365"/>
    <n v="13366"/>
    <x v="0"/>
    <s v="NY-00130"/>
    <s v="PURDYS"/>
    <n v="10578"/>
    <s v="WESTCHESTER"/>
    <s v="NY"/>
    <n v="226366"/>
    <n v="212166"/>
    <n v="14200"/>
    <n v="79800"/>
    <n v="66100"/>
    <n v="13700"/>
  </r>
  <r>
    <n v="13365"/>
    <n v="13366"/>
    <x v="0"/>
    <s v="NY-00130"/>
    <s v="QUEENS"/>
    <n v="11101"/>
    <s v="QUEENS"/>
    <s v="NY"/>
    <n v="4289"/>
    <n v="0"/>
    <n v="4289"/>
    <n v="0"/>
    <n v="0"/>
    <n v="0"/>
  </r>
  <r>
    <n v="13365"/>
    <n v="13366"/>
    <x v="0"/>
    <s v="NY-00130"/>
    <s v="QUEENS"/>
    <n v="11412"/>
    <s v="QUEENS"/>
    <s v="NY"/>
    <n v="10553"/>
    <n v="10553"/>
    <n v="0"/>
    <n v="0"/>
    <n v="0"/>
    <n v="0"/>
  </r>
  <r>
    <n v="13365"/>
    <n v="13366"/>
    <x v="0"/>
    <s v="NY-00130"/>
    <s v="QUEENS"/>
    <n v="11413"/>
    <s v="QUEENS"/>
    <s v="NY"/>
    <n v="28855"/>
    <n v="26755"/>
    <n v="2100"/>
    <n v="20700"/>
    <n v="19100"/>
    <n v="1600"/>
  </r>
  <r>
    <n v="13365"/>
    <n v="13366"/>
    <x v="0"/>
    <s v="NY-00130"/>
    <s v="QUEENS"/>
    <n v="11414"/>
    <s v="QUEENS"/>
    <s v="NY"/>
    <n v="381062"/>
    <n v="274578"/>
    <n v="106484"/>
    <n v="122300"/>
    <n v="86300"/>
    <n v="36000"/>
  </r>
  <r>
    <n v="13365"/>
    <n v="13366"/>
    <x v="0"/>
    <s v="NY-00130"/>
    <s v="QUEENS"/>
    <n v="11420"/>
    <s v="QUEENS"/>
    <s v="NY"/>
    <n v="12800"/>
    <n v="12800"/>
    <n v="0"/>
    <n v="0"/>
    <n v="0"/>
    <n v="0"/>
  </r>
  <r>
    <n v="13365"/>
    <n v="13366"/>
    <x v="0"/>
    <s v="NY-00130"/>
    <s v="QUEENS"/>
    <n v="11422"/>
    <s v="QUEENS"/>
    <s v="NY"/>
    <n v="29200"/>
    <n v="0"/>
    <n v="29200"/>
    <n v="29300"/>
    <n v="0"/>
    <n v="29300"/>
  </r>
  <r>
    <n v="13365"/>
    <n v="13366"/>
    <x v="0"/>
    <s v="NY-00130"/>
    <s v="QUEENS"/>
    <n v="11429"/>
    <s v="QUEENS"/>
    <s v="NY"/>
    <n v="85667"/>
    <n v="57242"/>
    <n v="28425"/>
    <n v="0"/>
    <n v="0"/>
    <n v="0"/>
  </r>
  <r>
    <n v="13365"/>
    <n v="13366"/>
    <x v="0"/>
    <s v="NY-00130"/>
    <s v="QUEENS"/>
    <n v="11691"/>
    <s v="QUEENS"/>
    <s v="NY"/>
    <n v="60015"/>
    <n v="43315"/>
    <n v="16700"/>
    <n v="0"/>
    <n v="0"/>
    <n v="0"/>
  </r>
  <r>
    <n v="13365"/>
    <n v="13366"/>
    <x v="0"/>
    <s v="NY-00130"/>
    <s v="QUEENS"/>
    <n v="11693"/>
    <s v="QUEENS"/>
    <s v="NY"/>
    <n v="99235"/>
    <n v="58725"/>
    <n v="40510"/>
    <n v="67500"/>
    <n v="50200"/>
    <n v="17300"/>
  </r>
  <r>
    <n v="13365"/>
    <n v="13366"/>
    <x v="0"/>
    <s v="NY-00130"/>
    <s v="QUEENS"/>
    <n v="11694"/>
    <s v="QUEENS"/>
    <s v="NY"/>
    <n v="635460"/>
    <n v="488660"/>
    <n v="146800"/>
    <n v="147800"/>
    <n v="101200"/>
    <n v="46600"/>
  </r>
  <r>
    <n v="13365"/>
    <n v="13366"/>
    <x v="0"/>
    <s v="NY-00130"/>
    <s v="QUEENS"/>
    <n v="11697"/>
    <s v="NEW YORK"/>
    <s v="NY"/>
    <n v="32200"/>
    <n v="0"/>
    <n v="32200"/>
    <n v="0"/>
    <n v="0"/>
    <n v="0"/>
  </r>
  <r>
    <n v="13365"/>
    <n v="13366"/>
    <x v="0"/>
    <s v="NY-00130"/>
    <s v="QUEENS"/>
    <n v="11697"/>
    <s v="QUEENS"/>
    <s v="NY"/>
    <n v="465674"/>
    <n v="358084"/>
    <n v="107590"/>
    <n v="0"/>
    <n v="0"/>
    <n v="0"/>
  </r>
  <r>
    <n v="13365"/>
    <n v="13366"/>
    <x v="0"/>
    <s v="NY-00130"/>
    <s v="QUEENS VILLAGE"/>
    <n v="11427"/>
    <s v="QUEENS"/>
    <s v="NY"/>
    <n v="16231"/>
    <n v="7606"/>
    <n v="8625"/>
    <n v="12400"/>
    <n v="7700"/>
    <n v="4700"/>
  </r>
  <r>
    <n v="13365"/>
    <n v="13366"/>
    <x v="0"/>
    <s v="NY-00130"/>
    <s v="QUEENS VILLAGE"/>
    <n v="11428"/>
    <s v="QUEENS"/>
    <s v="NY"/>
    <n v="277872"/>
    <n v="249007"/>
    <n v="28865"/>
    <n v="82400"/>
    <n v="75800"/>
    <n v="6600"/>
  </r>
  <r>
    <n v="13365"/>
    <n v="13366"/>
    <x v="0"/>
    <s v="NY-00130"/>
    <s v="QUEENS VILLAGE"/>
    <n v="11429"/>
    <s v="QUEENS"/>
    <s v="NY"/>
    <n v="540013"/>
    <n v="476958"/>
    <n v="63055"/>
    <n v="76300"/>
    <n v="65900"/>
    <n v="10400"/>
  </r>
  <r>
    <n v="13365"/>
    <n v="13366"/>
    <x v="0"/>
    <s v="NY-00130"/>
    <s v="QUEENSVILLAGE"/>
    <n v="11429"/>
    <s v="QUEENS"/>
    <s v="NY"/>
    <n v="33423"/>
    <n v="33423"/>
    <n v="0"/>
    <n v="0"/>
    <n v="0"/>
    <n v="0"/>
  </r>
  <r>
    <n v="13365"/>
    <n v="13366"/>
    <x v="0"/>
    <s v="NY-00130"/>
    <s v="QUOGUE"/>
    <n v="11959"/>
    <s v="SUFFOLK"/>
    <s v="NY"/>
    <n v="590757"/>
    <n v="538957"/>
    <n v="51800"/>
    <n v="0"/>
    <n v="0"/>
    <n v="0"/>
  </r>
  <r>
    <n v="13365"/>
    <n v="13366"/>
    <x v="0"/>
    <s v="NY-00130"/>
    <s v="REGO PARK"/>
    <n v="11374"/>
    <s v="QUEENS"/>
    <s v="NY"/>
    <n v="13847"/>
    <n v="10272"/>
    <n v="3575"/>
    <n v="0"/>
    <n v="0"/>
    <n v="0"/>
  </r>
  <r>
    <n v="13365"/>
    <n v="13366"/>
    <x v="0"/>
    <s v="NY-00130"/>
    <s v="REMSENBURG"/>
    <n v="11960"/>
    <s v="SUFFOLK"/>
    <s v="NY"/>
    <n v="1166806"/>
    <n v="993924"/>
    <n v="172882"/>
    <n v="651200"/>
    <n v="564200"/>
    <n v="87000"/>
  </r>
  <r>
    <n v="13365"/>
    <n v="13366"/>
    <x v="0"/>
    <s v="NY-00130"/>
    <s v="RICHMOND HILL"/>
    <n v="11418"/>
    <s v="QUEENS"/>
    <s v="NY"/>
    <n v="105193"/>
    <n v="75961"/>
    <n v="29232"/>
    <n v="0"/>
    <n v="0"/>
    <n v="0"/>
  </r>
  <r>
    <n v="13365"/>
    <n v="13366"/>
    <x v="0"/>
    <s v="NY-00130"/>
    <s v="RICHMOND HILL"/>
    <n v="11419"/>
    <s v="QUEENS"/>
    <s v="NY"/>
    <n v="3045"/>
    <n v="3045"/>
    <n v="0"/>
    <n v="0"/>
    <n v="0"/>
    <n v="0"/>
  </r>
  <r>
    <n v="13365"/>
    <n v="13366"/>
    <x v="0"/>
    <s v="NY-00130"/>
    <s v="RIDGE"/>
    <n v="11961"/>
    <s v="SUFFOLK"/>
    <s v="NY"/>
    <n v="8075"/>
    <n v="8075"/>
    <n v="0"/>
    <n v="0"/>
    <n v="0"/>
    <n v="0"/>
  </r>
  <r>
    <n v="13365"/>
    <n v="13366"/>
    <x v="0"/>
    <s v="NY-00130"/>
    <s v="RIDGEWOOD"/>
    <n v="11385"/>
    <s v="QUEENS"/>
    <s v="NY"/>
    <n v="81436"/>
    <n v="68938"/>
    <n v="12498"/>
    <n v="6000"/>
    <n v="0"/>
    <n v="6000"/>
  </r>
  <r>
    <n v="13365"/>
    <n v="13366"/>
    <x v="0"/>
    <s v="NY-00130"/>
    <s v="RIVERDALE"/>
    <n v="10471"/>
    <s v="BRONX"/>
    <s v="NY"/>
    <n v="225344"/>
    <n v="222344"/>
    <n v="3000"/>
    <n v="0"/>
    <n v="0"/>
    <n v="0"/>
  </r>
  <r>
    <n v="13365"/>
    <n v="13366"/>
    <x v="0"/>
    <s v="NY-00130"/>
    <s v="RIVERHEAD"/>
    <n v="11901"/>
    <s v="SUFFOLK"/>
    <s v="NY"/>
    <n v="1178130"/>
    <n v="1034219"/>
    <n v="143911"/>
    <n v="62400"/>
    <n v="48100"/>
    <n v="14300"/>
  </r>
  <r>
    <n v="13365"/>
    <n v="13366"/>
    <x v="0"/>
    <s v="NY-00130"/>
    <s v="ROACKAWAY"/>
    <n v="11694"/>
    <s v="QUEENS"/>
    <s v="NY"/>
    <n v="12825"/>
    <n v="0"/>
    <n v="12825"/>
    <n v="12900"/>
    <n v="0"/>
    <n v="12900"/>
  </r>
  <r>
    <n v="13365"/>
    <n v="13366"/>
    <x v="0"/>
    <s v="NY-00130"/>
    <s v="ROACKAWAY BEACH"/>
    <n v="11693"/>
    <s v="QUEENS"/>
    <s v="NY"/>
    <n v="94035"/>
    <n v="70035"/>
    <n v="24000"/>
    <n v="71400"/>
    <n v="53900"/>
    <n v="17500"/>
  </r>
  <r>
    <n v="13365"/>
    <n v="13366"/>
    <x v="0"/>
    <s v="NY-00130"/>
    <s v="ROACKAWAY PARK"/>
    <n v="11694"/>
    <s v="QUEENS"/>
    <s v="NY"/>
    <n v="19455"/>
    <n v="0"/>
    <n v="19455"/>
    <n v="14000"/>
    <n v="0"/>
    <n v="14000"/>
  </r>
  <r>
    <n v="13365"/>
    <n v="13366"/>
    <x v="0"/>
    <s v="NY-00130"/>
    <s v="ROCK HILL"/>
    <n v="12775"/>
    <s v="SULLIVAN"/>
    <s v="NY"/>
    <n v="79708"/>
    <n v="78408"/>
    <n v="1300"/>
    <n v="0"/>
    <n v="0"/>
    <n v="0"/>
  </r>
  <r>
    <n v="13365"/>
    <n v="13366"/>
    <x v="0"/>
    <s v="NY-00130"/>
    <s v="ROCKAWA PARK"/>
    <n v="11694"/>
    <s v="QUEENS"/>
    <s v="NY"/>
    <n v="11275"/>
    <n v="0"/>
    <n v="11275"/>
    <n v="0"/>
    <n v="0"/>
    <n v="0"/>
  </r>
  <r>
    <n v="13365"/>
    <n v="13366"/>
    <x v="0"/>
    <s v="NY-00130"/>
    <s v="ROCKAWAAY PARK"/>
    <n v="11694"/>
    <s v="QUEENS"/>
    <s v="NY"/>
    <n v="2150"/>
    <n v="0"/>
    <n v="2150"/>
    <n v="0"/>
    <n v="0"/>
    <n v="0"/>
  </r>
  <r>
    <n v="13365"/>
    <n v="13366"/>
    <x v="0"/>
    <s v="NY-00130"/>
    <s v="ROCKAWAY"/>
    <n v="11692"/>
    <s v="QUEENS"/>
    <s v="NY"/>
    <n v="117654"/>
    <n v="87209"/>
    <n v="30445"/>
    <n v="88500"/>
    <n v="72300"/>
    <n v="16200"/>
  </r>
  <r>
    <n v="13365"/>
    <n v="13366"/>
    <x v="0"/>
    <s v="NY-00130"/>
    <s v="ROCKAWAY"/>
    <n v="11693"/>
    <s v="NEW YORK"/>
    <s v="NY"/>
    <n v="23829"/>
    <n v="14204"/>
    <n v="9625"/>
    <n v="0"/>
    <n v="0"/>
    <n v="0"/>
  </r>
  <r>
    <n v="13365"/>
    <n v="13366"/>
    <x v="0"/>
    <s v="NY-00130"/>
    <s v="ROCKAWAY"/>
    <n v="11693"/>
    <s v="QUEENS"/>
    <s v="NY"/>
    <n v="482396"/>
    <n v="172082"/>
    <n v="310314"/>
    <n v="14100"/>
    <n v="0"/>
    <n v="14100"/>
  </r>
  <r>
    <n v="13365"/>
    <n v="13366"/>
    <x v="0"/>
    <s v="NY-00130"/>
    <s v="ROCKAWAY"/>
    <n v="11694"/>
    <s v="QUEENS"/>
    <s v="NY"/>
    <n v="3678335"/>
    <n v="2443638"/>
    <n v="1234697"/>
    <n v="1526100"/>
    <n v="1095500"/>
    <n v="430600"/>
  </r>
  <r>
    <n v="13365"/>
    <n v="13366"/>
    <x v="0"/>
    <s v="NY-00130"/>
    <s v="ROCKAWAY"/>
    <n v="11697"/>
    <s v="QUEENS"/>
    <s v="NY"/>
    <n v="440455"/>
    <n v="299585"/>
    <n v="140870"/>
    <n v="320200"/>
    <n v="192600"/>
    <n v="127600"/>
  </r>
  <r>
    <n v="13365"/>
    <n v="13366"/>
    <x v="0"/>
    <s v="NY-00130"/>
    <s v="ROCKAWAY  BEACH"/>
    <n v="11693"/>
    <s v="QUEENS"/>
    <s v="NY"/>
    <n v="9675"/>
    <n v="3383"/>
    <n v="6292"/>
    <n v="9600"/>
    <n v="3300"/>
    <n v="6300"/>
  </r>
  <r>
    <n v="13365"/>
    <n v="13366"/>
    <x v="0"/>
    <s v="NY-00130"/>
    <s v="ROCKAWAY  BEACH"/>
    <n v="11694"/>
    <s v="QUEENS"/>
    <s v="NY"/>
    <n v="44952"/>
    <n v="0"/>
    <n v="44952"/>
    <n v="0"/>
    <n v="0"/>
    <n v="0"/>
  </r>
  <r>
    <n v="13365"/>
    <n v="13366"/>
    <x v="0"/>
    <s v="NY-00130"/>
    <s v="ROCKAWAY BEAC"/>
    <n v="11693"/>
    <s v="QUEENS"/>
    <s v="NY"/>
    <n v="341438"/>
    <n v="251558"/>
    <n v="89880"/>
    <n v="72000"/>
    <n v="48200"/>
    <n v="23800"/>
  </r>
  <r>
    <n v="13365"/>
    <n v="13366"/>
    <x v="0"/>
    <s v="NY-00130"/>
    <s v="ROCKAWAY BEACH"/>
    <n v="11639"/>
    <s v="QUEENS"/>
    <s v="NY"/>
    <n v="13800"/>
    <n v="0"/>
    <n v="13800"/>
    <n v="0"/>
    <n v="0"/>
    <n v="0"/>
  </r>
  <r>
    <n v="13365"/>
    <n v="13366"/>
    <x v="0"/>
    <s v="NY-00130"/>
    <s v="ROCKAWAY BEACH"/>
    <n v="11692"/>
    <s v="QUEENS"/>
    <s v="NY"/>
    <n v="119970"/>
    <n v="0"/>
    <n v="119970"/>
    <n v="20900"/>
    <n v="0"/>
    <n v="20900"/>
  </r>
  <r>
    <n v="13365"/>
    <n v="13366"/>
    <x v="0"/>
    <s v="NY-00130"/>
    <s v="ROCKAWAY BEACH"/>
    <n v="11693"/>
    <s v="KINGS"/>
    <s v="NY"/>
    <n v="10350"/>
    <n v="0"/>
    <n v="10350"/>
    <n v="10400"/>
    <n v="0"/>
    <n v="10400"/>
  </r>
  <r>
    <n v="13365"/>
    <n v="13366"/>
    <x v="0"/>
    <s v="NY-00130"/>
    <s v="ROCKAWAY BEACH"/>
    <n v="11693"/>
    <s v="NEW YORK"/>
    <s v="NY"/>
    <n v="48730"/>
    <n v="18255"/>
    <n v="30475"/>
    <n v="12500"/>
    <n v="0"/>
    <n v="12500"/>
  </r>
  <r>
    <n v="13365"/>
    <n v="13366"/>
    <x v="0"/>
    <s v="NY-00130"/>
    <s v="ROCKAWAY BEACH"/>
    <n v="11693"/>
    <s v="QUEENS"/>
    <s v="NY"/>
    <n v="15814755"/>
    <n v="8541847"/>
    <n v="7272908"/>
    <n v="5408400"/>
    <n v="2679200"/>
    <n v="2729200"/>
  </r>
  <r>
    <n v="13365"/>
    <n v="13366"/>
    <x v="0"/>
    <s v="NY-00130"/>
    <s v="ROCKAWAY BEACH"/>
    <n v="11694"/>
    <s v="QUEENS"/>
    <s v="NY"/>
    <n v="1207783"/>
    <n v="688162"/>
    <n v="519621"/>
    <n v="511000"/>
    <n v="331000"/>
    <n v="180000"/>
  </r>
  <r>
    <n v="13365"/>
    <n v="13366"/>
    <x v="0"/>
    <s v="NY-00130"/>
    <s v="ROCKAWAY BEACH"/>
    <n v="11963"/>
    <s v="QUEENS"/>
    <s v="NY"/>
    <n v="10662"/>
    <n v="0"/>
    <n v="10662"/>
    <n v="0"/>
    <n v="0"/>
    <n v="0"/>
  </r>
  <r>
    <n v="13365"/>
    <n v="13366"/>
    <x v="0"/>
    <s v="NY-00130"/>
    <s v="ROCKAWAY BLVD"/>
    <n v="11693"/>
    <s v="QUEENS"/>
    <s v="NY"/>
    <n v="109731"/>
    <n v="95481"/>
    <n v="14250"/>
    <n v="0"/>
    <n v="0"/>
    <n v="0"/>
  </r>
  <r>
    <n v="13365"/>
    <n v="13366"/>
    <x v="0"/>
    <s v="NY-00130"/>
    <s v="ROCKAWAY PARK"/>
    <n v="11692"/>
    <s v="QUEENS"/>
    <s v="NY"/>
    <n v="3512"/>
    <n v="0"/>
    <n v="3512"/>
    <n v="0"/>
    <n v="0"/>
    <n v="0"/>
  </r>
  <r>
    <n v="13365"/>
    <n v="13366"/>
    <x v="0"/>
    <s v="NY-00130"/>
    <s v="ROCKAWAY PARK"/>
    <n v="11693"/>
    <s v="QUEENS"/>
    <s v="NY"/>
    <n v="32750"/>
    <n v="0"/>
    <n v="32750"/>
    <n v="0"/>
    <n v="0"/>
    <n v="0"/>
  </r>
  <r>
    <n v="13365"/>
    <n v="13366"/>
    <x v="0"/>
    <s v="NY-00130"/>
    <s v="ROCKAWAY PARK"/>
    <n v="11694"/>
    <s v="KINGS"/>
    <s v="NY"/>
    <n v="160594"/>
    <n v="121194"/>
    <n v="39400"/>
    <n v="0"/>
    <n v="0"/>
    <n v="0"/>
  </r>
  <r>
    <n v="13365"/>
    <n v="13366"/>
    <x v="0"/>
    <s v="NY-00130"/>
    <s v="ROCKAWAY PARK"/>
    <n v="11694"/>
    <s v="NASSAU"/>
    <s v="NY"/>
    <n v="22600"/>
    <n v="0"/>
    <n v="22600"/>
    <n v="0"/>
    <n v="0"/>
    <n v="0"/>
  </r>
  <r>
    <n v="13365"/>
    <n v="13366"/>
    <x v="0"/>
    <s v="NY-00130"/>
    <s v="ROCKAWAY PARK"/>
    <n v="11694"/>
    <s v="NEW YORK"/>
    <s v="NY"/>
    <n v="383041"/>
    <n v="256876"/>
    <n v="126165"/>
    <n v="24100"/>
    <n v="0"/>
    <n v="24100"/>
  </r>
  <r>
    <n v="13365"/>
    <n v="13366"/>
    <x v="0"/>
    <s v="NY-00130"/>
    <s v="ROCKAWAY PARK"/>
    <n v="11694"/>
    <s v="QUEENS"/>
    <s v="NY"/>
    <n v="82476437"/>
    <n v="53267310"/>
    <n v="29209127"/>
    <n v="38451800"/>
    <n v="24788000"/>
    <n v="13663800"/>
  </r>
  <r>
    <n v="13365"/>
    <n v="13366"/>
    <x v="0"/>
    <s v="NY-00130"/>
    <s v="ROCKAWAY PARK"/>
    <n v="11964"/>
    <s v="QUEENS"/>
    <s v="NY"/>
    <n v="98176"/>
    <n v="56526"/>
    <n v="41650"/>
    <n v="0"/>
    <n v="0"/>
    <n v="0"/>
  </r>
  <r>
    <n v="13365"/>
    <n v="13366"/>
    <x v="0"/>
    <s v="NY-00130"/>
    <s v="ROCKAWAY PARK,NY"/>
    <n v="11694"/>
    <s v="QUEENS"/>
    <s v="NY"/>
    <n v="35475"/>
    <n v="0"/>
    <n v="35475"/>
    <n v="0"/>
    <n v="0"/>
    <n v="0"/>
  </r>
  <r>
    <n v="13365"/>
    <n v="13366"/>
    <x v="0"/>
    <s v="NY-00130"/>
    <s v="ROCKAWAY PARKWAY"/>
    <n v="11693"/>
    <s v="QUEENS"/>
    <s v="NY"/>
    <n v="16460"/>
    <n v="0"/>
    <n v="16460"/>
    <n v="0"/>
    <n v="0"/>
    <n v="0"/>
  </r>
  <r>
    <n v="13365"/>
    <n v="13366"/>
    <x v="0"/>
    <s v="NY-00130"/>
    <s v="ROCKAWAY POINT"/>
    <n v="11691"/>
    <s v="QUEENS"/>
    <s v="NY"/>
    <n v="155573"/>
    <n v="125023"/>
    <n v="30550"/>
    <n v="0"/>
    <n v="0"/>
    <n v="0"/>
  </r>
  <r>
    <n v="13365"/>
    <n v="13366"/>
    <x v="0"/>
    <s v="NY-00130"/>
    <s v="ROCKAWAY POINT"/>
    <n v="11694"/>
    <s v="QUEENS"/>
    <s v="NY"/>
    <n v="65084"/>
    <n v="49584"/>
    <n v="15500"/>
    <n v="57100"/>
    <n v="41600"/>
    <n v="15500"/>
  </r>
  <r>
    <n v="13365"/>
    <n v="13366"/>
    <x v="0"/>
    <s v="NY-00130"/>
    <s v="ROCKAWAY POINT"/>
    <n v="11697"/>
    <s v="NEW YORK"/>
    <s v="NY"/>
    <n v="173639"/>
    <n v="131014"/>
    <n v="42625"/>
    <n v="102100"/>
    <n v="76600"/>
    <n v="25500"/>
  </r>
  <r>
    <n v="13365"/>
    <n v="13366"/>
    <x v="0"/>
    <s v="NY-00130"/>
    <s v="ROCKAWAY POINT"/>
    <n v="11697"/>
    <s v="QUEENS"/>
    <s v="NY"/>
    <n v="34612512"/>
    <n v="25678931"/>
    <n v="8933581"/>
    <n v="15861700"/>
    <n v="10486800"/>
    <n v="5374900"/>
  </r>
  <r>
    <n v="13365"/>
    <n v="13366"/>
    <x v="0"/>
    <s v="NY-00130"/>
    <s v="ROCKAWAY POINT"/>
    <n v="11934"/>
    <s v="QUEENS"/>
    <s v="NY"/>
    <n v="178012"/>
    <n v="138112"/>
    <n v="39900"/>
    <n v="0"/>
    <n v="0"/>
    <n v="0"/>
  </r>
  <r>
    <n v="13365"/>
    <n v="13366"/>
    <x v="0"/>
    <s v="NY-00130"/>
    <s v="ROCKAWAY PT"/>
    <n v="11697"/>
    <s v="QUEENS"/>
    <s v="NY"/>
    <n v="1690601"/>
    <n v="1218086"/>
    <n v="472515"/>
    <n v="942600"/>
    <n v="643400"/>
    <n v="299200"/>
  </r>
  <r>
    <n v="13365"/>
    <n v="13366"/>
    <x v="0"/>
    <s v="NY-00130"/>
    <s v="ROCKAWAYBEACH"/>
    <n v="11693"/>
    <s v="QUEENS"/>
    <s v="NY"/>
    <n v="88199"/>
    <n v="62499"/>
    <n v="25700"/>
    <n v="49900"/>
    <n v="24200"/>
    <n v="25700"/>
  </r>
  <r>
    <n v="13365"/>
    <n v="13366"/>
    <x v="0"/>
    <s v="NY-00130"/>
    <s v="ROCKAWAYS"/>
    <n v="11694"/>
    <s v="QUEENS"/>
    <s v="NY"/>
    <n v="12050"/>
    <n v="0"/>
    <n v="12050"/>
    <n v="12100"/>
    <n v="0"/>
    <n v="12100"/>
  </r>
  <r>
    <n v="13365"/>
    <n v="13366"/>
    <x v="0"/>
    <s v="NY-00130"/>
    <s v="ROCKAWY BEACH"/>
    <n v="11693"/>
    <s v="QUEENS"/>
    <s v="NY"/>
    <n v="3000"/>
    <n v="0"/>
    <n v="3000"/>
    <n v="0"/>
    <n v="0"/>
    <n v="0"/>
  </r>
  <r>
    <n v="13365"/>
    <n v="13366"/>
    <x v="0"/>
    <s v="NY-00130"/>
    <s v="ROCKAWY PARK"/>
    <n v="11695"/>
    <s v="QUEENS"/>
    <s v="NY"/>
    <n v="5625"/>
    <n v="0"/>
    <n v="5625"/>
    <n v="0"/>
    <n v="0"/>
    <n v="0"/>
  </r>
  <r>
    <n v="13365"/>
    <n v="13366"/>
    <x v="0"/>
    <s v="NY-00130"/>
    <s v="ROCKVILLE CENTER"/>
    <n v="11570"/>
    <s v="NASSAU"/>
    <s v="NY"/>
    <n v="25906"/>
    <n v="16994"/>
    <n v="8912"/>
    <n v="0"/>
    <n v="0"/>
    <n v="0"/>
  </r>
  <r>
    <n v="13365"/>
    <n v="13366"/>
    <x v="0"/>
    <s v="NY-00130"/>
    <s v="ROCKVILLE CENTRE"/>
    <n v="11570"/>
    <s v="NASSAU"/>
    <s v="NY"/>
    <n v="886675"/>
    <n v="719242"/>
    <n v="167433"/>
    <n v="385200"/>
    <n v="320200"/>
    <n v="65000"/>
  </r>
  <r>
    <n v="13365"/>
    <n v="13366"/>
    <x v="0"/>
    <s v="NY-00130"/>
    <s v="ROCKVILLE CTR"/>
    <n v="11570"/>
    <s v="NASSAU"/>
    <s v="NY"/>
    <n v="106586"/>
    <n v="81526"/>
    <n v="25060"/>
    <n v="0"/>
    <n v="0"/>
    <n v="0"/>
  </r>
  <r>
    <n v="13365"/>
    <n v="13366"/>
    <x v="0"/>
    <s v="NY-00130"/>
    <s v="ROCKWAY"/>
    <n v="11694"/>
    <s v="QUEENS"/>
    <s v="NY"/>
    <n v="17955"/>
    <n v="0"/>
    <n v="17955"/>
    <n v="18000"/>
    <n v="0"/>
    <n v="18000"/>
  </r>
  <r>
    <n v="13365"/>
    <n v="13366"/>
    <x v="0"/>
    <s v="NY-00130"/>
    <s v="ROCKWAY BEACH"/>
    <n v="11693"/>
    <s v="QUEENS"/>
    <s v="NY"/>
    <n v="62200"/>
    <n v="0"/>
    <n v="62200"/>
    <n v="13500"/>
    <n v="0"/>
    <n v="13500"/>
  </r>
  <r>
    <n v="13365"/>
    <n v="13366"/>
    <x v="0"/>
    <s v="NY-00130"/>
    <s v="ROCKWAY PARK"/>
    <n v="11694"/>
    <s v="QUEENS"/>
    <s v="NY"/>
    <n v="162252"/>
    <n v="57827"/>
    <n v="104425"/>
    <n v="55900"/>
    <n v="15900"/>
    <n v="40000"/>
  </r>
  <r>
    <n v="13365"/>
    <n v="13366"/>
    <x v="0"/>
    <s v="NY-00130"/>
    <s v="ROCKWAY POINT"/>
    <n v="11697"/>
    <s v="QUEENS"/>
    <s v="NY"/>
    <n v="170906"/>
    <n v="113581"/>
    <n v="57325"/>
    <n v="76800"/>
    <n v="36800"/>
    <n v="40000"/>
  </r>
  <r>
    <n v="13365"/>
    <n v="13366"/>
    <x v="0"/>
    <s v="NY-00130"/>
    <s v="ROCKY POINT"/>
    <n v="11778"/>
    <s v="SUFFOLK"/>
    <s v="NY"/>
    <n v="700511"/>
    <n v="679486"/>
    <n v="21025"/>
    <n v="356700"/>
    <n v="355500"/>
    <n v="1200"/>
  </r>
  <r>
    <n v="13365"/>
    <n v="13366"/>
    <x v="0"/>
    <s v="NY-00130"/>
    <s v="RONKONKOMA"/>
    <n v="11779"/>
    <s v="SUFFOLK"/>
    <s v="NY"/>
    <n v="365027"/>
    <n v="325847"/>
    <n v="39180"/>
    <n v="130600"/>
    <n v="122900"/>
    <n v="7700"/>
  </r>
  <r>
    <n v="13365"/>
    <n v="13366"/>
    <x v="0"/>
    <s v="NY-00130"/>
    <s v="RONKONKOMA"/>
    <n v="11799"/>
    <s v="SUFFOLK"/>
    <s v="NY"/>
    <n v="6670"/>
    <n v="6670"/>
    <n v="0"/>
    <n v="0"/>
    <n v="0"/>
    <n v="0"/>
  </r>
  <r>
    <n v="13365"/>
    <n v="13366"/>
    <x v="0"/>
    <s v="NY-00130"/>
    <s v="RONX"/>
    <n v="10471"/>
    <s v="BRONX"/>
    <s v="NY"/>
    <n v="9103"/>
    <n v="8803"/>
    <n v="300"/>
    <n v="0"/>
    <n v="0"/>
    <n v="0"/>
  </r>
  <r>
    <n v="13365"/>
    <n v="13366"/>
    <x v="0"/>
    <s v="NY-00130"/>
    <s v="ROOSEVELT"/>
    <n v="11575"/>
    <s v="NASSAU"/>
    <s v="NY"/>
    <n v="484544"/>
    <n v="397484"/>
    <n v="87060"/>
    <n v="87400"/>
    <n v="57500"/>
    <n v="29900"/>
  </r>
  <r>
    <n v="13365"/>
    <n v="13366"/>
    <x v="0"/>
    <s v="NY-00130"/>
    <s v="ROOSEVELT"/>
    <n v="11575"/>
    <s v="NEW YORK"/>
    <s v="NY"/>
    <n v="24558"/>
    <n v="22558"/>
    <n v="2000"/>
    <n v="0"/>
    <n v="0"/>
    <n v="0"/>
  </r>
  <r>
    <n v="13365"/>
    <n v="13366"/>
    <x v="0"/>
    <s v="NY-00130"/>
    <s v="ROSDALE"/>
    <n v="11422"/>
    <s v="QUEENS"/>
    <s v="NY"/>
    <n v="55243"/>
    <n v="39481"/>
    <n v="15762"/>
    <n v="41400"/>
    <n v="30100"/>
    <n v="11300"/>
  </r>
  <r>
    <n v="13365"/>
    <n v="13366"/>
    <x v="0"/>
    <s v="NY-00130"/>
    <s v="ROSEDALE"/>
    <n v="11413"/>
    <s v="QUEENS"/>
    <s v="NY"/>
    <n v="26300"/>
    <n v="0"/>
    <n v="26300"/>
    <n v="9500"/>
    <n v="0"/>
    <n v="9500"/>
  </r>
  <r>
    <n v="13365"/>
    <n v="13366"/>
    <x v="0"/>
    <s v="NY-00130"/>
    <s v="ROSEDALE"/>
    <n v="11422"/>
    <s v="NASSAU"/>
    <s v="NY"/>
    <n v="31600"/>
    <n v="0"/>
    <n v="31600"/>
    <n v="0"/>
    <n v="0"/>
    <n v="0"/>
  </r>
  <r>
    <n v="13365"/>
    <n v="13366"/>
    <x v="0"/>
    <s v="NY-00130"/>
    <s v="ROSEDALE"/>
    <n v="11422"/>
    <s v="QUEENS"/>
    <s v="NY"/>
    <n v="8801505"/>
    <n v="5179130"/>
    <n v="3622375"/>
    <n v="2860200"/>
    <n v="1582600"/>
    <n v="1277600"/>
  </r>
  <r>
    <n v="13365"/>
    <n v="13366"/>
    <x v="0"/>
    <s v="NY-00130"/>
    <s v="ROSEDALE"/>
    <n v="11422"/>
    <s v="ROCKLAND"/>
    <s v="NY"/>
    <n v="4150"/>
    <n v="0"/>
    <n v="4150"/>
    <n v="4200"/>
    <n v="0"/>
    <n v="4200"/>
  </r>
  <r>
    <n v="13365"/>
    <n v="13366"/>
    <x v="0"/>
    <s v="NY-00130"/>
    <s v="ROSLYN"/>
    <n v="11576"/>
    <s v="NASSAU"/>
    <s v="NY"/>
    <n v="416146"/>
    <n v="386031"/>
    <n v="30115"/>
    <n v="101400"/>
    <n v="91700"/>
    <n v="9700"/>
  </r>
  <r>
    <n v="13365"/>
    <n v="13366"/>
    <x v="0"/>
    <s v="NY-00130"/>
    <s v="ROSLYN HEIGHTS"/>
    <n v="11577"/>
    <s v="NASSAU"/>
    <s v="NY"/>
    <n v="608842"/>
    <n v="535647"/>
    <n v="73195"/>
    <n v="214700"/>
    <n v="189400"/>
    <n v="25300"/>
  </r>
  <r>
    <n v="13365"/>
    <n v="13366"/>
    <x v="0"/>
    <s v="NY-00130"/>
    <s v="ROSLYN HTS"/>
    <n v="11577"/>
    <s v="NASSAU"/>
    <s v="NY"/>
    <n v="43400"/>
    <n v="43400"/>
    <n v="0"/>
    <n v="0"/>
    <n v="0"/>
    <n v="0"/>
  </r>
  <r>
    <n v="13365"/>
    <n v="13366"/>
    <x v="0"/>
    <s v="NY-00130"/>
    <s v="ROXBURY"/>
    <n v="11374"/>
    <s v="QUEENS"/>
    <s v="NY"/>
    <n v="71425"/>
    <n v="51875"/>
    <n v="19550"/>
    <n v="0"/>
    <n v="0"/>
    <n v="0"/>
  </r>
  <r>
    <n v="13365"/>
    <n v="13366"/>
    <x v="0"/>
    <s v="NY-00130"/>
    <s v="ROXBURY"/>
    <n v="11379"/>
    <s v="QUEENS"/>
    <s v="NY"/>
    <n v="33079"/>
    <n v="26829"/>
    <n v="6250"/>
    <n v="9300"/>
    <n v="3100"/>
    <n v="6200"/>
  </r>
  <r>
    <n v="13365"/>
    <n v="13366"/>
    <x v="0"/>
    <s v="NY-00130"/>
    <s v="ROXBURY"/>
    <n v="11691"/>
    <s v="QUEENS"/>
    <s v="NY"/>
    <n v="71343"/>
    <n v="50543"/>
    <n v="20800"/>
    <n v="0"/>
    <n v="0"/>
    <n v="0"/>
  </r>
  <r>
    <n v="13365"/>
    <n v="13366"/>
    <x v="0"/>
    <s v="NY-00130"/>
    <s v="ROXBURY"/>
    <n v="11697"/>
    <s v="QUEENS"/>
    <s v="NY"/>
    <n v="246910"/>
    <n v="167980"/>
    <n v="78930"/>
    <n v="112100"/>
    <n v="63200"/>
    <n v="48900"/>
  </r>
  <r>
    <n v="13365"/>
    <n v="13366"/>
    <x v="0"/>
    <s v="NY-00130"/>
    <s v="RYE"/>
    <n v="10580"/>
    <s v="WESTCHESTER"/>
    <s v="NY"/>
    <n v="803138"/>
    <n v="726058"/>
    <n v="77080"/>
    <n v="176600"/>
    <n v="117300"/>
    <n v="59300"/>
  </r>
  <r>
    <n v="13365"/>
    <n v="13366"/>
    <x v="0"/>
    <s v="NY-00130"/>
    <s v="RYE BROOK"/>
    <n v="10573"/>
    <s v="WESTCHESTER"/>
    <s v="NY"/>
    <n v="42155"/>
    <n v="41155"/>
    <n v="1000"/>
    <n v="25200"/>
    <n v="24200"/>
    <n v="1000"/>
  </r>
  <r>
    <n v="13365"/>
    <n v="13366"/>
    <x v="0"/>
    <s v="NY-00130"/>
    <s v="S I"/>
    <n v="10306"/>
    <s v="RICHMOND"/>
    <s v="NY"/>
    <n v="17050"/>
    <n v="0"/>
    <n v="17050"/>
    <n v="0"/>
    <n v="0"/>
    <n v="0"/>
  </r>
  <r>
    <n v="13365"/>
    <n v="13366"/>
    <x v="0"/>
    <s v="NY-00130"/>
    <s v="S JAMESPORT"/>
    <n v="11947"/>
    <s v="SUFFOLK"/>
    <s v="NY"/>
    <n v="300502"/>
    <n v="274387"/>
    <n v="26115"/>
    <n v="0"/>
    <n v="0"/>
    <n v="0"/>
  </r>
  <r>
    <n v="13365"/>
    <n v="13366"/>
    <x v="0"/>
    <s v="NY-00130"/>
    <s v="SAG HARBOR"/>
    <n v="11963"/>
    <s v="SUFFOLK"/>
    <s v="NY"/>
    <n v="401717"/>
    <n v="351442"/>
    <n v="50275"/>
    <n v="256900"/>
    <n v="211800"/>
    <n v="45100"/>
  </r>
  <r>
    <n v="13365"/>
    <n v="13366"/>
    <x v="0"/>
    <s v="NY-00130"/>
    <s v="SAGAPONACK"/>
    <n v="11962"/>
    <s v="SUFFOLK"/>
    <s v="NY"/>
    <n v="115638"/>
    <n v="106113"/>
    <n v="9525"/>
    <n v="0"/>
    <n v="0"/>
    <n v="0"/>
  </r>
  <r>
    <n v="13365"/>
    <n v="13366"/>
    <x v="0"/>
    <s v="NY-00130"/>
    <s v="SAINT ALBANS"/>
    <n v="11412"/>
    <s v="QUEENS"/>
    <s v="NY"/>
    <n v="246608"/>
    <n v="211913"/>
    <n v="34695"/>
    <n v="147500"/>
    <n v="118200"/>
    <n v="29300"/>
  </r>
  <r>
    <n v="13365"/>
    <n v="13366"/>
    <x v="0"/>
    <s v="NY-00130"/>
    <s v="SAINT JAMES"/>
    <n v="11780"/>
    <s v="SUFFOLK"/>
    <s v="NY"/>
    <n v="482744"/>
    <n v="378144"/>
    <n v="104600"/>
    <n v="185900"/>
    <n v="151600"/>
    <n v="34300"/>
  </r>
  <r>
    <n v="13365"/>
    <n v="13366"/>
    <x v="0"/>
    <s v="NY-00130"/>
    <s v="SALTAIRE"/>
    <n v="11706"/>
    <s v="SUFFOLK"/>
    <s v="NY"/>
    <n v="19810"/>
    <n v="18035"/>
    <n v="1775"/>
    <n v="19600"/>
    <n v="17800"/>
    <n v="1800"/>
  </r>
  <r>
    <n v="13365"/>
    <n v="13366"/>
    <x v="0"/>
    <s v="NY-00130"/>
    <s v="SANDS POINT"/>
    <n v="11050"/>
    <s v="NASSAU"/>
    <s v="NY"/>
    <n v="263853"/>
    <n v="248353"/>
    <n v="15500"/>
    <n v="165000"/>
    <n v="150500"/>
    <n v="14500"/>
  </r>
  <r>
    <n v="13365"/>
    <n v="13366"/>
    <x v="0"/>
    <s v="NY-00130"/>
    <s v="SATEN ISLAND"/>
    <n v="10304"/>
    <s v="RICHMOND"/>
    <s v="NY"/>
    <n v="26909"/>
    <n v="12134"/>
    <n v="14775"/>
    <n v="0"/>
    <n v="0"/>
    <n v="0"/>
  </r>
  <r>
    <n v="13365"/>
    <n v="13366"/>
    <x v="0"/>
    <s v="NY-00130"/>
    <s v="SAUGERTIES"/>
    <n v="12477"/>
    <s v="ULSTER"/>
    <s v="NY"/>
    <n v="251328"/>
    <n v="210478"/>
    <n v="40850"/>
    <n v="143500"/>
    <n v="112500"/>
    <n v="31000"/>
  </r>
  <r>
    <n v="13365"/>
    <n v="13366"/>
    <x v="0"/>
    <s v="NY-00130"/>
    <s v="SAYVILLE"/>
    <n v="11782"/>
    <s v="SUFFOLK"/>
    <s v="NY"/>
    <n v="2039181"/>
    <n v="1572791"/>
    <n v="466390"/>
    <n v="815400"/>
    <n v="602900"/>
    <n v="212500"/>
  </r>
  <r>
    <n v="13365"/>
    <n v="13366"/>
    <x v="0"/>
    <s v="NY-00130"/>
    <s v="SCARSDALE"/>
    <n v="10583"/>
    <s v="WESTCHESTER"/>
    <s v="NY"/>
    <n v="137059"/>
    <n v="135709"/>
    <n v="1350"/>
    <n v="14000"/>
    <n v="14000"/>
    <n v="0"/>
  </r>
  <r>
    <n v="13365"/>
    <n v="13366"/>
    <x v="0"/>
    <s v="NY-00130"/>
    <s v="SEAFORD"/>
    <n v="11783"/>
    <s v="NASSAU"/>
    <s v="NY"/>
    <n v="51942404"/>
    <n v="37420323"/>
    <n v="14522081"/>
    <n v="24489900"/>
    <n v="16689700"/>
    <n v="7800200"/>
  </r>
  <r>
    <n v="13365"/>
    <n v="13366"/>
    <x v="0"/>
    <s v="NY-00130"/>
    <s v="SEAFORD"/>
    <n v="11787"/>
    <s v="NASSAU"/>
    <s v="NY"/>
    <n v="181841"/>
    <n v="151066"/>
    <n v="30775"/>
    <n v="91700"/>
    <n v="61500"/>
    <n v="30200"/>
  </r>
  <r>
    <n v="13365"/>
    <n v="13366"/>
    <x v="0"/>
    <s v="NY-00130"/>
    <s v="SEAFORD HARBOR"/>
    <n v="11783"/>
    <s v="NASSAU"/>
    <s v="NY"/>
    <n v="111575"/>
    <n v="101035"/>
    <n v="10540"/>
    <n v="35900"/>
    <n v="25400"/>
    <n v="10500"/>
  </r>
  <r>
    <n v="13365"/>
    <n v="13366"/>
    <x v="0"/>
    <s v="NY-00130"/>
    <s v="SEA-GATE"/>
    <n v="11224"/>
    <s v="KINGS"/>
    <s v="NY"/>
    <n v="269156"/>
    <n v="151585"/>
    <n v="117571"/>
    <n v="0"/>
    <n v="0"/>
    <n v="0"/>
  </r>
  <r>
    <n v="13365"/>
    <n v="13366"/>
    <x v="0"/>
    <s v="NY-00130"/>
    <s v="SEAVIEW"/>
    <n v="11770"/>
    <s v="SUFFOLK"/>
    <s v="NY"/>
    <n v="209382"/>
    <n v="169782"/>
    <n v="39600"/>
    <n v="0"/>
    <n v="0"/>
    <n v="0"/>
  </r>
  <r>
    <n v="13365"/>
    <n v="13366"/>
    <x v="0"/>
    <s v="NY-00130"/>
    <s v="SELDEN"/>
    <n v="11784"/>
    <s v="SUFFOLK"/>
    <s v="NY"/>
    <n v="78581"/>
    <n v="72506"/>
    <n v="6075"/>
    <n v="8000"/>
    <n v="5000"/>
    <n v="3000"/>
  </r>
  <r>
    <n v="13365"/>
    <n v="13366"/>
    <x v="0"/>
    <s v="NY-00130"/>
    <s v="SETAUKET"/>
    <n v="11733"/>
    <s v="SUFFOLK"/>
    <s v="NY"/>
    <n v="205769"/>
    <n v="201269"/>
    <n v="4500"/>
    <n v="83200"/>
    <n v="78700"/>
    <n v="4500"/>
  </r>
  <r>
    <n v="13365"/>
    <n v="13366"/>
    <x v="0"/>
    <s v="NY-00130"/>
    <s v="SHADY"/>
    <n v="12409"/>
    <s v="ULSTER"/>
    <s v="NY"/>
    <n v="19608"/>
    <n v="19108"/>
    <n v="500"/>
    <n v="13500"/>
    <n v="13000"/>
    <n v="500"/>
  </r>
  <r>
    <n v="13365"/>
    <n v="13366"/>
    <x v="0"/>
    <s v="NY-00130"/>
    <s v="SHELTER IS HT"/>
    <n v="11965"/>
    <s v="SUFFOLK"/>
    <s v="NY"/>
    <n v="8832"/>
    <n v="8832"/>
    <n v="0"/>
    <n v="10600"/>
    <n v="8900"/>
    <n v="0"/>
  </r>
  <r>
    <n v="13365"/>
    <n v="13366"/>
    <x v="0"/>
    <s v="NY-00130"/>
    <s v="SHELTER ISLAND"/>
    <n v="11964"/>
    <s v="SUFFOLK"/>
    <s v="NY"/>
    <n v="54951"/>
    <n v="51276"/>
    <n v="3675"/>
    <n v="55000"/>
    <n v="51300"/>
    <n v="3700"/>
  </r>
  <r>
    <n v="13365"/>
    <n v="13366"/>
    <x v="0"/>
    <s v="NY-00130"/>
    <s v="SHELTER ISLAND"/>
    <n v="11965"/>
    <s v="SUFFOLK"/>
    <s v="NY"/>
    <n v="302183"/>
    <n v="287133"/>
    <n v="15050"/>
    <n v="155600"/>
    <n v="155600"/>
    <n v="0"/>
  </r>
  <r>
    <n v="13365"/>
    <n v="13366"/>
    <x v="0"/>
    <s v="NY-00130"/>
    <s v="SHIRLEY"/>
    <n v="11967"/>
    <s v="SUFFOLK"/>
    <s v="NY"/>
    <n v="1979257"/>
    <n v="1556281"/>
    <n v="422976"/>
    <n v="944300"/>
    <n v="680900"/>
    <n v="263400"/>
  </r>
  <r>
    <n v="13365"/>
    <n v="13366"/>
    <x v="0"/>
    <s v="NY-00130"/>
    <s v="SHOKAN"/>
    <n v="12481"/>
    <s v="ULSTER"/>
    <s v="NY"/>
    <n v="49005"/>
    <n v="41805"/>
    <n v="7200"/>
    <n v="16500"/>
    <n v="10800"/>
    <n v="5700"/>
  </r>
  <r>
    <n v="13365"/>
    <n v="13366"/>
    <x v="0"/>
    <s v="NY-00130"/>
    <s v="SHOREHAM"/>
    <n v="11786"/>
    <s v="SUFFOLK"/>
    <s v="NY"/>
    <n v="4060"/>
    <n v="4060"/>
    <n v="0"/>
    <n v="0"/>
    <n v="0"/>
    <n v="0"/>
  </r>
  <r>
    <n v="13365"/>
    <n v="13366"/>
    <x v="0"/>
    <s v="NY-00130"/>
    <s v="SHRUB OAK"/>
    <n v="10588"/>
    <s v="WESTCHESTER"/>
    <s v="NY"/>
    <n v="78639"/>
    <n v="77039"/>
    <n v="1600"/>
    <n v="56000"/>
    <n v="54400"/>
    <n v="1600"/>
  </r>
  <r>
    <n v="13365"/>
    <n v="13366"/>
    <x v="0"/>
    <s v="NY-00130"/>
    <s v="SI"/>
    <n v="10305"/>
    <s v="RICHMOND"/>
    <s v="NY"/>
    <n v="115752"/>
    <n v="62027"/>
    <n v="53725"/>
    <n v="0"/>
    <n v="0"/>
    <n v="0"/>
  </r>
  <r>
    <n v="13365"/>
    <n v="13366"/>
    <x v="0"/>
    <s v="NY-00130"/>
    <s v="SI"/>
    <n v="10306"/>
    <s v="RICHMOND"/>
    <s v="NY"/>
    <n v="36475"/>
    <n v="0"/>
    <n v="36475"/>
    <n v="0"/>
    <n v="0"/>
    <n v="0"/>
  </r>
  <r>
    <n v="13365"/>
    <n v="13366"/>
    <x v="0"/>
    <s v="NY-00130"/>
    <s v="SMALLWOOD"/>
    <n v="12778"/>
    <s v="SULLIVAN"/>
    <s v="NY"/>
    <n v="37754"/>
    <n v="37754"/>
    <n v="0"/>
    <n v="0"/>
    <n v="0"/>
    <n v="0"/>
  </r>
  <r>
    <n v="13365"/>
    <n v="13366"/>
    <x v="0"/>
    <s v="NY-00130"/>
    <s v="SMITHTOWN"/>
    <n v="11787"/>
    <s v="SUFFOLK"/>
    <s v="NY"/>
    <n v="355933"/>
    <n v="330191"/>
    <n v="25742"/>
    <n v="57500"/>
    <n v="53400"/>
    <n v="4100"/>
  </r>
  <r>
    <n v="13365"/>
    <n v="13366"/>
    <x v="0"/>
    <s v="NY-00130"/>
    <s v="SOMERS"/>
    <n v="10589"/>
    <s v="WESTCHESTER"/>
    <s v="NY"/>
    <n v="19099"/>
    <n v="19099"/>
    <n v="0"/>
    <n v="17100"/>
    <n v="17100"/>
    <n v="0"/>
  </r>
  <r>
    <n v="13365"/>
    <n v="13366"/>
    <x v="0"/>
    <s v="NY-00130"/>
    <s v="SOUND BEACH"/>
    <n v="11789"/>
    <s v="SUFFOLK"/>
    <s v="NY"/>
    <n v="427418"/>
    <n v="416718"/>
    <n v="10700"/>
    <n v="252200"/>
    <n v="250300"/>
    <n v="1900"/>
  </r>
  <r>
    <n v="13365"/>
    <n v="13366"/>
    <x v="0"/>
    <s v="NY-00130"/>
    <s v="SOUTH BROOKLYN"/>
    <n v="11231"/>
    <s v="KINGS"/>
    <s v="NY"/>
    <n v="105770"/>
    <n v="72710"/>
    <n v="33060"/>
    <n v="0"/>
    <n v="0"/>
    <n v="0"/>
  </r>
  <r>
    <n v="13365"/>
    <n v="13366"/>
    <x v="0"/>
    <s v="NY-00130"/>
    <s v="SOUTH HAMPTON"/>
    <n v="11968"/>
    <s v="SUFFOLK"/>
    <s v="NY"/>
    <n v="17117"/>
    <n v="15417"/>
    <n v="1700"/>
    <n v="0"/>
    <n v="0"/>
    <n v="0"/>
  </r>
  <r>
    <n v="13365"/>
    <n v="13366"/>
    <x v="0"/>
    <s v="NY-00130"/>
    <s v="SOUTH HEMPSTEAD"/>
    <n v="11550"/>
    <s v="NASSAU"/>
    <s v="NY"/>
    <n v="55160"/>
    <n v="35855"/>
    <n v="19305"/>
    <n v="55200"/>
    <n v="35900"/>
    <n v="19300"/>
  </r>
  <r>
    <n v="13365"/>
    <n v="13366"/>
    <x v="0"/>
    <s v="NY-00130"/>
    <s v="SOUTH JAMESPORT"/>
    <n v="11970"/>
    <s v="SUFFOLK"/>
    <s v="NY"/>
    <n v="43456"/>
    <n v="36431"/>
    <n v="7025"/>
    <n v="0"/>
    <n v="0"/>
    <n v="0"/>
  </r>
  <r>
    <n v="13365"/>
    <n v="13366"/>
    <x v="0"/>
    <s v="NY-00130"/>
    <s v="SOUTH NYACK"/>
    <n v="10960"/>
    <s v="ROCKLAND"/>
    <s v="NY"/>
    <n v="168026"/>
    <n v="152201"/>
    <n v="15825"/>
    <n v="15900"/>
    <n v="0"/>
    <n v="15900"/>
  </r>
  <r>
    <n v="13365"/>
    <n v="13366"/>
    <x v="0"/>
    <s v="NY-00130"/>
    <s v="SOUTH OZONE PARK"/>
    <n v="11420"/>
    <s v="QUEENS"/>
    <s v="NY"/>
    <n v="533569"/>
    <n v="448964"/>
    <n v="84605"/>
    <n v="121500"/>
    <n v="109100"/>
    <n v="12400"/>
  </r>
  <r>
    <n v="13365"/>
    <n v="13366"/>
    <x v="0"/>
    <s v="NY-00130"/>
    <s v="SOUTH OZONE PARK"/>
    <n v="11436"/>
    <s v="QUEENS"/>
    <s v="NY"/>
    <n v="10793"/>
    <n v="10793"/>
    <n v="0"/>
    <n v="2900"/>
    <n v="2900"/>
    <n v="0"/>
  </r>
  <r>
    <n v="13365"/>
    <n v="13366"/>
    <x v="0"/>
    <s v="NY-00130"/>
    <s v="SOUTH RICHMOND HILL"/>
    <n v="11419"/>
    <s v="NEW YORK"/>
    <s v="NY"/>
    <n v="35422"/>
    <n v="34272"/>
    <n v="1150"/>
    <n v="6200"/>
    <n v="6200"/>
    <n v="0"/>
  </r>
  <r>
    <n v="13365"/>
    <n v="13366"/>
    <x v="0"/>
    <s v="NY-00130"/>
    <s v="SOUTH RICHMOND HILL"/>
    <n v="11419"/>
    <s v="QUEENS"/>
    <s v="NY"/>
    <n v="276623"/>
    <n v="268723"/>
    <n v="7900"/>
    <n v="145300"/>
    <n v="143400"/>
    <n v="1900"/>
  </r>
  <r>
    <n v="13365"/>
    <n v="13366"/>
    <x v="0"/>
    <s v="NY-00130"/>
    <s v="SOUTH SALEM"/>
    <n v="10590"/>
    <s v="WESTCHESTER"/>
    <s v="NY"/>
    <n v="33767"/>
    <n v="33267"/>
    <n v="500"/>
    <n v="0"/>
    <n v="0"/>
    <n v="0"/>
  </r>
  <r>
    <n v="13365"/>
    <n v="13366"/>
    <x v="0"/>
    <s v="NY-00130"/>
    <s v="SOUTH SETAUKET"/>
    <n v="11720"/>
    <s v="SUFFOLK"/>
    <s v="NY"/>
    <n v="23202"/>
    <n v="18577"/>
    <n v="4625"/>
    <n v="21700"/>
    <n v="17100"/>
    <n v="4600"/>
  </r>
  <r>
    <n v="13365"/>
    <n v="13366"/>
    <x v="0"/>
    <s v="NY-00130"/>
    <s v="SOUTH VALLEY STREAM"/>
    <n v="11581"/>
    <s v="NASSAU"/>
    <s v="NY"/>
    <n v="37381"/>
    <n v="12181"/>
    <n v="25200"/>
    <n v="9000"/>
    <n v="2200"/>
    <n v="6800"/>
  </r>
  <r>
    <n v="13365"/>
    <n v="13366"/>
    <x v="0"/>
    <s v="NY-00130"/>
    <s v="SOUTHAMPTON"/>
    <n v="11768"/>
    <s v="SUFFOLK"/>
    <s v="NY"/>
    <n v="38545"/>
    <n v="32970"/>
    <n v="5575"/>
    <n v="0"/>
    <n v="0"/>
    <n v="0"/>
  </r>
  <r>
    <n v="13365"/>
    <n v="13366"/>
    <x v="0"/>
    <s v="NY-00130"/>
    <s v="SOUTHAMPTON"/>
    <n v="11968"/>
    <s v="SUFFOLK"/>
    <s v="NY"/>
    <n v="1304868"/>
    <n v="1067651"/>
    <n v="237217"/>
    <n v="557600"/>
    <n v="455300"/>
    <n v="102300"/>
  </r>
  <r>
    <n v="13365"/>
    <n v="13366"/>
    <x v="0"/>
    <s v="NY-00130"/>
    <s v="SOUTHAMPTON"/>
    <n v="11969"/>
    <s v="SUFFOLK"/>
    <s v="NY"/>
    <n v="36834"/>
    <n v="35259"/>
    <n v="1575"/>
    <n v="0"/>
    <n v="0"/>
    <n v="0"/>
  </r>
  <r>
    <n v="13365"/>
    <n v="13366"/>
    <x v="0"/>
    <s v="NY-00130"/>
    <s v="SOUTHOLD"/>
    <n v="11971"/>
    <s v="SUFFOLK"/>
    <s v="NY"/>
    <n v="1353871"/>
    <n v="1191691"/>
    <n v="162180"/>
    <n v="887800"/>
    <n v="746200"/>
    <n v="112500"/>
  </r>
  <r>
    <n v="13365"/>
    <n v="13366"/>
    <x v="0"/>
    <s v="NY-00130"/>
    <s v="SOUTHRICHMONDHILL"/>
    <n v="11419"/>
    <s v="QUEENS"/>
    <s v="NY"/>
    <n v="2000"/>
    <n v="0"/>
    <n v="2000"/>
    <n v="0"/>
    <n v="0"/>
    <n v="0"/>
  </r>
  <r>
    <n v="13365"/>
    <n v="13366"/>
    <x v="0"/>
    <s v="NY-00130"/>
    <s v="SPRING VALLEY"/>
    <n v="10977"/>
    <s v="ROCKLAND"/>
    <s v="NY"/>
    <n v="188924"/>
    <n v="164174"/>
    <n v="24750"/>
    <n v="16500"/>
    <n v="16500"/>
    <n v="0"/>
  </r>
  <r>
    <n v="13365"/>
    <n v="13366"/>
    <x v="0"/>
    <s v="NY-00130"/>
    <s v="SPRINGFEILD GARDENS"/>
    <n v="11413"/>
    <s v="QUEENS"/>
    <s v="NY"/>
    <n v="35987"/>
    <n v="33987"/>
    <n v="2000"/>
    <n v="23500"/>
    <n v="21500"/>
    <n v="2000"/>
  </r>
  <r>
    <n v="13365"/>
    <n v="13366"/>
    <x v="0"/>
    <s v="NY-00130"/>
    <s v="SPRINGFIELD GARDEN"/>
    <n v="11413"/>
    <s v="QUEENS"/>
    <s v="NY"/>
    <n v="38199"/>
    <n v="8999"/>
    <n v="29200"/>
    <n v="13400"/>
    <n v="0"/>
    <n v="13400"/>
  </r>
  <r>
    <n v="13365"/>
    <n v="13366"/>
    <x v="0"/>
    <s v="NY-00130"/>
    <s v="SPRINGFIELD GARDENS"/>
    <n v="11413"/>
    <s v="QUEENS"/>
    <s v="NY"/>
    <n v="645611"/>
    <n v="447491"/>
    <n v="198120"/>
    <n v="277600"/>
    <n v="159100"/>
    <n v="118500"/>
  </r>
  <r>
    <n v="13365"/>
    <n v="13366"/>
    <x v="0"/>
    <s v="NY-00130"/>
    <s v="ST ALBANS"/>
    <n v="11412"/>
    <s v="QUEENS"/>
    <s v="NY"/>
    <n v="41278"/>
    <n v="26128"/>
    <n v="15150"/>
    <n v="26200"/>
    <n v="26200"/>
    <n v="0"/>
  </r>
  <r>
    <n v="13365"/>
    <n v="13366"/>
    <x v="0"/>
    <s v="NY-00130"/>
    <s v="ST ALBANS"/>
    <n v="11434"/>
    <s v="QUEENS"/>
    <s v="NY"/>
    <n v="27641"/>
    <n v="25466"/>
    <n v="2175"/>
    <n v="0"/>
    <n v="0"/>
    <n v="0"/>
  </r>
  <r>
    <n v="13365"/>
    <n v="13366"/>
    <x v="0"/>
    <s v="NY-00130"/>
    <s v="ST JAMES"/>
    <n v="11780"/>
    <s v="SUFFOLK"/>
    <s v="NY"/>
    <n v="64197"/>
    <n v="64197"/>
    <n v="0"/>
    <n v="64200"/>
    <n v="64200"/>
    <n v="0"/>
  </r>
  <r>
    <n v="13365"/>
    <n v="13366"/>
    <x v="0"/>
    <s v="NY-00130"/>
    <s v="ST. ALBANS"/>
    <n v="11412"/>
    <s v="QUEENS"/>
    <s v="NY"/>
    <n v="100193"/>
    <n v="96218"/>
    <n v="3975"/>
    <n v="54500"/>
    <n v="53900"/>
    <n v="600"/>
  </r>
  <r>
    <n v="13365"/>
    <n v="13366"/>
    <x v="0"/>
    <s v="NY-00130"/>
    <s v="ST. JAMES"/>
    <n v="11780"/>
    <s v="SUFFOLK"/>
    <s v="NY"/>
    <n v="94643"/>
    <n v="81868"/>
    <n v="12775"/>
    <n v="47400"/>
    <n v="38900"/>
    <n v="8500"/>
  </r>
  <r>
    <n v="13365"/>
    <n v="13366"/>
    <x v="0"/>
    <s v="NY-00130"/>
    <s v="STAEN ISLAND"/>
    <n v="10305"/>
    <s v="RICHMOND"/>
    <s v="NY"/>
    <n v="121935"/>
    <n v="107945"/>
    <n v="13990"/>
    <n v="96300"/>
    <n v="82400"/>
    <n v="13900"/>
  </r>
  <r>
    <n v="13365"/>
    <n v="13366"/>
    <x v="0"/>
    <s v="NY-00130"/>
    <s v="STATEN"/>
    <n v="10306"/>
    <s v="RICHMOND"/>
    <s v="NY"/>
    <n v="60240"/>
    <n v="0"/>
    <n v="60240"/>
    <n v="0"/>
    <n v="0"/>
    <n v="0"/>
  </r>
  <r>
    <n v="13365"/>
    <n v="13366"/>
    <x v="0"/>
    <s v="NY-00130"/>
    <s v="STATEN  ISLAND"/>
    <n v="10306"/>
    <s v="RICHMOND"/>
    <s v="NY"/>
    <n v="70967"/>
    <n v="43642"/>
    <n v="27325"/>
    <n v="23800"/>
    <n v="7800"/>
    <n v="16000"/>
  </r>
  <r>
    <n v="13365"/>
    <n v="13366"/>
    <x v="0"/>
    <s v="NY-00130"/>
    <s v="STATEN  ISLAND"/>
    <n v="10307"/>
    <s v="RICHMOND"/>
    <s v="NY"/>
    <n v="217657"/>
    <n v="159917"/>
    <n v="57740"/>
    <n v="149000"/>
    <n v="109000"/>
    <n v="40000"/>
  </r>
  <r>
    <n v="13365"/>
    <n v="13366"/>
    <x v="0"/>
    <s v="NY-00130"/>
    <s v="STATEN ISALND"/>
    <n v="10304"/>
    <s v="RICHMOND"/>
    <s v="NY"/>
    <n v="19669"/>
    <n v="18629"/>
    <n v="1040"/>
    <n v="19600"/>
    <n v="18500"/>
    <n v="1100"/>
  </r>
  <r>
    <n v="13365"/>
    <n v="13366"/>
    <x v="0"/>
    <s v="NY-00130"/>
    <s v="STATEN ISAND"/>
    <n v="10306"/>
    <s v="RICHMOND"/>
    <s v="NY"/>
    <n v="172092"/>
    <n v="136542"/>
    <n v="35550"/>
    <n v="159000"/>
    <n v="123400"/>
    <n v="35600"/>
  </r>
  <r>
    <n v="13365"/>
    <n v="13366"/>
    <x v="0"/>
    <s v="NY-00130"/>
    <s v="STATEN ISAND"/>
    <n v="10308"/>
    <s v="RICHMOND"/>
    <s v="NY"/>
    <n v="133378"/>
    <n v="90586"/>
    <n v="42792"/>
    <n v="0"/>
    <n v="0"/>
    <n v="0"/>
  </r>
  <r>
    <n v="13365"/>
    <n v="13366"/>
    <x v="0"/>
    <s v="NY-00130"/>
    <s v="STATEN ISL"/>
    <n v="10306"/>
    <s v="RICHMOND"/>
    <s v="NY"/>
    <n v="73143"/>
    <n v="59943"/>
    <n v="13200"/>
    <n v="13200"/>
    <n v="0"/>
    <n v="13200"/>
  </r>
  <r>
    <n v="13365"/>
    <n v="13366"/>
    <x v="0"/>
    <s v="NY-00130"/>
    <s v="STATEN ISLAN"/>
    <n v="10306"/>
    <s v="RICHMOND"/>
    <s v="NY"/>
    <n v="11275"/>
    <n v="0"/>
    <n v="11275"/>
    <n v="0"/>
    <n v="0"/>
    <n v="0"/>
  </r>
  <r>
    <n v="13365"/>
    <n v="13366"/>
    <x v="0"/>
    <s v="NY-00130"/>
    <s v="STATEN ISLAND"/>
    <n v="10034"/>
    <s v="RICHMOND"/>
    <s v="NY"/>
    <n v="52845"/>
    <n v="40370"/>
    <n v="12475"/>
    <n v="30000"/>
    <n v="17600"/>
    <n v="12400"/>
  </r>
  <r>
    <n v="13365"/>
    <n v="13366"/>
    <x v="0"/>
    <s v="NY-00130"/>
    <s v="STATEN ISLAND"/>
    <n v="10106"/>
    <s v="RICHMOND"/>
    <s v="NY"/>
    <n v="248926"/>
    <n v="157976"/>
    <n v="90950"/>
    <n v="169500"/>
    <n v="129500"/>
    <n v="40000"/>
  </r>
  <r>
    <n v="13365"/>
    <n v="13366"/>
    <x v="0"/>
    <s v="NY-00130"/>
    <s v="STATEN ISLAND"/>
    <n v="10301"/>
    <s v="RICHMOND"/>
    <s v="NY"/>
    <n v="1592052"/>
    <n v="909468"/>
    <n v="682584"/>
    <n v="754300"/>
    <n v="397300"/>
    <n v="357000"/>
  </r>
  <r>
    <n v="13365"/>
    <n v="13366"/>
    <x v="0"/>
    <s v="NY-00130"/>
    <s v="STATEN ISLAND"/>
    <n v="10302"/>
    <s v="RICHMOND"/>
    <s v="NY"/>
    <n v="494756"/>
    <n v="418956"/>
    <n v="75800"/>
    <n v="222500"/>
    <n v="193600"/>
    <n v="28900"/>
  </r>
  <r>
    <n v="13365"/>
    <n v="13366"/>
    <x v="0"/>
    <s v="NY-00130"/>
    <s v="STATEN ISLAND"/>
    <n v="10303"/>
    <s v="RICHMOND"/>
    <s v="NY"/>
    <n v="1671356"/>
    <n v="1158285"/>
    <n v="513071"/>
    <n v="578500"/>
    <n v="408200"/>
    <n v="170300"/>
  </r>
  <r>
    <n v="13365"/>
    <n v="13366"/>
    <x v="0"/>
    <s v="NY-00130"/>
    <s v="STATEN ISLAND"/>
    <n v="10304"/>
    <s v="RICHMOND"/>
    <s v="NY"/>
    <n v="1230503"/>
    <n v="1017894"/>
    <n v="212609"/>
    <n v="537000"/>
    <n v="449600"/>
    <n v="87400"/>
  </r>
  <r>
    <n v="13365"/>
    <n v="13366"/>
    <x v="0"/>
    <s v="NY-00130"/>
    <s v="STATEN ISLAND"/>
    <n v="10305"/>
    <s v="KINGS"/>
    <s v="NY"/>
    <n v="147747"/>
    <n v="70762"/>
    <n v="76985"/>
    <n v="0"/>
    <n v="0"/>
    <n v="0"/>
  </r>
  <r>
    <n v="13365"/>
    <n v="13366"/>
    <x v="0"/>
    <s v="NY-00130"/>
    <s v="STATEN ISLAND"/>
    <n v="10305"/>
    <s v="NEW YORK"/>
    <s v="NY"/>
    <n v="436125"/>
    <n v="317475"/>
    <n v="118650"/>
    <n v="109500"/>
    <n v="77100"/>
    <n v="32400"/>
  </r>
  <r>
    <n v="13365"/>
    <n v="13366"/>
    <x v="0"/>
    <s v="NY-00130"/>
    <s v="STATEN ISLAND"/>
    <n v="10305"/>
    <s v="RICHMOND"/>
    <s v="NY"/>
    <n v="73442996"/>
    <n v="47146869"/>
    <n v="26296127"/>
    <n v="33115800"/>
    <n v="20931700"/>
    <n v="12184100"/>
  </r>
  <r>
    <n v="13365"/>
    <n v="13366"/>
    <x v="0"/>
    <s v="NY-00130"/>
    <s v="STATEN ISLAND"/>
    <n v="10306"/>
    <s v="KINGS"/>
    <s v="NY"/>
    <n v="266671"/>
    <n v="206421"/>
    <n v="60250"/>
    <n v="55400"/>
    <n v="41000"/>
    <n v="14400"/>
  </r>
  <r>
    <n v="13365"/>
    <n v="13366"/>
    <x v="0"/>
    <s v="NY-00130"/>
    <s v="STATEN ISLAND"/>
    <n v="10306"/>
    <s v="NEW YORK"/>
    <s v="NY"/>
    <n v="513378"/>
    <n v="306548"/>
    <n v="206830"/>
    <n v="281400"/>
    <n v="167600"/>
    <n v="113800"/>
  </r>
  <r>
    <n v="13365"/>
    <n v="13366"/>
    <x v="0"/>
    <s v="NY-00130"/>
    <s v="STATEN ISLAND"/>
    <n v="10306"/>
    <s v="RICHMOND"/>
    <s v="NY"/>
    <n v="197682479"/>
    <n v="126902740"/>
    <n v="70779739"/>
    <n v="86814000"/>
    <n v="54752300"/>
    <n v="32048400"/>
  </r>
  <r>
    <n v="13365"/>
    <n v="13366"/>
    <x v="0"/>
    <s v="NY-00130"/>
    <s v="STATEN ISLAND"/>
    <n v="10306"/>
    <s v="ROCKLAND"/>
    <s v="NY"/>
    <n v="46097"/>
    <n v="31097"/>
    <n v="15000"/>
    <n v="28300"/>
    <n v="13300"/>
    <n v="15000"/>
  </r>
  <r>
    <n v="13365"/>
    <n v="13366"/>
    <x v="0"/>
    <s v="NY-00130"/>
    <s v="STATEN ISLAND"/>
    <n v="10307"/>
    <s v="RICHMOND"/>
    <s v="NY"/>
    <n v="13115389"/>
    <n v="9988783"/>
    <n v="3126606"/>
    <n v="5507200"/>
    <n v="3962600"/>
    <n v="1544600"/>
  </r>
  <r>
    <n v="13365"/>
    <n v="13366"/>
    <x v="0"/>
    <s v="NY-00130"/>
    <s v="STATEN ISLAND"/>
    <n v="10308"/>
    <s v="NEW YORK"/>
    <s v="NY"/>
    <n v="37244"/>
    <n v="8454"/>
    <n v="28790"/>
    <n v="37400"/>
    <n v="8500"/>
    <n v="28900"/>
  </r>
  <r>
    <n v="13365"/>
    <n v="13366"/>
    <x v="0"/>
    <s v="NY-00130"/>
    <s v="STATEN ISLAND"/>
    <n v="10308"/>
    <s v="RICHMOND"/>
    <s v="NY"/>
    <n v="13624582"/>
    <n v="9271350"/>
    <n v="4353232"/>
    <n v="6100400"/>
    <n v="3983900"/>
    <n v="2116500"/>
  </r>
  <r>
    <n v="13365"/>
    <n v="13366"/>
    <x v="0"/>
    <s v="NY-00130"/>
    <s v="STATEN ISLAND"/>
    <n v="10309"/>
    <s v="RICHMOND"/>
    <s v="NY"/>
    <n v="2620412"/>
    <n v="1922247"/>
    <n v="698165"/>
    <n v="1134900"/>
    <n v="877800"/>
    <n v="257100"/>
  </r>
  <r>
    <n v="13365"/>
    <n v="13366"/>
    <x v="0"/>
    <s v="NY-00130"/>
    <s v="STATEN ISLAND"/>
    <n v="10310"/>
    <s v="RICHMOND"/>
    <s v="NY"/>
    <n v="1287725"/>
    <n v="816185"/>
    <n v="471540"/>
    <n v="557600"/>
    <n v="319200"/>
    <n v="238400"/>
  </r>
  <r>
    <n v="13365"/>
    <n v="13366"/>
    <x v="0"/>
    <s v="NY-00130"/>
    <s v="STATEN ISLAND"/>
    <n v="10312"/>
    <s v="RICHMOND"/>
    <s v="NY"/>
    <n v="10169517"/>
    <n v="8465655"/>
    <n v="1703862"/>
    <n v="3827000"/>
    <n v="3060300"/>
    <n v="766700"/>
  </r>
  <r>
    <n v="13365"/>
    <n v="13366"/>
    <x v="0"/>
    <s v="NY-00130"/>
    <s v="STATEN ISLAND"/>
    <n v="10314"/>
    <s v="NEW YORK"/>
    <s v="NY"/>
    <n v="219278"/>
    <n v="135328"/>
    <n v="83950"/>
    <n v="0"/>
    <n v="0"/>
    <n v="0"/>
  </r>
  <r>
    <n v="13365"/>
    <n v="13366"/>
    <x v="0"/>
    <s v="NY-00130"/>
    <s v="STATEN ISLAND"/>
    <n v="10314"/>
    <s v="RICHMOND"/>
    <s v="NY"/>
    <n v="2099060"/>
    <n v="1523086"/>
    <n v="575974"/>
    <n v="1125200"/>
    <n v="696200"/>
    <n v="429000"/>
  </r>
  <r>
    <n v="13365"/>
    <n v="13366"/>
    <x v="0"/>
    <s v="NY-00130"/>
    <s v="STATEN ISLAND"/>
    <n v="11201"/>
    <s v="RICHMOND"/>
    <s v="NY"/>
    <n v="119369"/>
    <n v="80819"/>
    <n v="38550"/>
    <n v="109400"/>
    <n v="70900"/>
    <n v="38500"/>
  </r>
  <r>
    <n v="13365"/>
    <n v="13366"/>
    <x v="0"/>
    <s v="NY-00130"/>
    <s v="STATEN ISLAND"/>
    <n v="11589"/>
    <s v="NASSAU"/>
    <s v="NY"/>
    <n v="71900"/>
    <n v="0"/>
    <n v="71900"/>
    <n v="0"/>
    <n v="0"/>
    <n v="0"/>
  </r>
  <r>
    <n v="13365"/>
    <n v="13366"/>
    <x v="0"/>
    <s v="NY-00130"/>
    <s v="STATEN ISLAND BY"/>
    <n v="10306"/>
    <s v="RICHMOND"/>
    <s v="NY"/>
    <n v="168933"/>
    <n v="149533"/>
    <n v="19400"/>
    <n v="0"/>
    <n v="0"/>
    <n v="0"/>
  </r>
  <r>
    <n v="13365"/>
    <n v="13366"/>
    <x v="0"/>
    <s v="NY-00130"/>
    <s v="STATEN ISLAND,"/>
    <n v="10306"/>
    <s v="RICHMOND"/>
    <s v="NY"/>
    <n v="110817"/>
    <n v="77117"/>
    <n v="33700"/>
    <n v="0"/>
    <n v="0"/>
    <n v="0"/>
  </r>
  <r>
    <n v="13365"/>
    <n v="13366"/>
    <x v="0"/>
    <s v="NY-00130"/>
    <s v="STATEN ISLAND, NY"/>
    <n v="10306"/>
    <s v="RICHMOND"/>
    <s v="NY"/>
    <n v="148501"/>
    <n v="92476"/>
    <n v="56025"/>
    <n v="91300"/>
    <n v="78800"/>
    <n v="12500"/>
  </r>
  <r>
    <n v="13365"/>
    <n v="13366"/>
    <x v="0"/>
    <s v="NY-00130"/>
    <s v="STATEN SIALND"/>
    <n v="10305"/>
    <s v="RICHMOND"/>
    <s v="NY"/>
    <n v="52171"/>
    <n v="38371"/>
    <n v="13800"/>
    <n v="0"/>
    <n v="0"/>
    <n v="0"/>
  </r>
  <r>
    <n v="13365"/>
    <n v="13366"/>
    <x v="0"/>
    <s v="NY-00130"/>
    <s v="STATEN SIALSND"/>
    <n v="10305"/>
    <s v="RICHMOND"/>
    <s v="NY"/>
    <n v="63282"/>
    <n v="50882"/>
    <n v="12400"/>
    <n v="54900"/>
    <n v="42500"/>
    <n v="12400"/>
  </r>
  <r>
    <n v="13365"/>
    <n v="13366"/>
    <x v="0"/>
    <s v="NY-00130"/>
    <s v="STATEN SILAND"/>
    <n v="10305"/>
    <s v="RICHMOND"/>
    <s v="NY"/>
    <n v="40845"/>
    <n v="24070"/>
    <n v="16775"/>
    <n v="14000"/>
    <n v="0"/>
    <n v="14000"/>
  </r>
  <r>
    <n v="13365"/>
    <n v="13366"/>
    <x v="0"/>
    <s v="NY-00130"/>
    <s v="STERLING FOREST"/>
    <n v="10979"/>
    <s v="ORANGE"/>
    <s v="NY"/>
    <n v="55725"/>
    <n v="53425"/>
    <n v="2300"/>
    <n v="0"/>
    <n v="0"/>
    <n v="0"/>
  </r>
  <r>
    <n v="13365"/>
    <n v="13366"/>
    <x v="0"/>
    <s v="NY-00130"/>
    <s v="STEWART MANOR"/>
    <n v="11530"/>
    <s v="NASSAU"/>
    <s v="NY"/>
    <n v="67826"/>
    <n v="45476"/>
    <n v="22350"/>
    <n v="18600"/>
    <n v="16800"/>
    <n v="1800"/>
  </r>
  <r>
    <n v="13365"/>
    <n v="13366"/>
    <x v="0"/>
    <s v="NY-00130"/>
    <s v="STONY BROOK"/>
    <n v="11790"/>
    <s v="SUFFOLK"/>
    <s v="NY"/>
    <n v="153552"/>
    <n v="125502"/>
    <n v="28050"/>
    <n v="70900"/>
    <n v="45500"/>
    <n v="25400"/>
  </r>
  <r>
    <n v="13365"/>
    <n v="13366"/>
    <x v="0"/>
    <s v="NY-00130"/>
    <s v="STONY POINT"/>
    <n v="10980"/>
    <s v="ROCKLAND"/>
    <s v="NY"/>
    <n v="3408433"/>
    <n v="2762738"/>
    <n v="645695"/>
    <n v="1713600"/>
    <n v="1354600"/>
    <n v="359000"/>
  </r>
  <r>
    <n v="13365"/>
    <n v="13366"/>
    <x v="0"/>
    <s v="NY-00130"/>
    <s v="STRATEN ISLAND"/>
    <n v="10308"/>
    <s v="RICHMOND"/>
    <s v="NY"/>
    <n v="20400"/>
    <n v="0"/>
    <n v="20400"/>
    <n v="0"/>
    <n v="0"/>
    <n v="0"/>
  </r>
  <r>
    <n v="13365"/>
    <n v="13366"/>
    <x v="0"/>
    <s v="NY-00130"/>
    <s v="STSTEN ISLAND"/>
    <n v="10306"/>
    <s v="RICHMOND"/>
    <s v="NY"/>
    <n v="81957"/>
    <n v="35407"/>
    <n v="46550"/>
    <n v="0"/>
    <n v="0"/>
    <n v="0"/>
  </r>
  <r>
    <n v="13365"/>
    <n v="13366"/>
    <x v="0"/>
    <s v="NY-00130"/>
    <s v="SUFFERN"/>
    <n v="10901"/>
    <s v="ROCKLAND"/>
    <s v="NY"/>
    <n v="78817"/>
    <n v="78817"/>
    <n v="0"/>
    <n v="52700"/>
    <n v="52700"/>
    <n v="0"/>
  </r>
  <r>
    <n v="13365"/>
    <n v="13366"/>
    <x v="0"/>
    <s v="NY-00130"/>
    <s v="SUNNYSIDE"/>
    <n v="11104"/>
    <s v="NEW YORK"/>
    <s v="NY"/>
    <n v="1000"/>
    <n v="0"/>
    <n v="1000"/>
    <n v="0"/>
    <n v="0"/>
    <n v="0"/>
  </r>
  <r>
    <n v="13365"/>
    <n v="13366"/>
    <x v="0"/>
    <s v="NY-00130"/>
    <s v="SUNNYSIDE"/>
    <n v="11104"/>
    <s v="QUEENS"/>
    <s v="NY"/>
    <n v="1367"/>
    <n v="0"/>
    <n v="1367"/>
    <n v="1400"/>
    <n v="0"/>
    <n v="1400"/>
  </r>
  <r>
    <n v="13365"/>
    <n v="13366"/>
    <x v="0"/>
    <s v="NY-00130"/>
    <s v="SWAN LAKE"/>
    <n v="12783"/>
    <s v="SULLIVAN"/>
    <s v="NY"/>
    <n v="99691"/>
    <n v="99691"/>
    <n v="0"/>
    <n v="92100"/>
    <n v="92100"/>
    <n v="0"/>
  </r>
  <r>
    <n v="13365"/>
    <n v="13366"/>
    <x v="0"/>
    <s v="NY-00130"/>
    <s v="SYOSSET"/>
    <n v="11791"/>
    <s v="NASSAU"/>
    <s v="NY"/>
    <n v="286436"/>
    <n v="245511"/>
    <n v="40925"/>
    <n v="79800"/>
    <n v="75300"/>
    <n v="4500"/>
  </r>
  <r>
    <n v="13365"/>
    <n v="13366"/>
    <x v="0"/>
    <s v="NY-00130"/>
    <s v="TARRYTOWN"/>
    <n v="10591"/>
    <s v="WESTCHESTER"/>
    <s v="NY"/>
    <n v="35626"/>
    <n v="35626"/>
    <n v="0"/>
    <n v="0"/>
    <n v="0"/>
    <n v="0"/>
  </r>
  <r>
    <n v="13365"/>
    <n v="13366"/>
    <x v="0"/>
    <s v="NY-00130"/>
    <s v="TOWN OF ISLIP"/>
    <n v="11770"/>
    <s v="SUFFOLK"/>
    <s v="NY"/>
    <n v="138287"/>
    <n v="112287"/>
    <n v="26000"/>
    <n v="138300"/>
    <n v="112300"/>
    <n v="26000"/>
  </r>
  <r>
    <n v="13365"/>
    <n v="13366"/>
    <x v="0"/>
    <s v="NY-00130"/>
    <s v="UNIONDALE"/>
    <n v="11553"/>
    <s v="NASSAU"/>
    <s v="NY"/>
    <n v="351808"/>
    <n v="314263"/>
    <n v="37545"/>
    <n v="49500"/>
    <n v="46000"/>
    <n v="3500"/>
  </r>
  <r>
    <n v="13365"/>
    <n v="13366"/>
    <x v="0"/>
    <s v="NY-00130"/>
    <s v="UPPER NYACK"/>
    <n v="10960"/>
    <s v="ROCKLAND"/>
    <s v="NY"/>
    <n v="4995"/>
    <n v="4995"/>
    <n v="0"/>
    <n v="0"/>
    <n v="0"/>
    <n v="0"/>
  </r>
  <r>
    <n v="13365"/>
    <n v="13366"/>
    <x v="0"/>
    <s v="NY-00130"/>
    <s v="VALEY STREAM"/>
    <n v="11581"/>
    <s v="NASSAU"/>
    <s v="NY"/>
    <n v="7125"/>
    <n v="0"/>
    <n v="7125"/>
    <n v="7200"/>
    <n v="0"/>
    <n v="7200"/>
  </r>
  <r>
    <n v="13365"/>
    <n v="13366"/>
    <x v="0"/>
    <s v="NY-00130"/>
    <s v="VALHALLA"/>
    <n v="10595"/>
    <s v="WESTCHESTER"/>
    <s v="NY"/>
    <n v="103415"/>
    <n v="80890"/>
    <n v="22525"/>
    <n v="19600"/>
    <n v="7400"/>
    <n v="12200"/>
  </r>
  <r>
    <n v="13365"/>
    <n v="13366"/>
    <x v="0"/>
    <s v="NY-00130"/>
    <s v="VALLEY COTTAGE"/>
    <n v="10989"/>
    <s v="ROCKLAND"/>
    <s v="NY"/>
    <n v="137751"/>
    <n v="106376"/>
    <n v="31375"/>
    <n v="57800"/>
    <n v="47400"/>
    <n v="10400"/>
  </r>
  <r>
    <n v="13365"/>
    <n v="13366"/>
    <x v="0"/>
    <s v="NY-00130"/>
    <s v="VALLEY STREAM"/>
    <n v="11580"/>
    <s v="KINGS"/>
    <s v="NY"/>
    <n v="11525"/>
    <n v="0"/>
    <n v="11525"/>
    <n v="2200"/>
    <n v="0"/>
    <n v="2200"/>
  </r>
  <r>
    <n v="13365"/>
    <n v="13366"/>
    <x v="0"/>
    <s v="NY-00130"/>
    <s v="VALLEY STREAM"/>
    <n v="11580"/>
    <s v="NASSAU"/>
    <s v="NY"/>
    <n v="744808"/>
    <n v="656384"/>
    <n v="88424"/>
    <n v="76500"/>
    <n v="72900"/>
    <n v="3600"/>
  </r>
  <r>
    <n v="13365"/>
    <n v="13366"/>
    <x v="0"/>
    <s v="NY-00130"/>
    <s v="VALLEY STREAM"/>
    <n v="11581"/>
    <s v="NASSAU"/>
    <s v="NY"/>
    <n v="15409360"/>
    <n v="10191271"/>
    <n v="5218089"/>
    <n v="5644200"/>
    <n v="3962200"/>
    <n v="1682000"/>
  </r>
  <r>
    <n v="13365"/>
    <n v="13366"/>
    <x v="0"/>
    <s v="NY-00130"/>
    <s v="VALLEY STREAM"/>
    <n v="11591"/>
    <s v="NASSAU"/>
    <s v="NY"/>
    <n v="27421"/>
    <n v="17011"/>
    <n v="10410"/>
    <n v="0"/>
    <n v="0"/>
    <n v="0"/>
  </r>
  <r>
    <n v="13365"/>
    <n v="13366"/>
    <x v="0"/>
    <s v="NY-00130"/>
    <s v="VERPLANCK"/>
    <n v="10596"/>
    <s v="WESTCHESTER"/>
    <s v="NY"/>
    <n v="52030"/>
    <n v="45965"/>
    <n v="6065"/>
    <n v="35000"/>
    <n v="35000"/>
    <n v="0"/>
  </r>
  <r>
    <n v="13365"/>
    <n v="13366"/>
    <x v="0"/>
    <s v="NY-00130"/>
    <s v="W BABYLON"/>
    <n v="11704"/>
    <s v="SUFFOLK"/>
    <s v="NY"/>
    <n v="115595"/>
    <n v="55083"/>
    <n v="60512"/>
    <n v="37100"/>
    <n v="35400"/>
    <n v="1700"/>
  </r>
  <r>
    <n v="13365"/>
    <n v="13366"/>
    <x v="0"/>
    <s v="NY-00130"/>
    <s v="W GILGO BEACH"/>
    <n v="11702"/>
    <s v="SUFFOLK"/>
    <s v="NY"/>
    <n v="62372"/>
    <n v="48322"/>
    <n v="14050"/>
    <n v="41500"/>
    <n v="27500"/>
    <n v="14000"/>
  </r>
  <r>
    <n v="13365"/>
    <n v="13366"/>
    <x v="0"/>
    <s v="NY-00130"/>
    <s v="W HAMPTON BCH"/>
    <n v="11978"/>
    <s v="SUFFOLK"/>
    <s v="NY"/>
    <n v="110312"/>
    <n v="98362"/>
    <n v="11950"/>
    <n v="0"/>
    <n v="0"/>
    <n v="0"/>
  </r>
  <r>
    <n v="13365"/>
    <n v="13366"/>
    <x v="0"/>
    <s v="NY-00130"/>
    <s v="W. ISLIP"/>
    <n v="11795"/>
    <s v="SUFFOLK"/>
    <s v="NY"/>
    <n v="42630"/>
    <n v="42630"/>
    <n v="0"/>
    <n v="27100"/>
    <n v="27100"/>
    <n v="0"/>
  </r>
  <r>
    <n v="13365"/>
    <n v="13366"/>
    <x v="0"/>
    <s v="NY-00130"/>
    <s v="WADING RIVER"/>
    <n v="11792"/>
    <s v="SUFFOLK"/>
    <s v="NY"/>
    <n v="801286"/>
    <n v="718966"/>
    <n v="82320"/>
    <n v="157700"/>
    <n v="133100"/>
    <n v="24600"/>
  </r>
  <r>
    <n v="13365"/>
    <n v="13366"/>
    <x v="0"/>
    <s v="NY-00130"/>
    <s v="WALDEN"/>
    <n v="12586"/>
    <s v="ORANGE"/>
    <s v="NY"/>
    <n v="36502"/>
    <n v="36502"/>
    <n v="0"/>
    <n v="26900"/>
    <n v="26900"/>
    <n v="0"/>
  </r>
  <r>
    <n v="13365"/>
    <n v="13366"/>
    <x v="0"/>
    <s v="NY-00130"/>
    <s v="WANATGH"/>
    <n v="11793"/>
    <s v="NASSAU"/>
    <s v="NY"/>
    <n v="74448"/>
    <n v="53598"/>
    <n v="20850"/>
    <n v="41700"/>
    <n v="36400"/>
    <n v="5300"/>
  </r>
  <r>
    <n v="13365"/>
    <n v="13366"/>
    <x v="0"/>
    <s v="NY-00130"/>
    <s v="WANTAGH"/>
    <n v="11793"/>
    <s v="NASSAU"/>
    <s v="NY"/>
    <n v="24251839"/>
    <n v="17430704"/>
    <n v="6821135"/>
    <n v="10859600"/>
    <n v="7167300"/>
    <n v="3692300"/>
  </r>
  <r>
    <n v="13365"/>
    <n v="13366"/>
    <x v="0"/>
    <s v="NY-00130"/>
    <s v="WANTAGH"/>
    <n v="11793"/>
    <s v="NEW YORK"/>
    <s v="NY"/>
    <n v="153592"/>
    <n v="106417"/>
    <n v="47175"/>
    <n v="112200"/>
    <n v="72200"/>
    <n v="40000"/>
  </r>
  <r>
    <n v="13365"/>
    <n v="13366"/>
    <x v="0"/>
    <s v="NY-00130"/>
    <s v="WARWICK"/>
    <n v="10990"/>
    <s v="ORANGE"/>
    <s v="NY"/>
    <n v="142890"/>
    <n v="130472"/>
    <n v="12418"/>
    <n v="59300"/>
    <n v="57200"/>
    <n v="2100"/>
  </r>
  <r>
    <n v="13365"/>
    <n v="13366"/>
    <x v="0"/>
    <s v="NY-00130"/>
    <s v="WASHINGTONVILLE"/>
    <n v="10992"/>
    <s v="ORANGE"/>
    <s v="NY"/>
    <n v="3451"/>
    <n v="3201"/>
    <n v="250"/>
    <n v="3500"/>
    <n v="3300"/>
    <n v="200"/>
  </r>
  <r>
    <n v="13365"/>
    <n v="13366"/>
    <x v="0"/>
    <s v="NY-00130"/>
    <s v="WATER MILL"/>
    <n v="11976"/>
    <s v="SUFFOLK"/>
    <s v="NY"/>
    <n v="227383"/>
    <n v="180111"/>
    <n v="47272"/>
    <n v="173500"/>
    <n v="157800"/>
    <n v="15700"/>
  </r>
  <r>
    <n v="13365"/>
    <n v="13366"/>
    <x v="0"/>
    <s v="NY-00130"/>
    <s v="WESLEY HILLS"/>
    <n v="10952"/>
    <s v="ROCKLAND"/>
    <s v="NY"/>
    <n v="141127"/>
    <n v="125377"/>
    <n v="15750"/>
    <n v="51100"/>
    <n v="35300"/>
    <n v="15800"/>
  </r>
  <r>
    <n v="13365"/>
    <n v="13366"/>
    <x v="0"/>
    <s v="NY-00130"/>
    <s v="WEST"/>
    <n v="11795"/>
    <s v="SUFFOLK"/>
    <s v="NY"/>
    <n v="52410"/>
    <n v="0"/>
    <n v="52410"/>
    <n v="0"/>
    <n v="0"/>
    <n v="0"/>
  </r>
  <r>
    <n v="13365"/>
    <n v="13366"/>
    <x v="0"/>
    <s v="NY-00130"/>
    <s v="WEST  BABYLON"/>
    <n v="11704"/>
    <s v="SUFFOLK"/>
    <s v="NY"/>
    <n v="12109"/>
    <n v="11959"/>
    <n v="150"/>
    <n v="0"/>
    <n v="0"/>
    <n v="0"/>
  </r>
  <r>
    <n v="13365"/>
    <n v="13366"/>
    <x v="0"/>
    <s v="NY-00130"/>
    <s v="WEST BABYLON"/>
    <n v="11704"/>
    <s v="NASSAU"/>
    <s v="NY"/>
    <n v="6814"/>
    <n v="0"/>
    <n v="6814"/>
    <n v="0"/>
    <n v="0"/>
    <n v="0"/>
  </r>
  <r>
    <n v="13365"/>
    <n v="13366"/>
    <x v="0"/>
    <s v="NY-00130"/>
    <s v="WEST BABYLON"/>
    <n v="11704"/>
    <s v="SUFFOLK"/>
    <s v="NY"/>
    <n v="1445206"/>
    <n v="1144489"/>
    <n v="300717"/>
    <n v="658200"/>
    <n v="552400"/>
    <n v="105800"/>
  </r>
  <r>
    <n v="13365"/>
    <n v="13366"/>
    <x v="0"/>
    <s v="NY-00130"/>
    <s v="WEST GILGO BEACH"/>
    <n v="11702"/>
    <s v="SUFFOLK"/>
    <s v="NY"/>
    <n v="280618"/>
    <n v="227473"/>
    <n v="53145"/>
    <n v="164100"/>
    <n v="128800"/>
    <n v="35300"/>
  </r>
  <r>
    <n v="13365"/>
    <n v="13366"/>
    <x v="0"/>
    <s v="NY-00130"/>
    <s v="WEST GIRGO BEACH"/>
    <n v="11702"/>
    <s v="SUFFOLK"/>
    <s v="NY"/>
    <n v="80110"/>
    <n v="50710"/>
    <n v="29400"/>
    <n v="0"/>
    <n v="0"/>
    <n v="0"/>
  </r>
  <r>
    <n v="13365"/>
    <n v="13366"/>
    <x v="0"/>
    <s v="NY-00130"/>
    <s v="WEST HAMPTON BEACH"/>
    <n v="11978"/>
    <s v="SUFFOLK"/>
    <s v="NY"/>
    <n v="233977"/>
    <n v="202797"/>
    <n v="31180"/>
    <n v="0"/>
    <n v="0"/>
    <n v="0"/>
  </r>
  <r>
    <n v="13365"/>
    <n v="13366"/>
    <x v="0"/>
    <s v="NY-00130"/>
    <s v="WEST HAMPTON DUNES"/>
    <n v="11978"/>
    <s v="SUFFOLK"/>
    <s v="NY"/>
    <n v="60479"/>
    <n v="53579"/>
    <n v="6900"/>
    <n v="0"/>
    <n v="0"/>
    <n v="0"/>
  </r>
  <r>
    <n v="13365"/>
    <n v="13366"/>
    <x v="0"/>
    <s v="NY-00130"/>
    <s v="WEST HARRISON"/>
    <n v="10604"/>
    <s v="WESTCHESTER"/>
    <s v="NY"/>
    <n v="725"/>
    <n v="725"/>
    <n v="0"/>
    <n v="0"/>
    <n v="0"/>
    <n v="0"/>
  </r>
  <r>
    <n v="13365"/>
    <n v="13366"/>
    <x v="0"/>
    <s v="NY-00130"/>
    <s v="WEST HAVERSTRAW"/>
    <n v="10993"/>
    <s v="ROCKLAND"/>
    <s v="NY"/>
    <n v="48987"/>
    <n v="38987"/>
    <n v="10000"/>
    <n v="28100"/>
    <n v="28100"/>
    <n v="0"/>
  </r>
  <r>
    <n v="13365"/>
    <n v="13366"/>
    <x v="0"/>
    <s v="NY-00130"/>
    <s v="WEST HEMPSTEAD"/>
    <n v="11552"/>
    <s v="NASSAU"/>
    <s v="NY"/>
    <n v="468028"/>
    <n v="412253"/>
    <n v="55775"/>
    <n v="150400"/>
    <n v="140700"/>
    <n v="9700"/>
  </r>
  <r>
    <n v="13365"/>
    <n v="13366"/>
    <x v="0"/>
    <s v="NY-00130"/>
    <s v="WEST HURLEY"/>
    <n v="12491"/>
    <s v="ULSTER"/>
    <s v="NY"/>
    <n v="154844"/>
    <n v="147644"/>
    <n v="7200"/>
    <n v="78200"/>
    <n v="76300"/>
    <n v="1900"/>
  </r>
  <r>
    <n v="13365"/>
    <n v="13366"/>
    <x v="0"/>
    <s v="NY-00130"/>
    <s v="WEST ISLIP"/>
    <n v="11702"/>
    <s v="SUFFOLK"/>
    <s v="NY"/>
    <n v="223738"/>
    <n v="201488"/>
    <n v="22250"/>
    <n v="0"/>
    <n v="0"/>
    <n v="0"/>
  </r>
  <r>
    <n v="13365"/>
    <n v="13366"/>
    <x v="0"/>
    <s v="NY-00130"/>
    <s v="WEST ISLIP"/>
    <n v="11795"/>
    <s v="SUFFOLK"/>
    <s v="NY"/>
    <n v="26705134"/>
    <n v="21521922"/>
    <n v="5183212"/>
    <n v="11805100"/>
    <n v="9195600"/>
    <n v="2537800"/>
  </r>
  <r>
    <n v="13365"/>
    <n v="13366"/>
    <x v="0"/>
    <s v="NY-00130"/>
    <s v="WEST ISLIP"/>
    <n v="11795"/>
    <s v="ULSTER"/>
    <s v="NY"/>
    <n v="89239"/>
    <n v="64789"/>
    <n v="24450"/>
    <n v="68500"/>
    <n v="57500"/>
    <n v="11000"/>
  </r>
  <r>
    <n v="13365"/>
    <n v="13366"/>
    <x v="0"/>
    <s v="NY-00130"/>
    <s v="WEST NYACK"/>
    <n v="10994"/>
    <s v="ROCKLAND"/>
    <s v="NY"/>
    <n v="99452"/>
    <n v="98164"/>
    <n v="1288"/>
    <n v="78700"/>
    <n v="78000"/>
    <n v="700"/>
  </r>
  <r>
    <n v="13365"/>
    <n v="13366"/>
    <x v="0"/>
    <s v="NY-00130"/>
    <s v="WEST PARK"/>
    <n v="12493"/>
    <s v="ULSTER"/>
    <s v="NY"/>
    <n v="12180"/>
    <n v="12180"/>
    <n v="0"/>
    <n v="0"/>
    <n v="0"/>
    <n v="0"/>
  </r>
  <r>
    <n v="13365"/>
    <n v="13366"/>
    <x v="0"/>
    <s v="NY-00130"/>
    <s v="WEST SAYVILLE"/>
    <n v="11796"/>
    <s v="SUFFOLK"/>
    <s v="NY"/>
    <n v="52969"/>
    <n v="51469"/>
    <n v="1500"/>
    <n v="31200"/>
    <n v="31200"/>
    <n v="0"/>
  </r>
  <r>
    <n v="13365"/>
    <n v="13366"/>
    <x v="0"/>
    <s v="NY-00130"/>
    <s v="WESTBURY"/>
    <n v="11590"/>
    <s v="NASSAU"/>
    <s v="NY"/>
    <n v="665996"/>
    <n v="583651"/>
    <n v="82345"/>
    <n v="222400"/>
    <n v="192200"/>
    <n v="30200"/>
  </r>
  <r>
    <n v="13365"/>
    <n v="13366"/>
    <x v="0"/>
    <s v="NY-00130"/>
    <s v="WESTHAMPTON"/>
    <n v="11977"/>
    <s v="SUFFOLK"/>
    <s v="NY"/>
    <n v="386163"/>
    <n v="300901"/>
    <n v="85262"/>
    <n v="96700"/>
    <n v="63900"/>
    <n v="32800"/>
  </r>
  <r>
    <n v="13365"/>
    <n v="13366"/>
    <x v="0"/>
    <s v="NY-00130"/>
    <s v="WESTHAMPTON BEACH"/>
    <n v="11978"/>
    <s v="SUFFOLK"/>
    <s v="NY"/>
    <n v="43082"/>
    <n v="35302"/>
    <n v="7780"/>
    <n v="8000"/>
    <n v="5000"/>
    <n v="3000"/>
  </r>
  <r>
    <n v="13365"/>
    <n v="13366"/>
    <x v="0"/>
    <s v="NY-00130"/>
    <s v="WESTHAMPTON DUNES"/>
    <n v="11978"/>
    <s v="SUFFOLK"/>
    <s v="NY"/>
    <n v="143931"/>
    <n v="105931"/>
    <n v="38000"/>
    <n v="0"/>
    <n v="0"/>
    <n v="0"/>
  </r>
  <r>
    <n v="13365"/>
    <n v="13366"/>
    <x v="0"/>
    <s v="NY-00130"/>
    <s v="WESTTOWN"/>
    <n v="10998"/>
    <s v="ORANGE"/>
    <s v="NY"/>
    <n v="64524"/>
    <n v="64024"/>
    <n v="500"/>
    <n v="14000"/>
    <n v="13500"/>
    <n v="500"/>
  </r>
  <r>
    <n v="13365"/>
    <n v="13366"/>
    <x v="0"/>
    <s v="NY-00130"/>
    <s v="WHEATLEY HEIGHTS"/>
    <n v="11798"/>
    <s v="SUFFOLK"/>
    <s v="NY"/>
    <n v="249953"/>
    <n v="235690"/>
    <n v="14263"/>
    <n v="104900"/>
    <n v="94300"/>
    <n v="10600"/>
  </r>
  <r>
    <n v="13365"/>
    <n v="13366"/>
    <x v="0"/>
    <s v="NY-00130"/>
    <s v="WHEATLEY HTS"/>
    <n v="11798"/>
    <s v="SUFFOLK"/>
    <s v="NY"/>
    <n v="10157"/>
    <n v="9307"/>
    <n v="850"/>
    <n v="4700"/>
    <n v="4700"/>
    <n v="0"/>
  </r>
  <r>
    <n v="13365"/>
    <n v="13366"/>
    <x v="0"/>
    <s v="NY-00130"/>
    <s v="WHITE PLAINS"/>
    <n v="10603"/>
    <s v="WESTCHESTER"/>
    <s v="NY"/>
    <n v="117499"/>
    <n v="114759"/>
    <n v="2740"/>
    <n v="59800"/>
    <n v="58900"/>
    <n v="900"/>
  </r>
  <r>
    <n v="13365"/>
    <n v="13366"/>
    <x v="0"/>
    <s v="NY-00130"/>
    <s v="WHITE PLAINS"/>
    <n v="10605"/>
    <s v="WESTCHESTER"/>
    <s v="NY"/>
    <n v="266496"/>
    <n v="253346"/>
    <n v="13150"/>
    <n v="55400"/>
    <n v="53100"/>
    <n v="2300"/>
  </r>
  <r>
    <n v="13365"/>
    <n v="13366"/>
    <x v="0"/>
    <s v="NY-00130"/>
    <s v="WHITE PLAINS"/>
    <n v="10606"/>
    <s v="WESTCHESTER"/>
    <s v="NY"/>
    <n v="21103"/>
    <n v="20603"/>
    <n v="500"/>
    <n v="0"/>
    <n v="0"/>
    <n v="0"/>
  </r>
  <r>
    <n v="13365"/>
    <n v="13366"/>
    <x v="0"/>
    <s v="NY-00130"/>
    <s v="WHITE PLAINS"/>
    <n v="10607"/>
    <s v="WESTCHESTER"/>
    <s v="NY"/>
    <n v="167419"/>
    <n v="156469"/>
    <n v="10950"/>
    <n v="41000"/>
    <n v="40700"/>
    <n v="300"/>
  </r>
  <r>
    <n v="13365"/>
    <n v="13366"/>
    <x v="0"/>
    <s v="NY-00130"/>
    <s v="WHITESTONE"/>
    <n v="11357"/>
    <s v="QUEENS"/>
    <s v="NY"/>
    <n v="511768"/>
    <n v="393648"/>
    <n v="118120"/>
    <n v="250800"/>
    <n v="222200"/>
    <n v="28600"/>
  </r>
  <r>
    <n v="13365"/>
    <n v="13366"/>
    <x v="0"/>
    <s v="NY-00130"/>
    <s v="WHITLEY HEIGHTS"/>
    <n v="11798"/>
    <s v="SUFFOLK"/>
    <s v="NY"/>
    <n v="46761"/>
    <n v="42361"/>
    <n v="4400"/>
    <n v="0"/>
    <n v="0"/>
    <n v="0"/>
  </r>
  <r>
    <n v="13365"/>
    <n v="13366"/>
    <x v="0"/>
    <s v="NY-00130"/>
    <s v="WILLISTON PARK"/>
    <n v="11596"/>
    <s v="NASSAU"/>
    <s v="NY"/>
    <n v="84992"/>
    <n v="84292"/>
    <n v="700"/>
    <n v="56600"/>
    <n v="56600"/>
    <n v="0"/>
  </r>
  <r>
    <n v="13365"/>
    <n v="13366"/>
    <x v="0"/>
    <s v="NY-00130"/>
    <s v="WILLISTON PK"/>
    <n v="11596"/>
    <s v="NASSAU"/>
    <s v="NY"/>
    <n v="37355"/>
    <n v="37355"/>
    <n v="0"/>
    <n v="0"/>
    <n v="0"/>
    <n v="0"/>
  </r>
  <r>
    <n v="13365"/>
    <n v="13366"/>
    <x v="0"/>
    <s v="NY-00130"/>
    <s v="WOODBURY"/>
    <n v="11797"/>
    <s v="NASSAU"/>
    <s v="NY"/>
    <n v="234425"/>
    <n v="217695"/>
    <n v="16730"/>
    <n v="121000"/>
    <n v="107300"/>
    <n v="13700"/>
  </r>
  <r>
    <n v="13365"/>
    <n v="13366"/>
    <x v="0"/>
    <s v="NY-00130"/>
    <s v="WOODHAVEN"/>
    <n v="11421"/>
    <s v="QUEENS"/>
    <s v="NY"/>
    <n v="297707"/>
    <n v="275807"/>
    <n v="21900"/>
    <n v="104400"/>
    <n v="93200"/>
    <n v="11200"/>
  </r>
  <r>
    <n v="13365"/>
    <n v="13366"/>
    <x v="0"/>
    <s v="NY-00130"/>
    <s v="WOODMER"/>
    <n v="11598"/>
    <s v="NASSAU"/>
    <s v="NY"/>
    <n v="189027"/>
    <n v="103227"/>
    <n v="85800"/>
    <n v="0"/>
    <n v="0"/>
    <n v="0"/>
  </r>
  <r>
    <n v="13365"/>
    <n v="13366"/>
    <x v="0"/>
    <s v="NY-00130"/>
    <s v="WOODMERE"/>
    <n v="10022"/>
    <s v="NASSAU"/>
    <s v="NY"/>
    <n v="100520"/>
    <n v="74770"/>
    <n v="25750"/>
    <n v="94500"/>
    <n v="68800"/>
    <n v="25700"/>
  </r>
  <r>
    <n v="13365"/>
    <n v="13366"/>
    <x v="0"/>
    <s v="NY-00130"/>
    <s v="WOODMERE"/>
    <n v="11581"/>
    <s v="NASSAU"/>
    <s v="NY"/>
    <n v="89235"/>
    <n v="68385"/>
    <n v="20850"/>
    <n v="0"/>
    <n v="0"/>
    <n v="0"/>
  </r>
  <r>
    <n v="13365"/>
    <n v="13366"/>
    <x v="0"/>
    <s v="NY-00130"/>
    <s v="WOODMERE"/>
    <n v="11590"/>
    <s v="NASSAU"/>
    <s v="NY"/>
    <n v="26021"/>
    <n v="22221"/>
    <n v="3800"/>
    <n v="3800"/>
    <n v="0"/>
    <n v="3800"/>
  </r>
  <r>
    <n v="13365"/>
    <n v="13366"/>
    <x v="0"/>
    <s v="NY-00130"/>
    <s v="WOODMERE"/>
    <n v="11598"/>
    <s v="NASSAU"/>
    <s v="NY"/>
    <n v="35716264"/>
    <n v="24287547"/>
    <n v="11428717"/>
    <n v="16200900"/>
    <n v="11865100"/>
    <n v="4335800"/>
  </r>
  <r>
    <n v="13365"/>
    <n v="13366"/>
    <x v="0"/>
    <s v="NY-00130"/>
    <s v="WOODMERE"/>
    <n v="11598"/>
    <s v="NEW YORK"/>
    <s v="NY"/>
    <n v="63765"/>
    <n v="52915"/>
    <n v="10850"/>
    <n v="0"/>
    <n v="0"/>
    <n v="0"/>
  </r>
  <r>
    <n v="13365"/>
    <n v="13366"/>
    <x v="0"/>
    <s v="NY-00130"/>
    <s v="WOODSIDE"/>
    <n v="11377"/>
    <s v="QUEENS"/>
    <s v="NY"/>
    <n v="38299"/>
    <n v="29724"/>
    <n v="8575"/>
    <n v="0"/>
    <n v="0"/>
    <n v="0"/>
  </r>
  <r>
    <n v="13365"/>
    <n v="13366"/>
    <x v="0"/>
    <s v="NY-00130"/>
    <s v="WYANDANCH"/>
    <n v="11798"/>
    <s v="SUFFOLK"/>
    <s v="NY"/>
    <n v="166558"/>
    <n v="123152"/>
    <n v="43406"/>
    <n v="48700"/>
    <n v="33000"/>
    <n v="15700"/>
  </r>
  <r>
    <n v="13365"/>
    <n v="13366"/>
    <x v="0"/>
    <s v="NY-00130"/>
    <s v="YAPHANK"/>
    <n v="11980"/>
    <s v="SUFFOLK"/>
    <s v="NY"/>
    <n v="61254"/>
    <n v="56029"/>
    <n v="5225"/>
    <n v="13200"/>
    <n v="8000"/>
    <n v="5200"/>
  </r>
  <r>
    <n v="13365"/>
    <n v="13366"/>
    <x v="0"/>
    <s v="NY-00130"/>
    <s v="YONKERS"/>
    <n v="10701"/>
    <s v="WESTCHESTER"/>
    <s v="NY"/>
    <n v="190825"/>
    <n v="127015"/>
    <n v="63810"/>
    <n v="33100"/>
    <n v="15100"/>
    <n v="18000"/>
  </r>
  <r>
    <n v="13365"/>
    <n v="13366"/>
    <x v="0"/>
    <s v="NY-00130"/>
    <s v="YONKERS"/>
    <n v="10703"/>
    <s v="WESTCHESTER"/>
    <s v="NY"/>
    <n v="147749"/>
    <n v="144849"/>
    <n v="2900"/>
    <n v="88700"/>
    <n v="86700"/>
    <n v="2000"/>
  </r>
  <r>
    <n v="13365"/>
    <n v="13366"/>
    <x v="0"/>
    <s v="NY-00130"/>
    <s v="YONKERS"/>
    <n v="10704"/>
    <s v="WESTCHESTER"/>
    <s v="NY"/>
    <n v="171165"/>
    <n v="162390"/>
    <n v="8775"/>
    <n v="120200"/>
    <n v="115000"/>
    <n v="5200"/>
  </r>
  <r>
    <n v="13365"/>
    <n v="13366"/>
    <x v="0"/>
    <s v="NY-00130"/>
    <s v="YONKERS"/>
    <n v="10705"/>
    <s v="WESTCHESTER"/>
    <s v="NY"/>
    <n v="107186"/>
    <n v="94936"/>
    <n v="12250"/>
    <n v="59900"/>
    <n v="53800"/>
    <n v="6100"/>
  </r>
  <r>
    <n v="13365"/>
    <n v="13366"/>
    <x v="0"/>
    <s v="NY-00130"/>
    <s v="YONKERS"/>
    <n v="10710"/>
    <s v="WESTCHESTER"/>
    <s v="NY"/>
    <n v="92639"/>
    <n v="89939"/>
    <n v="2700"/>
    <n v="24900"/>
    <n v="22700"/>
    <n v="2200"/>
  </r>
  <r>
    <n v="13365"/>
    <n v="13366"/>
    <x v="0"/>
    <s v="NY-00130"/>
    <s v="YORKTOWN HEIGHTS"/>
    <n v="10598"/>
    <s v="WESTCHESTER"/>
    <s v="NY"/>
    <n v="389821"/>
    <n v="340146"/>
    <n v="49675"/>
    <n v="246200"/>
    <n v="197900"/>
    <n v="48300"/>
  </r>
  <r>
    <n v="13367"/>
    <n v="13368"/>
    <x v="1"/>
    <s v="NJ-00033"/>
    <s v="ABERDEEN"/>
    <n v="7747"/>
    <s v="MONMOUTH"/>
    <s v="NJ"/>
    <n v="65852"/>
    <n v="64627"/>
    <n v="1225"/>
    <n v="42000"/>
    <n v="41300"/>
    <n v="700"/>
  </r>
  <r>
    <n v="13367"/>
    <n v="13368"/>
    <x v="1"/>
    <s v="NJ-00033"/>
    <s v="ABSECON"/>
    <n v="8201"/>
    <s v="ATLANTIC"/>
    <s v="NJ"/>
    <n v="364029"/>
    <n v="288579"/>
    <n v="75450"/>
    <n v="51500"/>
    <n v="32600"/>
    <n v="18900"/>
  </r>
  <r>
    <n v="13367"/>
    <n v="13368"/>
    <x v="1"/>
    <s v="NJ-00033"/>
    <s v="ABSECON"/>
    <n v="8205"/>
    <s v="ATLANTIC"/>
    <s v="NJ"/>
    <n v="38740"/>
    <n v="12140"/>
    <n v="26600"/>
    <n v="0"/>
    <n v="0"/>
    <n v="0"/>
  </r>
  <r>
    <n v="13367"/>
    <n v="13368"/>
    <x v="1"/>
    <s v="NJ-00033"/>
    <s v="ALANTIC CITY"/>
    <n v="8401"/>
    <s v="ATLANTIC"/>
    <s v="NJ"/>
    <n v="15400"/>
    <n v="0"/>
    <n v="15400"/>
    <n v="15400"/>
    <n v="0"/>
    <n v="15400"/>
  </r>
  <r>
    <n v="13367"/>
    <n v="13368"/>
    <x v="1"/>
    <s v="NJ-00033"/>
    <s v="ALLENDALE"/>
    <n v="7401"/>
    <s v="BERGEN"/>
    <s v="NJ"/>
    <n v="631086"/>
    <n v="498701"/>
    <n v="132385"/>
    <n v="449600"/>
    <n v="351800"/>
    <n v="97800"/>
  </r>
  <r>
    <n v="13367"/>
    <n v="13368"/>
    <x v="1"/>
    <s v="NJ-00033"/>
    <s v="ALLENHURST"/>
    <n v="7711"/>
    <s v="MONMOUTH"/>
    <s v="NJ"/>
    <n v="44632"/>
    <n v="43132"/>
    <n v="1500"/>
    <n v="14000"/>
    <n v="12500"/>
    <n v="1500"/>
  </r>
  <r>
    <n v="13367"/>
    <n v="13368"/>
    <x v="1"/>
    <s v="NJ-00033"/>
    <s v="ALLENTOWN"/>
    <n v="8501"/>
    <s v="MERCER"/>
    <s v="NJ"/>
    <n v="18934"/>
    <n v="18934"/>
    <n v="0"/>
    <n v="0"/>
    <n v="0"/>
    <n v="0"/>
  </r>
  <r>
    <n v="13367"/>
    <n v="13368"/>
    <x v="1"/>
    <s v="NJ-00033"/>
    <s v="ALPHA"/>
    <n v="8865"/>
    <s v="WARREN"/>
    <s v="NJ"/>
    <n v="20251"/>
    <n v="19501"/>
    <n v="750"/>
    <n v="11900"/>
    <n v="11600"/>
    <n v="300"/>
  </r>
  <r>
    <n v="13367"/>
    <n v="13368"/>
    <x v="1"/>
    <s v="NJ-00033"/>
    <s v="ANDOVER"/>
    <n v="7821"/>
    <s v="SUSSEX"/>
    <s v="NJ"/>
    <n v="120097"/>
    <n v="118697"/>
    <n v="1400"/>
    <n v="56200"/>
    <n v="56200"/>
    <n v="0"/>
  </r>
  <r>
    <n v="13367"/>
    <n v="13368"/>
    <x v="1"/>
    <s v="NJ-00033"/>
    <s v="ANNANDALE"/>
    <n v="8801"/>
    <s v="HUNTERDON"/>
    <s v="NJ"/>
    <n v="68574"/>
    <n v="60374"/>
    <n v="8200"/>
    <n v="65400"/>
    <n v="58000"/>
    <n v="7400"/>
  </r>
  <r>
    <n v="13367"/>
    <n v="13368"/>
    <x v="1"/>
    <s v="NJ-00033"/>
    <s v="ASBURY"/>
    <n v="8802"/>
    <s v="HUNTERDON"/>
    <s v="NJ"/>
    <n v="84259"/>
    <n v="82109"/>
    <n v="2150"/>
    <n v="34100"/>
    <n v="32600"/>
    <n v="1500"/>
  </r>
  <r>
    <n v="13367"/>
    <n v="13368"/>
    <x v="1"/>
    <s v="NJ-00033"/>
    <s v="ASBURY"/>
    <n v="8802"/>
    <s v="WARREN"/>
    <s v="NJ"/>
    <n v="57540"/>
    <n v="57540"/>
    <n v="0"/>
    <n v="0"/>
    <n v="0"/>
    <n v="0"/>
  </r>
  <r>
    <n v="13367"/>
    <n v="13368"/>
    <x v="1"/>
    <s v="NJ-00033"/>
    <s v="ASBURY PARK"/>
    <n v="7712"/>
    <s v="MONMOUTH"/>
    <s v="NJ"/>
    <n v="335325"/>
    <n v="272370"/>
    <n v="62955"/>
    <n v="87700"/>
    <n v="71600"/>
    <n v="16100"/>
  </r>
  <r>
    <n v="13367"/>
    <n v="13368"/>
    <x v="1"/>
    <s v="NJ-00033"/>
    <s v="ATLANTIC"/>
    <n v="8401"/>
    <s v="ATLANTIC"/>
    <s v="NJ"/>
    <n v="225090"/>
    <n v="179585"/>
    <n v="45505"/>
    <n v="20000"/>
    <n v="13300"/>
    <n v="6700"/>
  </r>
  <r>
    <n v="13367"/>
    <n v="13368"/>
    <x v="1"/>
    <s v="NJ-00033"/>
    <s v="ATLANTIC CITY"/>
    <n v="8053"/>
    <s v="ATLANTIC"/>
    <s v="NJ"/>
    <n v="25509"/>
    <n v="25509"/>
    <n v="0"/>
    <n v="14000"/>
    <n v="14000"/>
    <n v="0"/>
  </r>
  <r>
    <n v="13367"/>
    <n v="13368"/>
    <x v="1"/>
    <s v="NJ-00033"/>
    <s v="ATLANTIC CITY"/>
    <n v="8201"/>
    <s v="ATLANTIC"/>
    <s v="NJ"/>
    <n v="36527"/>
    <n v="29327"/>
    <n v="7200"/>
    <n v="35000"/>
    <n v="27800"/>
    <n v="7200"/>
  </r>
  <r>
    <n v="13367"/>
    <n v="13368"/>
    <x v="1"/>
    <s v="NJ-00033"/>
    <s v="ATLANTIC CITY"/>
    <n v="8205"/>
    <s v="ATLANTIC"/>
    <s v="NJ"/>
    <n v="33754"/>
    <n v="24204"/>
    <n v="9550"/>
    <n v="0"/>
    <n v="0"/>
    <n v="0"/>
  </r>
  <r>
    <n v="13367"/>
    <n v="13368"/>
    <x v="1"/>
    <s v="NJ-00033"/>
    <s v="ATLANTIC CITY"/>
    <n v="8232"/>
    <s v="ATLANTIC"/>
    <s v="NJ"/>
    <n v="29700"/>
    <n v="0"/>
    <n v="29700"/>
    <n v="29700"/>
    <n v="0"/>
    <n v="29700"/>
  </r>
  <r>
    <n v="13367"/>
    <n v="13368"/>
    <x v="1"/>
    <s v="NJ-00033"/>
    <s v="ATLANTIC CITY"/>
    <n v="8401"/>
    <s v="ATLANTIC"/>
    <s v="NJ"/>
    <n v="22527366"/>
    <n v="15761822"/>
    <n v="6765544"/>
    <n v="8632700"/>
    <n v="5513000"/>
    <n v="3119700"/>
  </r>
  <r>
    <n v="13367"/>
    <n v="13368"/>
    <x v="1"/>
    <s v="NJ-00033"/>
    <s v="ATLANTIC CITY"/>
    <n v="8406"/>
    <s v="ATLANTIC"/>
    <s v="NJ"/>
    <n v="49171"/>
    <n v="37896"/>
    <n v="11275"/>
    <n v="32300"/>
    <n v="21100"/>
    <n v="11200"/>
  </r>
  <r>
    <n v="13367"/>
    <n v="13368"/>
    <x v="1"/>
    <s v="NJ-00033"/>
    <s v="ATLANTIC CITY"/>
    <n v="8940"/>
    <s v="ATLANTIC"/>
    <s v="NJ"/>
    <n v="17050"/>
    <n v="0"/>
    <n v="17050"/>
    <n v="0"/>
    <n v="0"/>
    <n v="0"/>
  </r>
  <r>
    <n v="13367"/>
    <n v="13368"/>
    <x v="1"/>
    <s v="NJ-00033"/>
    <s v="ATLANTIC HIGHLANDS"/>
    <n v="7716"/>
    <s v="MONMOUTH"/>
    <s v="NJ"/>
    <n v="1023474"/>
    <n v="749049"/>
    <n v="274425"/>
    <n v="599700"/>
    <n v="446200"/>
    <n v="153500"/>
  </r>
  <r>
    <n v="13367"/>
    <n v="13368"/>
    <x v="1"/>
    <s v="NJ-00033"/>
    <s v="ATLANTICCITY"/>
    <n v="8401"/>
    <s v="ATLANTIC"/>
    <s v="NJ"/>
    <n v="10695"/>
    <n v="0"/>
    <n v="10695"/>
    <n v="10700"/>
    <n v="0"/>
    <n v="10700"/>
  </r>
  <r>
    <n v="13367"/>
    <n v="13368"/>
    <x v="1"/>
    <s v="NJ-00033"/>
    <s v="AVALON"/>
    <n v="8202"/>
    <s v="CAPE MAY"/>
    <s v="NJ"/>
    <n v="1119602"/>
    <n v="864642"/>
    <n v="254960"/>
    <n v="472400"/>
    <n v="384900"/>
    <n v="87500"/>
  </r>
  <r>
    <n v="13367"/>
    <n v="13368"/>
    <x v="1"/>
    <s v="NJ-00033"/>
    <s v="AVENEL"/>
    <n v="7001"/>
    <s v="MIDDLESEX"/>
    <s v="NJ"/>
    <n v="288204"/>
    <n v="242534"/>
    <n v="45670"/>
    <n v="109700"/>
    <n v="97800"/>
    <n v="11900"/>
  </r>
  <r>
    <n v="13367"/>
    <n v="13368"/>
    <x v="1"/>
    <s v="NJ-00033"/>
    <s v="AVON"/>
    <n v="7717"/>
    <s v="MONMOUTH"/>
    <s v="NJ"/>
    <n v="531408"/>
    <n v="336788"/>
    <n v="194620"/>
    <n v="271700"/>
    <n v="172200"/>
    <n v="99500"/>
  </r>
  <r>
    <n v="13367"/>
    <n v="13368"/>
    <x v="1"/>
    <s v="NJ-00033"/>
    <s v="AVON BY THE SEA"/>
    <n v="7717"/>
    <s v="MONMOUTH"/>
    <s v="NJ"/>
    <n v="4112749"/>
    <n v="3056369"/>
    <n v="1056380"/>
    <n v="1354300"/>
    <n v="913800"/>
    <n v="440500"/>
  </r>
  <r>
    <n v="13367"/>
    <n v="13368"/>
    <x v="1"/>
    <s v="NJ-00033"/>
    <s v="AVON-BY-THE-SEA"/>
    <n v="7717"/>
    <s v="MONMOUTH"/>
    <s v="NJ"/>
    <n v="368720"/>
    <n v="251270"/>
    <n v="117450"/>
    <n v="58600"/>
    <n v="12600"/>
    <n v="46000"/>
  </r>
  <r>
    <n v="13367"/>
    <n v="13368"/>
    <x v="1"/>
    <s v="NJ-00033"/>
    <s v="BARNEGAT"/>
    <n v="8005"/>
    <s v="OCEAN"/>
    <s v="NJ"/>
    <n v="4283184"/>
    <n v="3273628"/>
    <n v="1009556"/>
    <n v="2164900"/>
    <n v="1604000"/>
    <n v="560900"/>
  </r>
  <r>
    <n v="13367"/>
    <n v="13368"/>
    <x v="1"/>
    <s v="NJ-00033"/>
    <s v="BARNEGAT LIGHT"/>
    <n v="8006"/>
    <s v="OCEAN"/>
    <s v="NJ"/>
    <n v="109480"/>
    <n v="80555"/>
    <n v="28925"/>
    <n v="0"/>
    <n v="0"/>
    <n v="0"/>
  </r>
  <r>
    <n v="13367"/>
    <n v="13368"/>
    <x v="1"/>
    <s v="NJ-00033"/>
    <s v="BASKING RIDGE"/>
    <n v="7920"/>
    <s v="SOMERSET"/>
    <s v="NJ"/>
    <n v="531788"/>
    <n v="434338"/>
    <n v="97450"/>
    <n v="157600"/>
    <n v="144700"/>
    <n v="12900"/>
  </r>
  <r>
    <n v="13367"/>
    <n v="13368"/>
    <x v="1"/>
    <s v="NJ-00033"/>
    <s v="BASS RIVER"/>
    <n v="8224"/>
    <s v="BURLINGTON"/>
    <s v="NJ"/>
    <n v="181117"/>
    <n v="69955"/>
    <n v="111162"/>
    <n v="78500"/>
    <n v="38500"/>
    <n v="40000"/>
  </r>
  <r>
    <n v="13367"/>
    <n v="13368"/>
    <x v="1"/>
    <s v="NJ-00033"/>
    <s v="BASS RIVER TOWNSHIP"/>
    <n v="8215"/>
    <s v="BURLINGTON"/>
    <s v="NJ"/>
    <n v="50274"/>
    <n v="50274"/>
    <n v="0"/>
    <n v="5000"/>
    <n v="5000"/>
    <n v="0"/>
  </r>
  <r>
    <n v="13367"/>
    <n v="13368"/>
    <x v="1"/>
    <s v="NJ-00033"/>
    <s v="BAY HEAD"/>
    <n v="8550"/>
    <s v="OCEAN"/>
    <s v="NJ"/>
    <n v="144611"/>
    <n v="105611"/>
    <n v="39000"/>
    <n v="0"/>
    <n v="0"/>
    <n v="0"/>
  </r>
  <r>
    <n v="13367"/>
    <n v="13368"/>
    <x v="1"/>
    <s v="NJ-00033"/>
    <s v="BAY HEAD"/>
    <n v="8742"/>
    <s v="OCEAN"/>
    <s v="NJ"/>
    <n v="17780671"/>
    <n v="13000804"/>
    <n v="4779867"/>
    <n v="6927200"/>
    <n v="5035400"/>
    <n v="1891800"/>
  </r>
  <r>
    <n v="13367"/>
    <n v="13368"/>
    <x v="1"/>
    <s v="NJ-00033"/>
    <s v="BAY HEAD"/>
    <n v="8742"/>
    <s v="SALEM"/>
    <s v="NJ"/>
    <n v="135740"/>
    <n v="100940"/>
    <n v="34800"/>
    <n v="0"/>
    <n v="0"/>
    <n v="0"/>
  </r>
  <r>
    <n v="13367"/>
    <n v="13368"/>
    <x v="1"/>
    <s v="NJ-00033"/>
    <s v="BAYONN"/>
    <n v="7002"/>
    <s v="HUDSON"/>
    <s v="NJ"/>
    <n v="9725"/>
    <n v="0"/>
    <n v="9725"/>
    <n v="0"/>
    <n v="0"/>
    <n v="0"/>
  </r>
  <r>
    <n v="13367"/>
    <n v="13368"/>
    <x v="1"/>
    <s v="NJ-00033"/>
    <s v="BAYONNE"/>
    <n v="7002"/>
    <s v="BERGEN"/>
    <s v="NJ"/>
    <n v="43490"/>
    <n v="0"/>
    <n v="43490"/>
    <n v="40000"/>
    <n v="0"/>
    <n v="40000"/>
  </r>
  <r>
    <n v="13367"/>
    <n v="13368"/>
    <x v="1"/>
    <s v="NJ-00033"/>
    <s v="BAYONNE"/>
    <n v="7002"/>
    <s v="HUDSON"/>
    <s v="NJ"/>
    <n v="7358458"/>
    <n v="4378846"/>
    <n v="2979612"/>
    <n v="3004100"/>
    <n v="1837700"/>
    <n v="1166400"/>
  </r>
  <r>
    <n v="13367"/>
    <n v="13368"/>
    <x v="1"/>
    <s v="NJ-00033"/>
    <s v="BAYONNE"/>
    <n v="7002"/>
    <s v="HUNTERDON"/>
    <s v="NJ"/>
    <n v="95187"/>
    <n v="32307"/>
    <n v="62880"/>
    <n v="0"/>
    <n v="0"/>
    <n v="0"/>
  </r>
  <r>
    <n v="13367"/>
    <n v="13368"/>
    <x v="1"/>
    <s v="NJ-00033"/>
    <s v="BAYSHORE AVE"/>
    <n v="8203"/>
    <s v="ATLANTIC"/>
    <s v="NJ"/>
    <n v="19925"/>
    <n v="0"/>
    <n v="19925"/>
    <n v="0"/>
    <n v="0"/>
    <n v="0"/>
  </r>
  <r>
    <n v="13367"/>
    <n v="13368"/>
    <x v="1"/>
    <s v="NJ-00033"/>
    <s v="BAYVIEW"/>
    <n v="8721"/>
    <s v="OCEAN"/>
    <s v="NJ"/>
    <n v="55272"/>
    <n v="53772"/>
    <n v="1500"/>
    <n v="46300"/>
    <n v="44800"/>
    <n v="1500"/>
  </r>
  <r>
    <n v="13367"/>
    <n v="13368"/>
    <x v="1"/>
    <s v="NJ-00033"/>
    <s v="BAYVILLE"/>
    <n v="8721"/>
    <s v="MONMOUTH"/>
    <s v="NJ"/>
    <n v="86988"/>
    <n v="76088"/>
    <n v="10900"/>
    <n v="0"/>
    <n v="0"/>
    <n v="0"/>
  </r>
  <r>
    <n v="13367"/>
    <n v="13368"/>
    <x v="1"/>
    <s v="NJ-00033"/>
    <s v="BAYVILLE"/>
    <n v="8721"/>
    <s v="OCEAN"/>
    <s v="NJ"/>
    <n v="28406309"/>
    <n v="21271895"/>
    <n v="7134414"/>
    <n v="11196200"/>
    <n v="8088700"/>
    <n v="3107500"/>
  </r>
  <r>
    <n v="13367"/>
    <n v="13368"/>
    <x v="1"/>
    <s v="NJ-00033"/>
    <s v="BAYVILLE"/>
    <n v="8722"/>
    <s v="OCEAN"/>
    <s v="NJ"/>
    <n v="103457"/>
    <n v="56632"/>
    <n v="46825"/>
    <n v="0"/>
    <n v="0"/>
    <n v="0"/>
  </r>
  <r>
    <n v="13367"/>
    <n v="13368"/>
    <x v="1"/>
    <s v="NJ-00033"/>
    <s v="BAYVILLE"/>
    <n v="8734"/>
    <s v="OCEAN"/>
    <s v="NJ"/>
    <n v="145036"/>
    <n v="118436"/>
    <n v="26600"/>
    <n v="104200"/>
    <n v="77600"/>
    <n v="26600"/>
  </r>
  <r>
    <n v="13367"/>
    <n v="13368"/>
    <x v="1"/>
    <s v="NJ-00033"/>
    <s v="BAYVILLE"/>
    <n v="8751"/>
    <s v="OCEAN"/>
    <s v="NJ"/>
    <n v="78397"/>
    <n v="65553"/>
    <n v="12844"/>
    <n v="0"/>
    <n v="0"/>
    <n v="0"/>
  </r>
  <r>
    <n v="13367"/>
    <n v="13368"/>
    <x v="1"/>
    <s v="NJ-00033"/>
    <s v="BEACH AVE"/>
    <n v="8008"/>
    <s v="OCEAN"/>
    <s v="NJ"/>
    <n v="18057"/>
    <n v="6057"/>
    <n v="12000"/>
    <n v="0"/>
    <n v="0"/>
    <n v="0"/>
  </r>
  <r>
    <n v="13367"/>
    <n v="13368"/>
    <x v="1"/>
    <s v="NJ-00033"/>
    <s v="BEACH HAVEN"/>
    <n v="8008"/>
    <s v="OCEAN"/>
    <s v="NJ"/>
    <n v="16976665"/>
    <n v="11764262"/>
    <n v="5212403"/>
    <n v="5843900"/>
    <n v="3776800"/>
    <n v="2067100"/>
  </r>
  <r>
    <n v="13367"/>
    <n v="13368"/>
    <x v="1"/>
    <s v="NJ-00033"/>
    <s v="BEACH HAVEN CREST"/>
    <n v="8008"/>
    <s v="OCEAN"/>
    <s v="NJ"/>
    <n v="805349"/>
    <n v="619958"/>
    <n v="185391"/>
    <n v="303800"/>
    <n v="217800"/>
    <n v="86000"/>
  </r>
  <r>
    <n v="13367"/>
    <n v="13368"/>
    <x v="1"/>
    <s v="NJ-00033"/>
    <s v="BEACH HAVEN GARDENS"/>
    <n v="8008"/>
    <s v="OCEAN"/>
    <s v="NJ"/>
    <n v="492922"/>
    <n v="326492"/>
    <n v="166430"/>
    <n v="197800"/>
    <n v="134200"/>
    <n v="63600"/>
  </r>
  <r>
    <n v="13367"/>
    <n v="13368"/>
    <x v="1"/>
    <s v="NJ-00033"/>
    <s v="BEACH HAVEN GARDENS"/>
    <n v="8009"/>
    <s v="OCEAN"/>
    <s v="NJ"/>
    <n v="90226"/>
    <n v="49576"/>
    <n v="40650"/>
    <n v="0"/>
    <n v="0"/>
    <n v="0"/>
  </r>
  <r>
    <n v="13367"/>
    <n v="13368"/>
    <x v="1"/>
    <s v="NJ-00033"/>
    <s v="BEACH HAVEN PARK"/>
    <n v="8008"/>
    <s v="OCEAN"/>
    <s v="NJ"/>
    <n v="497298"/>
    <n v="345123"/>
    <n v="152175"/>
    <n v="69900"/>
    <n v="39400"/>
    <n v="30500"/>
  </r>
  <r>
    <n v="13367"/>
    <n v="13368"/>
    <x v="1"/>
    <s v="NJ-00033"/>
    <s v="BEACH HAVEN PARK LBI"/>
    <n v="8008"/>
    <s v="OCEAN"/>
    <s v="NJ"/>
    <n v="93413"/>
    <n v="73813"/>
    <n v="19600"/>
    <n v="0"/>
    <n v="0"/>
    <n v="0"/>
  </r>
  <r>
    <n v="13367"/>
    <n v="13368"/>
    <x v="1"/>
    <s v="NJ-00033"/>
    <s v="BEACH HAVEN TERR"/>
    <n v="8008"/>
    <s v="OCEAN"/>
    <s v="NJ"/>
    <n v="67946"/>
    <n v="47346"/>
    <n v="20600"/>
    <n v="58000"/>
    <n v="47400"/>
    <n v="10600"/>
  </r>
  <r>
    <n v="13367"/>
    <n v="13368"/>
    <x v="1"/>
    <s v="NJ-00033"/>
    <s v="BEACH HAVEN TERRACE"/>
    <n v="8008"/>
    <s v="OCEAN"/>
    <s v="NJ"/>
    <n v="593084"/>
    <n v="397319"/>
    <n v="195765"/>
    <n v="148300"/>
    <n v="108300"/>
    <n v="40000"/>
  </r>
  <r>
    <n v="13367"/>
    <n v="13368"/>
    <x v="1"/>
    <s v="NJ-00033"/>
    <s v="BEACH HAVEN WEST"/>
    <n v="7066"/>
    <s v="OCEAN"/>
    <s v="NJ"/>
    <n v="196538"/>
    <n v="163238"/>
    <n v="33300"/>
    <n v="0"/>
    <n v="0"/>
    <n v="0"/>
  </r>
  <r>
    <n v="13367"/>
    <n v="13368"/>
    <x v="1"/>
    <s v="NJ-00033"/>
    <s v="BEACH HAVEN WEST"/>
    <n v="8050"/>
    <s v="OCEAN"/>
    <s v="NJ"/>
    <n v="115018"/>
    <n v="98498"/>
    <n v="16520"/>
    <n v="0"/>
    <n v="0"/>
    <n v="0"/>
  </r>
  <r>
    <n v="13367"/>
    <n v="13368"/>
    <x v="1"/>
    <s v="NJ-00033"/>
    <s v="BEACH HEAVEN"/>
    <n v="8008"/>
    <s v="OCEAN"/>
    <s v="NJ"/>
    <n v="90619"/>
    <n v="58919"/>
    <n v="31700"/>
    <n v="0"/>
    <n v="0"/>
    <n v="0"/>
  </r>
  <r>
    <n v="13367"/>
    <n v="13368"/>
    <x v="1"/>
    <s v="NJ-00033"/>
    <s v="BEACHHAVEN WEST"/>
    <n v="8050"/>
    <s v="OCEAN"/>
    <s v="NJ"/>
    <n v="171955"/>
    <n v="126155"/>
    <n v="45800"/>
    <n v="0"/>
    <n v="0"/>
    <n v="0"/>
  </r>
  <r>
    <n v="13367"/>
    <n v="13368"/>
    <x v="1"/>
    <s v="NJ-00033"/>
    <s v="BEACHWOOD"/>
    <n v="8722"/>
    <s v="OCEAN"/>
    <s v="NJ"/>
    <n v="421712"/>
    <n v="341588"/>
    <n v="80124"/>
    <n v="156600"/>
    <n v="133200"/>
    <n v="23400"/>
  </r>
  <r>
    <n v="13367"/>
    <n v="13368"/>
    <x v="1"/>
    <s v="NJ-00033"/>
    <s v="BEACHWOOD"/>
    <n v="8752"/>
    <s v="OCEAN"/>
    <s v="NJ"/>
    <n v="71024"/>
    <n v="70574"/>
    <n v="450"/>
    <n v="0"/>
    <n v="0"/>
    <n v="0"/>
  </r>
  <r>
    <n v="13367"/>
    <n v="13368"/>
    <x v="1"/>
    <s v="NJ-00033"/>
    <s v="BEESLEYS POINT"/>
    <n v="8223"/>
    <s v="CAPE MAY"/>
    <s v="NJ"/>
    <n v="25639"/>
    <n v="25639"/>
    <n v="0"/>
    <n v="23600"/>
    <n v="23600"/>
    <n v="0"/>
  </r>
  <r>
    <n v="13367"/>
    <n v="13368"/>
    <x v="1"/>
    <s v="NJ-00033"/>
    <s v="BELFORD"/>
    <n v="7701"/>
    <s v="MONMOUTH"/>
    <s v="NJ"/>
    <n v="4100"/>
    <n v="0"/>
    <n v="4100"/>
    <n v="0"/>
    <n v="0"/>
    <n v="0"/>
  </r>
  <r>
    <n v="13367"/>
    <n v="13368"/>
    <x v="1"/>
    <s v="NJ-00033"/>
    <s v="BELFORD"/>
    <n v="7718"/>
    <s v="MONMOUTH"/>
    <s v="NJ"/>
    <n v="4233312"/>
    <n v="2930108"/>
    <n v="1303204"/>
    <n v="2074300"/>
    <n v="1382800"/>
    <n v="691500"/>
  </r>
  <r>
    <n v="13367"/>
    <n v="13368"/>
    <x v="1"/>
    <s v="NJ-00033"/>
    <s v="BELLE MEAD"/>
    <n v="8502"/>
    <s v="SOMERSET"/>
    <s v="NJ"/>
    <n v="135766"/>
    <n v="128926"/>
    <n v="6840"/>
    <n v="52300"/>
    <n v="48800"/>
    <n v="3500"/>
  </r>
  <r>
    <n v="13367"/>
    <n v="13368"/>
    <x v="1"/>
    <s v="NJ-00033"/>
    <s v="BELLEVILLE"/>
    <n v="7109"/>
    <s v="ESSEX"/>
    <s v="NJ"/>
    <n v="236393"/>
    <n v="165233"/>
    <n v="71160"/>
    <n v="87000"/>
    <n v="50500"/>
    <n v="36500"/>
  </r>
  <r>
    <n v="13367"/>
    <n v="13368"/>
    <x v="1"/>
    <s v="NJ-00033"/>
    <s v="BELMAR"/>
    <n v="7029"/>
    <s v="MONMOUTH"/>
    <s v="NJ"/>
    <n v="38761"/>
    <n v="18011"/>
    <n v="20750"/>
    <n v="0"/>
    <n v="0"/>
    <n v="0"/>
  </r>
  <r>
    <n v="13367"/>
    <n v="13368"/>
    <x v="1"/>
    <s v="NJ-00033"/>
    <s v="BELMAR"/>
    <n v="7719"/>
    <s v="HUDSON"/>
    <s v="NJ"/>
    <n v="69730"/>
    <n v="54980"/>
    <n v="14750"/>
    <n v="0"/>
    <n v="0"/>
    <n v="0"/>
  </r>
  <r>
    <n v="13367"/>
    <n v="13368"/>
    <x v="1"/>
    <s v="NJ-00033"/>
    <s v="BELMAR"/>
    <n v="7719"/>
    <s v="MONMOUTH"/>
    <s v="NJ"/>
    <n v="10538575"/>
    <n v="7546152"/>
    <n v="2992423"/>
    <n v="5078900"/>
    <n v="3467300"/>
    <n v="1611600"/>
  </r>
  <r>
    <n v="13367"/>
    <n v="13368"/>
    <x v="1"/>
    <s v="NJ-00033"/>
    <s v="BELMAR"/>
    <n v="8750"/>
    <s v="MONMOUTH"/>
    <s v="NJ"/>
    <n v="101027"/>
    <n v="63897"/>
    <n v="37130"/>
    <n v="62500"/>
    <n v="27400"/>
    <n v="35100"/>
  </r>
  <r>
    <n v="13367"/>
    <n v="13368"/>
    <x v="1"/>
    <s v="NJ-00033"/>
    <s v="BELMAR"/>
    <n v="8857"/>
    <s v="MONMOUTH"/>
    <s v="NJ"/>
    <n v="65312"/>
    <n v="48287"/>
    <n v="17025"/>
    <n v="44100"/>
    <n v="27100"/>
    <n v="17000"/>
  </r>
  <r>
    <n v="13367"/>
    <n v="13368"/>
    <x v="1"/>
    <s v="NJ-00033"/>
    <s v="BERGENFIELD"/>
    <n v="7621"/>
    <s v="BERGEN"/>
    <s v="NJ"/>
    <n v="354550"/>
    <n v="278440"/>
    <n v="76110"/>
    <n v="123200"/>
    <n v="114800"/>
    <n v="8400"/>
  </r>
  <r>
    <n v="13367"/>
    <n v="13368"/>
    <x v="1"/>
    <s v="NJ-00033"/>
    <s v="BERKELEY"/>
    <n v="8721"/>
    <s v="OCEAN"/>
    <s v="NJ"/>
    <n v="79395"/>
    <n v="47260"/>
    <n v="32135"/>
    <n v="0"/>
    <n v="0"/>
    <n v="0"/>
  </r>
  <r>
    <n v="13367"/>
    <n v="13368"/>
    <x v="1"/>
    <s v="NJ-00033"/>
    <s v="BERKELEY HEIGHTS"/>
    <n v="7922"/>
    <s v="UNION"/>
    <s v="NJ"/>
    <n v="52893"/>
    <n v="38061"/>
    <n v="14832"/>
    <n v="13400"/>
    <n v="10900"/>
    <n v="2500"/>
  </r>
  <r>
    <n v="13367"/>
    <n v="13368"/>
    <x v="1"/>
    <s v="NJ-00033"/>
    <s v="BERKLY TOWNSHIP"/>
    <n v="8752"/>
    <s v="OCEAN"/>
    <s v="NJ"/>
    <n v="103437"/>
    <n v="88877"/>
    <n v="14560"/>
    <n v="0"/>
    <n v="0"/>
    <n v="0"/>
  </r>
  <r>
    <n v="13367"/>
    <n v="13368"/>
    <x v="1"/>
    <s v="NJ-00033"/>
    <s v="BERLIN"/>
    <n v="8009"/>
    <s v="CAMDEN"/>
    <s v="NJ"/>
    <n v="22887"/>
    <n v="22887"/>
    <n v="0"/>
    <n v="0"/>
    <n v="0"/>
    <n v="0"/>
  </r>
  <r>
    <n v="13367"/>
    <n v="13368"/>
    <x v="1"/>
    <s v="NJ-00033"/>
    <s v="BERNARDSVILLE"/>
    <n v="7924"/>
    <s v="SOMERSET"/>
    <s v="NJ"/>
    <n v="578167"/>
    <n v="574192"/>
    <n v="3975"/>
    <n v="309600"/>
    <n v="308700"/>
    <n v="900"/>
  </r>
  <r>
    <n v="13367"/>
    <n v="13368"/>
    <x v="1"/>
    <s v="NJ-00033"/>
    <s v="BLACKWOOD"/>
    <n v="8012"/>
    <s v="CAMDEN"/>
    <s v="NJ"/>
    <n v="11917"/>
    <n v="11917"/>
    <n v="0"/>
    <n v="6000"/>
    <n v="6000"/>
    <n v="0"/>
  </r>
  <r>
    <n v="13367"/>
    <n v="13368"/>
    <x v="1"/>
    <s v="NJ-00033"/>
    <s v="BLAIRSTOWN"/>
    <n v="7825"/>
    <s v="WARREN"/>
    <s v="NJ"/>
    <n v="75869"/>
    <n v="74319"/>
    <n v="1550"/>
    <n v="54700"/>
    <n v="53200"/>
    <n v="1500"/>
  </r>
  <r>
    <n v="13367"/>
    <n v="13368"/>
    <x v="1"/>
    <s v="NJ-00033"/>
    <s v="BLOOMFIELD"/>
    <n v="7003"/>
    <s v="ESSEX"/>
    <s v="NJ"/>
    <n v="378042"/>
    <n v="345592"/>
    <n v="32450"/>
    <n v="131100"/>
    <n v="120900"/>
    <n v="10200"/>
  </r>
  <r>
    <n v="13367"/>
    <n v="13368"/>
    <x v="1"/>
    <s v="NJ-00033"/>
    <s v="BLOOMSBURY"/>
    <n v="8804"/>
    <s v="HUNTERDON"/>
    <s v="NJ"/>
    <n v="16034"/>
    <n v="16034"/>
    <n v="0"/>
    <n v="6300"/>
    <n v="6300"/>
    <n v="0"/>
  </r>
  <r>
    <n v="13367"/>
    <n v="13368"/>
    <x v="1"/>
    <s v="NJ-00033"/>
    <s v="BOGOTA"/>
    <n v="7603"/>
    <s v="BERGEN"/>
    <s v="NJ"/>
    <n v="41844"/>
    <n v="36694"/>
    <n v="5150"/>
    <n v="22900"/>
    <n v="19900"/>
    <n v="3000"/>
  </r>
  <r>
    <n v="13367"/>
    <n v="13368"/>
    <x v="1"/>
    <s v="NJ-00033"/>
    <s v="BOONTON"/>
    <n v="7005"/>
    <s v="MORRIS"/>
    <s v="NJ"/>
    <n v="461834"/>
    <n v="439234"/>
    <n v="22600"/>
    <n v="97600"/>
    <n v="97600"/>
    <n v="0"/>
  </r>
  <r>
    <n v="13367"/>
    <n v="13368"/>
    <x v="1"/>
    <s v="NJ-00033"/>
    <s v="BORDENTOWN"/>
    <n v="8505"/>
    <s v="BURLINGTON"/>
    <s v="NJ"/>
    <n v="13768"/>
    <n v="13768"/>
    <n v="0"/>
    <n v="0"/>
    <n v="0"/>
    <n v="0"/>
  </r>
  <r>
    <n v="13367"/>
    <n v="13368"/>
    <x v="1"/>
    <s v="NJ-00033"/>
    <s v="BOUND BROOK"/>
    <n v="8805"/>
    <s v="SOMERSET"/>
    <s v="NJ"/>
    <n v="104724"/>
    <n v="101274"/>
    <n v="3450"/>
    <n v="66000"/>
    <n v="63800"/>
    <n v="2200"/>
  </r>
  <r>
    <n v="13367"/>
    <n v="13368"/>
    <x v="1"/>
    <s v="NJ-00033"/>
    <s v="BRADLEY BEACH"/>
    <n v="7720"/>
    <s v="MONMOUTH"/>
    <s v="NJ"/>
    <n v="1294314"/>
    <n v="984990"/>
    <n v="309324"/>
    <n v="786800"/>
    <n v="587400"/>
    <n v="199400"/>
  </r>
  <r>
    <n v="13367"/>
    <n v="13368"/>
    <x v="1"/>
    <s v="NJ-00033"/>
    <s v="BRANCHBURG"/>
    <n v="8853"/>
    <s v="SOMERSET"/>
    <s v="NJ"/>
    <n v="113077"/>
    <n v="113077"/>
    <n v="0"/>
    <n v="90800"/>
    <n v="90800"/>
    <n v="0"/>
  </r>
  <r>
    <n v="13367"/>
    <n v="13368"/>
    <x v="1"/>
    <s v="NJ-00033"/>
    <s v="BRANCHVILLE"/>
    <n v="7826"/>
    <s v="SUSSEX"/>
    <s v="NJ"/>
    <n v="284104"/>
    <n v="260289"/>
    <n v="23815"/>
    <n v="176900"/>
    <n v="155300"/>
    <n v="21600"/>
  </r>
  <r>
    <n v="13367"/>
    <n v="13368"/>
    <x v="1"/>
    <s v="NJ-00033"/>
    <s v="BRANT BEACH"/>
    <n v="8008"/>
    <s v="OCEAN"/>
    <s v="NJ"/>
    <n v="3391753"/>
    <n v="2397513"/>
    <n v="994240"/>
    <n v="1314500"/>
    <n v="891500"/>
    <n v="423000"/>
  </r>
  <r>
    <n v="13367"/>
    <n v="13368"/>
    <x v="1"/>
    <s v="NJ-00033"/>
    <s v="BRICK"/>
    <n v="7044"/>
    <s v="OCEAN"/>
    <s v="NJ"/>
    <n v="37111"/>
    <n v="29771"/>
    <n v="7340"/>
    <n v="0"/>
    <n v="0"/>
    <n v="0"/>
  </r>
  <r>
    <n v="13367"/>
    <n v="13368"/>
    <x v="1"/>
    <s v="NJ-00033"/>
    <s v="BRICK"/>
    <n v="8003"/>
    <s v="OCEAN"/>
    <s v="NJ"/>
    <n v="102660"/>
    <n v="81960"/>
    <n v="20700"/>
    <n v="0"/>
    <n v="0"/>
    <n v="0"/>
  </r>
  <r>
    <n v="13367"/>
    <n v="13368"/>
    <x v="1"/>
    <s v="NJ-00033"/>
    <s v="BRICK"/>
    <n v="8005"/>
    <s v="OCEAN"/>
    <s v="NJ"/>
    <n v="4250"/>
    <n v="0"/>
    <n v="4250"/>
    <n v="0"/>
    <n v="0"/>
    <n v="0"/>
  </r>
  <r>
    <n v="13367"/>
    <n v="13368"/>
    <x v="1"/>
    <s v="NJ-00033"/>
    <s v="BRICK"/>
    <n v="8215"/>
    <s v="OCEAN"/>
    <s v="NJ"/>
    <n v="5287"/>
    <n v="0"/>
    <n v="5287"/>
    <n v="0"/>
    <n v="0"/>
    <n v="0"/>
  </r>
  <r>
    <n v="13367"/>
    <n v="13368"/>
    <x v="1"/>
    <s v="NJ-00033"/>
    <s v="BRICK"/>
    <n v="8512"/>
    <s v="OCEAN"/>
    <s v="NJ"/>
    <n v="5218"/>
    <n v="3018"/>
    <n v="2200"/>
    <n v="5300"/>
    <n v="3100"/>
    <n v="2200"/>
  </r>
  <r>
    <n v="13367"/>
    <n v="13368"/>
    <x v="1"/>
    <s v="NJ-00033"/>
    <s v="BRICK"/>
    <n v="8624"/>
    <s v="OCEAN"/>
    <s v="NJ"/>
    <n v="161353"/>
    <n v="130633"/>
    <n v="30720"/>
    <n v="0"/>
    <n v="0"/>
    <n v="0"/>
  </r>
  <r>
    <n v="13367"/>
    <n v="13368"/>
    <x v="1"/>
    <s v="NJ-00033"/>
    <s v="BRICK"/>
    <n v="8723"/>
    <s v="MONMOUTH"/>
    <s v="NJ"/>
    <n v="157455"/>
    <n v="119055"/>
    <n v="38400"/>
    <n v="71400"/>
    <n v="38000"/>
    <n v="33400"/>
  </r>
  <r>
    <n v="13367"/>
    <n v="13368"/>
    <x v="1"/>
    <s v="NJ-00033"/>
    <s v="BRICK"/>
    <n v="8723"/>
    <s v="MORRIS"/>
    <s v="NJ"/>
    <n v="62182"/>
    <n v="41682"/>
    <n v="20500"/>
    <n v="18300"/>
    <n v="0"/>
    <n v="18300"/>
  </r>
  <r>
    <n v="13367"/>
    <n v="13368"/>
    <x v="1"/>
    <s v="NJ-00033"/>
    <s v="BRICK"/>
    <n v="8723"/>
    <s v="OCEAN"/>
    <s v="NJ"/>
    <n v="111665315"/>
    <n v="78514401"/>
    <n v="33150914"/>
    <n v="46184400"/>
    <n v="31244200"/>
    <n v="14871900"/>
  </r>
  <r>
    <n v="13367"/>
    <n v="13368"/>
    <x v="1"/>
    <s v="NJ-00033"/>
    <s v="BRICK"/>
    <n v="8724"/>
    <s v="OCEAN"/>
    <s v="NJ"/>
    <n v="20223792"/>
    <n v="14763529"/>
    <n v="5460263"/>
    <n v="7179100"/>
    <n v="5068900"/>
    <n v="2110200"/>
  </r>
  <r>
    <n v="13367"/>
    <n v="13368"/>
    <x v="1"/>
    <s v="NJ-00033"/>
    <s v="BRICK"/>
    <n v="8728"/>
    <s v="OCEAN"/>
    <s v="NJ"/>
    <n v="156736"/>
    <n v="136111"/>
    <n v="20625"/>
    <n v="0"/>
    <n v="0"/>
    <n v="0"/>
  </r>
  <r>
    <n v="13367"/>
    <n v="13368"/>
    <x v="1"/>
    <s v="NJ-00033"/>
    <s v="BRICK"/>
    <n v="8732"/>
    <s v="OCEAN"/>
    <s v="NJ"/>
    <n v="44238"/>
    <n v="39168"/>
    <n v="5070"/>
    <n v="41000"/>
    <n v="35900"/>
    <n v="5100"/>
  </r>
  <r>
    <n v="13367"/>
    <n v="13368"/>
    <x v="1"/>
    <s v="NJ-00033"/>
    <s v="BRICK"/>
    <n v="8736"/>
    <s v="OCEAN"/>
    <s v="NJ"/>
    <n v="37446"/>
    <n v="29946"/>
    <n v="7500"/>
    <n v="24500"/>
    <n v="17200"/>
    <n v="7300"/>
  </r>
  <r>
    <n v="13367"/>
    <n v="13368"/>
    <x v="1"/>
    <s v="NJ-00033"/>
    <s v="BRICK"/>
    <n v="8738"/>
    <s v="OCEAN"/>
    <s v="NJ"/>
    <n v="937743"/>
    <n v="734103"/>
    <n v="203640"/>
    <n v="543900"/>
    <n v="443900"/>
    <n v="100000"/>
  </r>
  <r>
    <n v="13367"/>
    <n v="13368"/>
    <x v="1"/>
    <s v="NJ-00033"/>
    <s v="BRICK"/>
    <n v="8739"/>
    <s v="OCEAN"/>
    <s v="NJ"/>
    <n v="532631"/>
    <n v="465031"/>
    <n v="67600"/>
    <n v="0"/>
    <n v="0"/>
    <n v="0"/>
  </r>
  <r>
    <n v="13367"/>
    <n v="13368"/>
    <x v="1"/>
    <s v="NJ-00033"/>
    <s v="BRICK"/>
    <n v="8753"/>
    <s v="OCEAN"/>
    <s v="NJ"/>
    <n v="10767"/>
    <n v="7767"/>
    <n v="3000"/>
    <n v="0"/>
    <n v="0"/>
    <n v="0"/>
  </r>
  <r>
    <n v="13367"/>
    <n v="13368"/>
    <x v="1"/>
    <s v="NJ-00033"/>
    <s v="BRICK TOWN"/>
    <n v="8723"/>
    <s v="OCEAN"/>
    <s v="NJ"/>
    <n v="45840"/>
    <n v="40840"/>
    <n v="5000"/>
    <n v="0"/>
    <n v="0"/>
    <n v="0"/>
  </r>
  <r>
    <n v="13367"/>
    <n v="13368"/>
    <x v="1"/>
    <s v="NJ-00033"/>
    <s v="BRICK TOWN"/>
    <n v="8724"/>
    <s v="OCEAN"/>
    <s v="NJ"/>
    <n v="67166"/>
    <n v="46116"/>
    <n v="21050"/>
    <n v="14000"/>
    <n v="0"/>
    <n v="14000"/>
  </r>
  <r>
    <n v="13367"/>
    <n v="13368"/>
    <x v="1"/>
    <s v="NJ-00033"/>
    <s v="BRICK TOWNSHIP"/>
    <n v="8723"/>
    <s v="OCEAN"/>
    <s v="NJ"/>
    <n v="83639"/>
    <n v="59539"/>
    <n v="24100"/>
    <n v="0"/>
    <n v="0"/>
    <n v="0"/>
  </r>
  <r>
    <n v="13367"/>
    <n v="13368"/>
    <x v="1"/>
    <s v="NJ-00033"/>
    <s v="BRICK TOWNSHIP"/>
    <n v="8738"/>
    <s v="OCEAN"/>
    <s v="NJ"/>
    <n v="174144"/>
    <n v="132444"/>
    <n v="41700"/>
    <n v="138100"/>
    <n v="98100"/>
    <n v="40000"/>
  </r>
  <r>
    <n v="13367"/>
    <n v="13368"/>
    <x v="1"/>
    <s v="NJ-00033"/>
    <s v="BRICK TOWNSHIP, MANTOLOKING"/>
    <n v="8723"/>
    <s v="OCEAN"/>
    <s v="NJ"/>
    <n v="185230"/>
    <n v="131105"/>
    <n v="54125"/>
    <n v="0"/>
    <n v="0"/>
    <n v="0"/>
  </r>
  <r>
    <n v="13367"/>
    <n v="13368"/>
    <x v="1"/>
    <s v="NJ-00033"/>
    <s v="BRICKTOWN"/>
    <n v="8723"/>
    <s v="OCEAN"/>
    <s v="NJ"/>
    <n v="606868"/>
    <n v="435500"/>
    <n v="171368"/>
    <n v="318600"/>
    <n v="226700"/>
    <n v="91900"/>
  </r>
  <r>
    <n v="13367"/>
    <n v="13368"/>
    <x v="1"/>
    <s v="NJ-00033"/>
    <s v="BRIDGEPORT"/>
    <n v="8014"/>
    <s v="GLOUCESTER"/>
    <s v="NJ"/>
    <n v="171251"/>
    <n v="154276"/>
    <n v="16975"/>
    <n v="0"/>
    <n v="0"/>
    <n v="0"/>
  </r>
  <r>
    <n v="13367"/>
    <n v="13368"/>
    <x v="1"/>
    <s v="NJ-00033"/>
    <s v="BRIDGETON"/>
    <n v="8302"/>
    <s v="CUMBERLAND"/>
    <s v="NJ"/>
    <n v="14826"/>
    <n v="1676"/>
    <n v="13150"/>
    <n v="0"/>
    <n v="0"/>
    <n v="0"/>
  </r>
  <r>
    <n v="13367"/>
    <n v="13368"/>
    <x v="1"/>
    <s v="NJ-00033"/>
    <s v="BRIDGEWATER"/>
    <n v="8807"/>
    <s v="SOMERSET"/>
    <s v="NJ"/>
    <n v="554414"/>
    <n v="522739"/>
    <n v="31675"/>
    <n v="152600"/>
    <n v="138200"/>
    <n v="14400"/>
  </r>
  <r>
    <n v="13367"/>
    <n v="13368"/>
    <x v="1"/>
    <s v="NJ-00033"/>
    <s v="BRIELE"/>
    <n v="8730"/>
    <s v="MONMOUTH"/>
    <s v="NJ"/>
    <n v="177426"/>
    <n v="152476"/>
    <n v="24950"/>
    <n v="0"/>
    <n v="0"/>
    <n v="0"/>
  </r>
  <r>
    <n v="13367"/>
    <n v="13368"/>
    <x v="1"/>
    <s v="NJ-00033"/>
    <s v="BRIELLE"/>
    <n v="8730"/>
    <s v="MONMOUTH"/>
    <s v="NJ"/>
    <n v="5892767"/>
    <n v="4219812"/>
    <n v="1672955"/>
    <n v="2066200"/>
    <n v="1440800"/>
    <n v="625400"/>
  </r>
  <r>
    <n v="13367"/>
    <n v="13368"/>
    <x v="1"/>
    <s v="NJ-00033"/>
    <s v="BRIGANTIINE"/>
    <n v="8203"/>
    <s v="ATLANTIC"/>
    <s v="NJ"/>
    <n v="40714"/>
    <n v="30039"/>
    <n v="10675"/>
    <n v="10500"/>
    <n v="2400"/>
    <n v="8100"/>
  </r>
  <r>
    <n v="13367"/>
    <n v="13368"/>
    <x v="1"/>
    <s v="NJ-00033"/>
    <s v="BRIGANTINE"/>
    <n v="8023"/>
    <s v="ATLANTIC"/>
    <s v="NJ"/>
    <n v="89727"/>
    <n v="52177"/>
    <n v="37550"/>
    <n v="44600"/>
    <n v="19000"/>
    <n v="25600"/>
  </r>
  <r>
    <n v="13367"/>
    <n v="13368"/>
    <x v="1"/>
    <s v="NJ-00033"/>
    <s v="BRIGANTINE"/>
    <n v="8203"/>
    <s v="ATLANTIC"/>
    <s v="NJ"/>
    <n v="24583438"/>
    <n v="18596507"/>
    <n v="5986931"/>
    <n v="8395000"/>
    <n v="5950600"/>
    <n v="2444400"/>
  </r>
  <r>
    <n v="13367"/>
    <n v="13368"/>
    <x v="1"/>
    <s v="NJ-00033"/>
    <s v="BRIGANTINE"/>
    <n v="8232"/>
    <s v="ATLANTIC"/>
    <s v="NJ"/>
    <n v="120532"/>
    <n v="94232"/>
    <n v="26300"/>
    <n v="57400"/>
    <n v="31100"/>
    <n v="26300"/>
  </r>
  <r>
    <n v="13367"/>
    <n v="13368"/>
    <x v="1"/>
    <s v="NJ-00033"/>
    <s v="BRIGANTINE"/>
    <n v="8403"/>
    <s v="ATLANTIC"/>
    <s v="NJ"/>
    <n v="54370"/>
    <n v="54370"/>
    <n v="0"/>
    <n v="48600"/>
    <n v="48600"/>
    <n v="0"/>
  </r>
  <r>
    <n v="13367"/>
    <n v="13368"/>
    <x v="1"/>
    <s v="NJ-00033"/>
    <s v="BRIGATINE"/>
    <n v="8203"/>
    <s v="ATLANTIC"/>
    <s v="NJ"/>
    <n v="134408"/>
    <n v="100578"/>
    <n v="33830"/>
    <n v="46200"/>
    <n v="16600"/>
    <n v="29600"/>
  </r>
  <r>
    <n v="13367"/>
    <n v="13368"/>
    <x v="1"/>
    <s v="NJ-00033"/>
    <s v="BRIGHTON BEACH"/>
    <n v="8008"/>
    <s v="OCEAN"/>
    <s v="NJ"/>
    <n v="274960"/>
    <n v="202260"/>
    <n v="72700"/>
    <n v="64400"/>
    <n v="38200"/>
    <n v="26200"/>
  </r>
  <r>
    <n v="13367"/>
    <n v="13368"/>
    <x v="1"/>
    <s v="NJ-00033"/>
    <s v="BROWNS MILLS"/>
    <n v="8015"/>
    <s v="BURLINGTON"/>
    <s v="NJ"/>
    <n v="31027"/>
    <n v="30877"/>
    <n v="150"/>
    <n v="700"/>
    <n v="500"/>
    <n v="200"/>
  </r>
  <r>
    <n v="13367"/>
    <n v="13368"/>
    <x v="1"/>
    <s v="NJ-00033"/>
    <s v="BROWNSMILLS"/>
    <n v="8015"/>
    <s v="BURLINGTON"/>
    <s v="NJ"/>
    <n v="25095"/>
    <n v="25095"/>
    <n v="0"/>
    <n v="23000"/>
    <n v="23000"/>
    <n v="0"/>
  </r>
  <r>
    <n v="13367"/>
    <n v="13368"/>
    <x v="1"/>
    <s v="NJ-00033"/>
    <s v="BUDD LAKE"/>
    <n v="7828"/>
    <s v="MORRIS"/>
    <s v="NJ"/>
    <n v="354285"/>
    <n v="310840"/>
    <n v="43445"/>
    <n v="49500"/>
    <n v="39200"/>
    <n v="10300"/>
  </r>
  <r>
    <n v="13367"/>
    <n v="13368"/>
    <x v="1"/>
    <s v="NJ-00033"/>
    <s v="BUENA"/>
    <n v="8310"/>
    <s v="ATLANTIC"/>
    <s v="NJ"/>
    <n v="1923"/>
    <n v="1923"/>
    <n v="0"/>
    <n v="0"/>
    <n v="0"/>
    <n v="0"/>
  </r>
  <r>
    <n v="13367"/>
    <n v="13368"/>
    <x v="1"/>
    <s v="NJ-00033"/>
    <s v="BURLINGTON"/>
    <n v="8016"/>
    <s v="BURLINGTON"/>
    <s v="NJ"/>
    <n v="98265"/>
    <n v="79940"/>
    <n v="18325"/>
    <n v="14000"/>
    <n v="14000"/>
    <n v="0"/>
  </r>
  <r>
    <n v="13367"/>
    <n v="13368"/>
    <x v="1"/>
    <s v="NJ-00033"/>
    <s v="BURLINGTON TWP"/>
    <n v="8016"/>
    <s v="BURLINGTON"/>
    <s v="NJ"/>
    <n v="25625"/>
    <n v="25625"/>
    <n v="0"/>
    <n v="14000"/>
    <n v="14000"/>
    <n v="0"/>
  </r>
  <r>
    <n v="13367"/>
    <n v="13368"/>
    <x v="1"/>
    <s v="NJ-00033"/>
    <s v="BYRAM TOWNSHIP"/>
    <n v="7821"/>
    <s v="SUSSEX"/>
    <s v="NJ"/>
    <n v="102837"/>
    <n v="90997"/>
    <n v="11840"/>
    <n v="102900"/>
    <n v="91100"/>
    <n v="11800"/>
  </r>
  <r>
    <n v="13367"/>
    <n v="13368"/>
    <x v="1"/>
    <s v="NJ-00033"/>
    <s v="CALDWELL"/>
    <n v="7006"/>
    <s v="ESSEX"/>
    <s v="NJ"/>
    <n v="14787"/>
    <n v="14287"/>
    <n v="500"/>
    <n v="11300"/>
    <n v="10900"/>
    <n v="400"/>
  </r>
  <r>
    <n v="13367"/>
    <n v="13368"/>
    <x v="1"/>
    <s v="NJ-00033"/>
    <s v="CALIFON"/>
    <n v="7830"/>
    <s v="HUNTERDON"/>
    <s v="NJ"/>
    <n v="313651"/>
    <n v="299826"/>
    <n v="13825"/>
    <n v="234900"/>
    <n v="226400"/>
    <n v="8500"/>
  </r>
  <r>
    <n v="13367"/>
    <n v="13368"/>
    <x v="1"/>
    <s v="NJ-00033"/>
    <s v="CALIFON"/>
    <n v="7830"/>
    <s v="MORRIS"/>
    <s v="NJ"/>
    <n v="63521"/>
    <n v="63521"/>
    <n v="0"/>
    <n v="55200"/>
    <n v="55200"/>
    <n v="0"/>
  </r>
  <r>
    <n v="13367"/>
    <n v="13368"/>
    <x v="1"/>
    <s v="NJ-00033"/>
    <s v="CAMDEN"/>
    <n v="8103"/>
    <s v="CAMDEN"/>
    <s v="NJ"/>
    <n v="12249"/>
    <n v="399"/>
    <n v="11850"/>
    <n v="11900"/>
    <n v="0"/>
    <n v="11900"/>
  </r>
  <r>
    <n v="13367"/>
    <n v="13368"/>
    <x v="1"/>
    <s v="NJ-00033"/>
    <s v="CAMDEN"/>
    <n v="8104"/>
    <s v="CAMDEN"/>
    <s v="NJ"/>
    <n v="122854"/>
    <n v="104004"/>
    <n v="18850"/>
    <n v="31400"/>
    <n v="26400"/>
    <n v="5000"/>
  </r>
  <r>
    <n v="13367"/>
    <n v="13368"/>
    <x v="1"/>
    <s v="NJ-00033"/>
    <s v="CAPE MAY"/>
    <n v="8204"/>
    <s v="CAPE MAY"/>
    <s v="NJ"/>
    <n v="242807"/>
    <n v="234957"/>
    <n v="7850"/>
    <n v="149700"/>
    <n v="144000"/>
    <n v="5700"/>
  </r>
  <r>
    <n v="13367"/>
    <n v="13368"/>
    <x v="1"/>
    <s v="NJ-00033"/>
    <s v="CAPE MAY"/>
    <n v="8243"/>
    <s v="CAPE MAY"/>
    <s v="NJ"/>
    <n v="5175"/>
    <n v="0"/>
    <n v="5175"/>
    <n v="0"/>
    <n v="0"/>
    <n v="0"/>
  </r>
  <r>
    <n v="13367"/>
    <n v="13368"/>
    <x v="1"/>
    <s v="NJ-00033"/>
    <s v="CAPE MAY COUNTY"/>
    <n v="8243"/>
    <s v="CAPE MAY"/>
    <s v="NJ"/>
    <n v="3400"/>
    <n v="0"/>
    <n v="3400"/>
    <n v="0"/>
    <n v="0"/>
    <n v="0"/>
  </r>
  <r>
    <n v="13367"/>
    <n v="13368"/>
    <x v="1"/>
    <s v="NJ-00033"/>
    <s v="CAPE MAY COURT HOUSE"/>
    <n v="8210"/>
    <s v="CAPE MAY"/>
    <s v="NJ"/>
    <n v="703737"/>
    <n v="655312"/>
    <n v="48425"/>
    <n v="201100"/>
    <n v="182800"/>
    <n v="18300"/>
  </r>
  <r>
    <n v="13367"/>
    <n v="13368"/>
    <x v="1"/>
    <s v="NJ-00033"/>
    <s v="CAPE MAY COURTHOURSE"/>
    <n v="8210"/>
    <s v="CAPE MAY"/>
    <s v="NJ"/>
    <n v="12708"/>
    <n v="12708"/>
    <n v="0"/>
    <n v="11500"/>
    <n v="11500"/>
    <n v="0"/>
  </r>
  <r>
    <n v="13367"/>
    <n v="13368"/>
    <x v="1"/>
    <s v="NJ-00033"/>
    <s v="CAPE MAY COURTHOUSE"/>
    <n v="8210"/>
    <s v="CAPE MAY"/>
    <s v="NJ"/>
    <n v="30565"/>
    <n v="30565"/>
    <n v="0"/>
    <n v="23100"/>
    <n v="23100"/>
    <n v="0"/>
  </r>
  <r>
    <n v="13367"/>
    <n v="13368"/>
    <x v="1"/>
    <s v="NJ-00033"/>
    <s v="CARLSTADT"/>
    <n v="7072"/>
    <s v="BERGEN"/>
    <s v="NJ"/>
    <n v="93484"/>
    <n v="12688"/>
    <n v="80796"/>
    <n v="0"/>
    <n v="0"/>
    <n v="0"/>
  </r>
  <r>
    <n v="13367"/>
    <n v="13368"/>
    <x v="1"/>
    <s v="NJ-00033"/>
    <s v="CARLSTADT"/>
    <n v="7072"/>
    <s v="HUDSON"/>
    <s v="NJ"/>
    <n v="9825"/>
    <n v="0"/>
    <n v="9825"/>
    <n v="9900"/>
    <n v="0"/>
    <n v="9900"/>
  </r>
  <r>
    <n v="13367"/>
    <n v="13368"/>
    <x v="1"/>
    <s v="NJ-00033"/>
    <s v="CARNEYS POINT"/>
    <n v="8069"/>
    <s v="SALEM"/>
    <s v="NJ"/>
    <n v="63134"/>
    <n v="59684"/>
    <n v="3450"/>
    <n v="52500"/>
    <n v="50000"/>
    <n v="2500"/>
  </r>
  <r>
    <n v="13367"/>
    <n v="13368"/>
    <x v="1"/>
    <s v="NJ-00033"/>
    <s v="CARTERET"/>
    <n v="7008"/>
    <s v="MIDDLESEX"/>
    <s v="NJ"/>
    <n v="2651076"/>
    <n v="1959907"/>
    <n v="691169"/>
    <n v="1052200"/>
    <n v="762900"/>
    <n v="289300"/>
  </r>
  <r>
    <n v="13367"/>
    <n v="13368"/>
    <x v="1"/>
    <s v="NJ-00033"/>
    <s v="CEDAR BONNET ISLAND"/>
    <n v="8050"/>
    <s v="OCEAN"/>
    <s v="NJ"/>
    <n v="30471"/>
    <n v="22721"/>
    <n v="7750"/>
    <n v="0"/>
    <n v="0"/>
    <n v="0"/>
  </r>
  <r>
    <n v="13367"/>
    <n v="13368"/>
    <x v="1"/>
    <s v="NJ-00033"/>
    <s v="CEDAR GROVE"/>
    <n v="7009"/>
    <s v="ESSEX"/>
    <s v="NJ"/>
    <n v="24941"/>
    <n v="24941"/>
    <n v="0"/>
    <n v="0"/>
    <n v="0"/>
    <n v="0"/>
  </r>
  <r>
    <n v="13367"/>
    <n v="13368"/>
    <x v="1"/>
    <s v="NJ-00033"/>
    <s v="CEDAR RUN"/>
    <n v="8092"/>
    <s v="OCEAN"/>
    <s v="NJ"/>
    <n v="194896"/>
    <n v="132271"/>
    <n v="62625"/>
    <n v="71500"/>
    <n v="54200"/>
    <n v="17300"/>
  </r>
  <r>
    <n v="13367"/>
    <n v="13368"/>
    <x v="1"/>
    <s v="NJ-00033"/>
    <s v="CEDARVILLE"/>
    <n v="8311"/>
    <s v="CUMBERLAND"/>
    <s v="NJ"/>
    <n v="522383"/>
    <n v="437283"/>
    <n v="85100"/>
    <n v="70800"/>
    <n v="69200"/>
    <n v="1600"/>
  </r>
  <r>
    <n v="13367"/>
    <n v="13368"/>
    <x v="1"/>
    <s v="NJ-00033"/>
    <s v="CHADWICK"/>
    <n v="8735"/>
    <s v="OCEAN"/>
    <s v="NJ"/>
    <n v="186422"/>
    <n v="109472"/>
    <n v="76950"/>
    <n v="118600"/>
    <n v="79600"/>
    <n v="39000"/>
  </r>
  <r>
    <n v="13367"/>
    <n v="13368"/>
    <x v="1"/>
    <s v="NJ-00033"/>
    <s v="CHADWICK BEACH"/>
    <n v="8735"/>
    <s v="OCEAN"/>
    <s v="NJ"/>
    <n v="668236"/>
    <n v="543816"/>
    <n v="124420"/>
    <n v="285500"/>
    <n v="273600"/>
    <n v="11900"/>
  </r>
  <r>
    <n v="13367"/>
    <n v="13368"/>
    <x v="1"/>
    <s v="NJ-00033"/>
    <s v="CHADWICK BEACH"/>
    <n v="8739"/>
    <s v="OCEAN"/>
    <s v="NJ"/>
    <n v="423106"/>
    <n v="326881"/>
    <n v="96225"/>
    <n v="0"/>
    <n v="0"/>
    <n v="0"/>
  </r>
  <r>
    <n v="13367"/>
    <n v="13368"/>
    <x v="1"/>
    <s v="NJ-00033"/>
    <s v="CHADWICK BEACH ISLAND"/>
    <n v="8735"/>
    <s v="OCEAN"/>
    <s v="NJ"/>
    <n v="139530"/>
    <n v="132342"/>
    <n v="7188"/>
    <n v="55200"/>
    <n v="55200"/>
    <n v="0"/>
  </r>
  <r>
    <n v="13367"/>
    <n v="13368"/>
    <x v="1"/>
    <s v="NJ-00033"/>
    <s v="CHADWICK BEACH ISLAND"/>
    <n v="8739"/>
    <s v="OCEAN"/>
    <s v="NJ"/>
    <n v="94280"/>
    <n v="67955"/>
    <n v="26325"/>
    <n v="0"/>
    <n v="0"/>
    <n v="0"/>
  </r>
  <r>
    <n v="13367"/>
    <n v="13368"/>
    <x v="1"/>
    <s v="NJ-00033"/>
    <s v="CHADWICK ISLAND"/>
    <n v="8735"/>
    <s v="OCEAN"/>
    <s v="NJ"/>
    <n v="126446"/>
    <n v="98996"/>
    <n v="27450"/>
    <n v="6300"/>
    <n v="3000"/>
    <n v="3300"/>
  </r>
  <r>
    <n v="13367"/>
    <n v="13368"/>
    <x v="1"/>
    <s v="NJ-00033"/>
    <s v="CHADWICK ISLAND BEACH"/>
    <n v="8735"/>
    <s v="OCEAN"/>
    <s v="NJ"/>
    <n v="154010"/>
    <n v="108050"/>
    <n v="45960"/>
    <n v="0"/>
    <n v="0"/>
    <n v="0"/>
  </r>
  <r>
    <n v="13367"/>
    <n v="13368"/>
    <x v="1"/>
    <s v="NJ-00033"/>
    <s v="CHATHAM"/>
    <n v="7928"/>
    <s v="MORRIS"/>
    <s v="NJ"/>
    <n v="85817"/>
    <n v="76680"/>
    <n v="9137"/>
    <n v="23600"/>
    <n v="22200"/>
    <n v="1400"/>
  </r>
  <r>
    <n v="13367"/>
    <n v="13368"/>
    <x v="1"/>
    <s v="NJ-00033"/>
    <s v="CHATHAM TOWNSHIP"/>
    <n v="7928"/>
    <s v="MORRIS"/>
    <s v="NJ"/>
    <n v="24094"/>
    <n v="23744"/>
    <n v="350"/>
    <n v="9900"/>
    <n v="9900"/>
    <n v="0"/>
  </r>
  <r>
    <n v="13367"/>
    <n v="13368"/>
    <x v="1"/>
    <s v="NJ-00033"/>
    <s v="CHERRY HILL"/>
    <n v="8003"/>
    <s v="CAMDEN"/>
    <s v="NJ"/>
    <n v="17830"/>
    <n v="17830"/>
    <n v="0"/>
    <n v="2800"/>
    <n v="2800"/>
    <n v="0"/>
  </r>
  <r>
    <n v="13367"/>
    <n v="13368"/>
    <x v="1"/>
    <s v="NJ-00033"/>
    <s v="CHERRY HILL"/>
    <n v="8034"/>
    <s v="CAMDEN"/>
    <s v="NJ"/>
    <n v="71127"/>
    <n v="60807"/>
    <n v="10320"/>
    <n v="11700"/>
    <n v="11700"/>
    <n v="0"/>
  </r>
  <r>
    <n v="13367"/>
    <n v="13368"/>
    <x v="1"/>
    <s v="NJ-00033"/>
    <s v="CHESTER"/>
    <n v="7930"/>
    <s v="MORRIS"/>
    <s v="NJ"/>
    <n v="944248"/>
    <n v="876988"/>
    <n v="67260"/>
    <n v="215100"/>
    <n v="198900"/>
    <n v="16200"/>
  </r>
  <r>
    <n v="13367"/>
    <n v="13368"/>
    <x v="1"/>
    <s v="NJ-00033"/>
    <s v="CLARK"/>
    <n v="7066"/>
    <s v="UNION"/>
    <s v="NJ"/>
    <n v="48213"/>
    <n v="33238"/>
    <n v="14975"/>
    <n v="26200"/>
    <n v="18400"/>
    <n v="7800"/>
  </r>
  <r>
    <n v="13367"/>
    <n v="13368"/>
    <x v="1"/>
    <s v="NJ-00033"/>
    <s v="CLARKSBORO"/>
    <n v="8020"/>
    <s v="GLOUCESTER"/>
    <s v="NJ"/>
    <n v="19725"/>
    <n v="0"/>
    <n v="19725"/>
    <n v="0"/>
    <n v="0"/>
    <n v="0"/>
  </r>
  <r>
    <n v="13367"/>
    <n v="13368"/>
    <x v="1"/>
    <s v="NJ-00033"/>
    <s v="CLARKSBURG"/>
    <n v="8510"/>
    <s v="MONMOUTH"/>
    <s v="NJ"/>
    <n v="3990"/>
    <n v="3990"/>
    <n v="0"/>
    <n v="0"/>
    <n v="0"/>
    <n v="0"/>
  </r>
  <r>
    <n v="13367"/>
    <n v="13368"/>
    <x v="1"/>
    <s v="NJ-00033"/>
    <s v="CLAYTON"/>
    <n v="8312"/>
    <s v="GLOUCESTER"/>
    <s v="NJ"/>
    <n v="44835"/>
    <n v="43585"/>
    <n v="1250"/>
    <n v="16400"/>
    <n v="16400"/>
    <n v="0"/>
  </r>
  <r>
    <n v="13367"/>
    <n v="13368"/>
    <x v="1"/>
    <s v="NJ-00033"/>
    <s v="CLEMENTON"/>
    <n v="8021"/>
    <s v="CAMDEN"/>
    <s v="NJ"/>
    <n v="5400"/>
    <n v="5400"/>
    <n v="0"/>
    <n v="5400"/>
    <n v="5400"/>
    <n v="0"/>
  </r>
  <r>
    <n v="13367"/>
    <n v="13368"/>
    <x v="1"/>
    <s v="NJ-00033"/>
    <s v="CLIFFSIDE PARK"/>
    <n v="7010"/>
    <s v="BERGEN"/>
    <s v="NJ"/>
    <n v="93167"/>
    <n v="63547"/>
    <n v="29620"/>
    <n v="31800"/>
    <n v="28700"/>
    <n v="3100"/>
  </r>
  <r>
    <n v="13367"/>
    <n v="13368"/>
    <x v="1"/>
    <s v="NJ-00033"/>
    <s v="CLIFFWOOD"/>
    <n v="7721"/>
    <s v="MONMOUTH"/>
    <s v="NJ"/>
    <n v="26810"/>
    <n v="22780"/>
    <n v="4030"/>
    <n v="3700"/>
    <n v="3700"/>
    <n v="0"/>
  </r>
  <r>
    <n v="13367"/>
    <n v="13368"/>
    <x v="1"/>
    <s v="NJ-00033"/>
    <s v="CLIFFWOOD BEACH"/>
    <n v="7735"/>
    <s v="MIDDLESEX"/>
    <s v="NJ"/>
    <n v="233869"/>
    <n v="176719"/>
    <n v="57150"/>
    <n v="49400"/>
    <n v="49400"/>
    <n v="0"/>
  </r>
  <r>
    <n v="13367"/>
    <n v="13368"/>
    <x v="1"/>
    <s v="NJ-00033"/>
    <s v="CLIFFWOOD BEACH"/>
    <n v="7735"/>
    <s v="MONMOUTH"/>
    <s v="NJ"/>
    <n v="103861"/>
    <n v="89561"/>
    <n v="14300"/>
    <n v="13600"/>
    <n v="12100"/>
    <n v="1500"/>
  </r>
  <r>
    <n v="13367"/>
    <n v="13368"/>
    <x v="1"/>
    <s v="NJ-00033"/>
    <s v="CLIFTON"/>
    <n v="7011"/>
    <s v="PASSAIC"/>
    <s v="NJ"/>
    <n v="114946"/>
    <n v="107106"/>
    <n v="7840"/>
    <n v="29300"/>
    <n v="23800"/>
    <n v="5500"/>
  </r>
  <r>
    <n v="13367"/>
    <n v="13368"/>
    <x v="1"/>
    <s v="NJ-00033"/>
    <s v="CLIFTON"/>
    <n v="7013"/>
    <s v="PASSAIC"/>
    <s v="NJ"/>
    <n v="84074"/>
    <n v="40299"/>
    <n v="43775"/>
    <n v="9700"/>
    <n v="0"/>
    <n v="9700"/>
  </r>
  <r>
    <n v="13367"/>
    <n v="13368"/>
    <x v="1"/>
    <s v="NJ-00033"/>
    <s v="CLIFTON"/>
    <n v="7014"/>
    <s v="PASSAIC"/>
    <s v="NJ"/>
    <n v="23758"/>
    <n v="23458"/>
    <n v="300"/>
    <n v="23800"/>
    <n v="23500"/>
    <n v="300"/>
  </r>
  <r>
    <n v="13367"/>
    <n v="13368"/>
    <x v="1"/>
    <s v="NJ-00033"/>
    <s v="CLINTON"/>
    <n v="8809"/>
    <s v="HUNTERDON"/>
    <s v="NJ"/>
    <n v="16694"/>
    <n v="16694"/>
    <n v="0"/>
    <n v="0"/>
    <n v="0"/>
    <n v="0"/>
  </r>
  <r>
    <n v="13367"/>
    <n v="13368"/>
    <x v="1"/>
    <s v="NJ-00033"/>
    <s v="CLOSTER"/>
    <n v="7624"/>
    <s v="BERGEN"/>
    <s v="NJ"/>
    <n v="6900"/>
    <n v="0"/>
    <n v="6900"/>
    <n v="0"/>
    <n v="0"/>
    <n v="0"/>
  </r>
  <r>
    <n v="13367"/>
    <n v="13368"/>
    <x v="1"/>
    <s v="NJ-00033"/>
    <s v="COLONIA"/>
    <n v="7067"/>
    <s v="MIDDLESEX"/>
    <s v="NJ"/>
    <n v="184088"/>
    <n v="175088"/>
    <n v="9000"/>
    <n v="128000"/>
    <n v="124000"/>
    <n v="4000"/>
  </r>
  <r>
    <n v="13367"/>
    <n v="13368"/>
    <x v="1"/>
    <s v="NJ-00033"/>
    <s v="COLTS NECK"/>
    <n v="7722"/>
    <s v="MONMOUTH"/>
    <s v="NJ"/>
    <n v="589556"/>
    <n v="522931"/>
    <n v="66625"/>
    <n v="291200"/>
    <n v="281500"/>
    <n v="9700"/>
  </r>
  <r>
    <n v="13367"/>
    <n v="13368"/>
    <x v="1"/>
    <s v="NJ-00033"/>
    <s v="COLUMBIA"/>
    <n v="7832"/>
    <s v="WARREN"/>
    <s v="NJ"/>
    <n v="51558"/>
    <n v="51558"/>
    <n v="0"/>
    <n v="43300"/>
    <n v="43300"/>
    <n v="0"/>
  </r>
  <r>
    <n v="13367"/>
    <n v="13368"/>
    <x v="1"/>
    <s v="NJ-00033"/>
    <s v="COLUMBUS"/>
    <n v="8022"/>
    <s v="BURLINGTON"/>
    <s v="NJ"/>
    <n v="24099"/>
    <n v="18099"/>
    <n v="6000"/>
    <n v="13500"/>
    <n v="13500"/>
    <n v="0"/>
  </r>
  <r>
    <n v="13367"/>
    <n v="13368"/>
    <x v="1"/>
    <s v="NJ-00033"/>
    <s v="CORBIN CITY"/>
    <n v="8270"/>
    <s v="ATLANTIC"/>
    <s v="NJ"/>
    <n v="352784"/>
    <n v="315748"/>
    <n v="37036"/>
    <n v="191800"/>
    <n v="177600"/>
    <n v="14200"/>
  </r>
  <r>
    <n v="13367"/>
    <n v="13368"/>
    <x v="1"/>
    <s v="NJ-00033"/>
    <s v="CRANBURY"/>
    <n v="8512"/>
    <s v="MIDDLESEX"/>
    <s v="NJ"/>
    <n v="14756"/>
    <n v="13181"/>
    <n v="1575"/>
    <n v="0"/>
    <n v="0"/>
    <n v="0"/>
  </r>
  <r>
    <n v="13367"/>
    <n v="13368"/>
    <x v="1"/>
    <s v="NJ-00033"/>
    <s v="CRANFORD"/>
    <n v="7016"/>
    <s v="UNION"/>
    <s v="NJ"/>
    <n v="206685"/>
    <n v="198295"/>
    <n v="8390"/>
    <n v="108900"/>
    <n v="104900"/>
    <n v="4000"/>
  </r>
  <r>
    <n v="13367"/>
    <n v="13368"/>
    <x v="1"/>
    <s v="NJ-00033"/>
    <s v="CRANFORD"/>
    <n v="8753"/>
    <s v="UNION"/>
    <s v="NJ"/>
    <n v="1850"/>
    <n v="0"/>
    <n v="1850"/>
    <n v="0"/>
    <n v="0"/>
    <n v="0"/>
  </r>
  <r>
    <n v="13367"/>
    <n v="13368"/>
    <x v="1"/>
    <s v="NJ-00033"/>
    <s v="CREAM RIDGE"/>
    <n v="8514"/>
    <s v="OCEAN"/>
    <s v="NJ"/>
    <n v="44374"/>
    <n v="43124"/>
    <n v="1250"/>
    <n v="0"/>
    <n v="0"/>
    <n v="0"/>
  </r>
  <r>
    <n v="13367"/>
    <n v="13368"/>
    <x v="1"/>
    <s v="NJ-00033"/>
    <s v="DEAL"/>
    <n v="7723"/>
    <s v="MONMOUTH"/>
    <s v="NJ"/>
    <n v="75558"/>
    <n v="65333"/>
    <n v="10225"/>
    <n v="13800"/>
    <n v="12600"/>
    <n v="1200"/>
  </r>
  <r>
    <n v="13367"/>
    <n v="13368"/>
    <x v="1"/>
    <s v="NJ-00033"/>
    <s v="DEL HAVEN"/>
    <n v="8251"/>
    <s v="CAPE MAY"/>
    <s v="NJ"/>
    <n v="258259"/>
    <n v="220659"/>
    <n v="37600"/>
    <n v="169700"/>
    <n v="140300"/>
    <n v="29400"/>
  </r>
  <r>
    <n v="13367"/>
    <n v="13368"/>
    <x v="1"/>
    <s v="NJ-00033"/>
    <s v="DELMONT"/>
    <n v="8314"/>
    <s v="CUMBERLAND"/>
    <s v="NJ"/>
    <n v="234627"/>
    <n v="165958"/>
    <n v="68669"/>
    <n v="99000"/>
    <n v="62500"/>
    <n v="36500"/>
  </r>
  <r>
    <n v="13367"/>
    <n v="13368"/>
    <x v="1"/>
    <s v="NJ-00033"/>
    <s v="DELRAN"/>
    <n v="8075"/>
    <s v="BURLINGTON"/>
    <s v="NJ"/>
    <n v="6614"/>
    <n v="6614"/>
    <n v="0"/>
    <n v="0"/>
    <n v="0"/>
    <n v="0"/>
  </r>
  <r>
    <n v="13367"/>
    <n v="13368"/>
    <x v="1"/>
    <s v="NJ-00033"/>
    <s v="DENNISVILLE"/>
    <n v="8214"/>
    <s v="CAPE MAY"/>
    <s v="NJ"/>
    <n v="9305"/>
    <n v="9305"/>
    <n v="0"/>
    <n v="9400"/>
    <n v="9400"/>
    <n v="0"/>
  </r>
  <r>
    <n v="13367"/>
    <n v="13368"/>
    <x v="1"/>
    <s v="NJ-00033"/>
    <s v="DENVILLE"/>
    <n v="7834"/>
    <s v="MORRIS"/>
    <s v="NJ"/>
    <n v="47780"/>
    <n v="46280"/>
    <n v="1500"/>
    <n v="17600"/>
    <n v="16100"/>
    <n v="1500"/>
  </r>
  <r>
    <n v="13367"/>
    <n v="13368"/>
    <x v="1"/>
    <s v="NJ-00033"/>
    <s v="DOVER"/>
    <n v="7801"/>
    <s v="MORRIS"/>
    <s v="NJ"/>
    <n v="20715"/>
    <n v="20715"/>
    <n v="0"/>
    <n v="0"/>
    <n v="0"/>
    <n v="0"/>
  </r>
  <r>
    <n v="13367"/>
    <n v="13368"/>
    <x v="1"/>
    <s v="NJ-00033"/>
    <s v="DUMONT"/>
    <n v="7628"/>
    <s v="BERGEN"/>
    <s v="NJ"/>
    <n v="167472"/>
    <n v="138247"/>
    <n v="29225"/>
    <n v="400"/>
    <n v="0"/>
    <n v="400"/>
  </r>
  <r>
    <n v="13367"/>
    <n v="13368"/>
    <x v="1"/>
    <s v="NJ-00033"/>
    <s v="DUNELLEN"/>
    <n v="8812"/>
    <s v="MIDDLESEX"/>
    <s v="NJ"/>
    <n v="103498"/>
    <n v="99698"/>
    <n v="3800"/>
    <n v="62300"/>
    <n v="62300"/>
    <n v="0"/>
  </r>
  <r>
    <n v="13367"/>
    <n v="13368"/>
    <x v="1"/>
    <s v="NJ-00033"/>
    <s v="EAST BRUNSWICK"/>
    <n v="8816"/>
    <s v="MIDDLESEX"/>
    <s v="NJ"/>
    <n v="1189604"/>
    <n v="1041644"/>
    <n v="147960"/>
    <n v="545800"/>
    <n v="465900"/>
    <n v="79900"/>
  </r>
  <r>
    <n v="13367"/>
    <n v="13368"/>
    <x v="1"/>
    <s v="NJ-00033"/>
    <s v="EAST HANOVER"/>
    <n v="7936"/>
    <s v="MORRIS"/>
    <s v="NJ"/>
    <n v="8281"/>
    <n v="8281"/>
    <n v="0"/>
    <n v="8300"/>
    <n v="8300"/>
    <n v="0"/>
  </r>
  <r>
    <n v="13367"/>
    <n v="13368"/>
    <x v="1"/>
    <s v="NJ-00033"/>
    <s v="EAST ORANGE"/>
    <n v="7017"/>
    <s v="ESSEX"/>
    <s v="NJ"/>
    <n v="488064"/>
    <n v="458469"/>
    <n v="29595"/>
    <n v="148500"/>
    <n v="146000"/>
    <n v="2500"/>
  </r>
  <r>
    <n v="13367"/>
    <n v="13368"/>
    <x v="1"/>
    <s v="NJ-00033"/>
    <s v="EAST ORANGE"/>
    <n v="7018"/>
    <s v="ESSEX"/>
    <s v="NJ"/>
    <n v="177921"/>
    <n v="165771"/>
    <n v="12150"/>
    <n v="68500"/>
    <n v="58100"/>
    <n v="10400"/>
  </r>
  <r>
    <n v="13367"/>
    <n v="13368"/>
    <x v="1"/>
    <s v="NJ-00033"/>
    <s v="EAST RUTHERFORD"/>
    <n v="7073"/>
    <s v="BERGEN"/>
    <s v="NJ"/>
    <n v="140471"/>
    <n v="62571"/>
    <n v="77900"/>
    <n v="70400"/>
    <n v="18700"/>
    <n v="51700"/>
  </r>
  <r>
    <n v="13367"/>
    <n v="13368"/>
    <x v="1"/>
    <s v="NJ-00033"/>
    <s v="EAST WINDSOR"/>
    <n v="8520"/>
    <s v="MERCER"/>
    <s v="NJ"/>
    <n v="28645"/>
    <n v="10605"/>
    <n v="18040"/>
    <n v="16900"/>
    <n v="6800"/>
    <n v="10100"/>
  </r>
  <r>
    <n v="13367"/>
    <n v="13368"/>
    <x v="1"/>
    <s v="NJ-00033"/>
    <s v="EASTAMPTON"/>
    <n v="8060"/>
    <s v="BURLINGTON"/>
    <s v="NJ"/>
    <n v="43742"/>
    <n v="33742"/>
    <n v="10000"/>
    <n v="32100"/>
    <n v="29700"/>
    <n v="2400"/>
  </r>
  <r>
    <n v="13367"/>
    <n v="13368"/>
    <x v="1"/>
    <s v="NJ-00033"/>
    <s v="EATONTOWN"/>
    <n v="7724"/>
    <s v="MONMOUTH"/>
    <s v="NJ"/>
    <n v="148390"/>
    <n v="124515"/>
    <n v="23875"/>
    <n v="62800"/>
    <n v="58500"/>
    <n v="4300"/>
  </r>
  <r>
    <n v="13367"/>
    <n v="13368"/>
    <x v="1"/>
    <s v="NJ-00033"/>
    <s v="EDGEWATER"/>
    <n v="7020"/>
    <s v="BERGEN"/>
    <s v="NJ"/>
    <n v="277163"/>
    <n v="68728"/>
    <n v="208435"/>
    <n v="125400"/>
    <n v="63300"/>
    <n v="62100"/>
  </r>
  <r>
    <n v="13367"/>
    <n v="13368"/>
    <x v="1"/>
    <s v="NJ-00033"/>
    <s v="EDISON"/>
    <n v="8758"/>
    <s v="OCEAN"/>
    <s v="NJ"/>
    <n v="208365"/>
    <n v="180785"/>
    <n v="27580"/>
    <n v="118900"/>
    <n v="91300"/>
    <n v="27600"/>
  </r>
  <r>
    <n v="13367"/>
    <n v="13368"/>
    <x v="1"/>
    <s v="NJ-00033"/>
    <s v="EDISON"/>
    <n v="8817"/>
    <s v="MIDDLESEX"/>
    <s v="NJ"/>
    <n v="400382"/>
    <n v="320632"/>
    <n v="79750"/>
    <n v="93700"/>
    <n v="69900"/>
    <n v="23800"/>
  </r>
  <r>
    <n v="13367"/>
    <n v="13368"/>
    <x v="1"/>
    <s v="NJ-00033"/>
    <s v="EDISON"/>
    <n v="8820"/>
    <s v="MIDDLESEX"/>
    <s v="NJ"/>
    <n v="244806"/>
    <n v="221631"/>
    <n v="23175"/>
    <n v="104600"/>
    <n v="82200"/>
    <n v="22400"/>
  </r>
  <r>
    <n v="13367"/>
    <n v="13368"/>
    <x v="1"/>
    <s v="NJ-00033"/>
    <s v="EGG HABOR TOWNSHIP"/>
    <n v="8234"/>
    <s v="ATLANTIC"/>
    <s v="NJ"/>
    <n v="206084"/>
    <n v="178609"/>
    <n v="27475"/>
    <n v="126100"/>
    <n v="114000"/>
    <n v="12100"/>
  </r>
  <r>
    <n v="13367"/>
    <n v="13368"/>
    <x v="1"/>
    <s v="NJ-00033"/>
    <s v="EGG HARBOR"/>
    <n v="8215"/>
    <s v="ATLANTIC"/>
    <s v="NJ"/>
    <n v="21905"/>
    <n v="21155"/>
    <n v="750"/>
    <n v="14000"/>
    <n v="13200"/>
    <n v="800"/>
  </r>
  <r>
    <n v="13367"/>
    <n v="13368"/>
    <x v="1"/>
    <s v="NJ-00033"/>
    <s v="EGG HARBOR"/>
    <n v="8234"/>
    <s v="ATLANTIC"/>
    <s v="NJ"/>
    <n v="18861"/>
    <n v="18861"/>
    <n v="0"/>
    <n v="0"/>
    <n v="0"/>
    <n v="0"/>
  </r>
  <r>
    <n v="13367"/>
    <n v="13368"/>
    <x v="1"/>
    <s v="NJ-00033"/>
    <s v="EGG HARBOR CITY"/>
    <n v="8215"/>
    <s v="ATLANTIC"/>
    <s v="NJ"/>
    <n v="687518"/>
    <n v="575693"/>
    <n v="111825"/>
    <n v="458400"/>
    <n v="368400"/>
    <n v="90000"/>
  </r>
  <r>
    <n v="13367"/>
    <n v="13368"/>
    <x v="1"/>
    <s v="NJ-00033"/>
    <s v="EGG HARBOR CITY"/>
    <n v="8215"/>
    <s v="BURLINGTON"/>
    <s v="NJ"/>
    <n v="158981"/>
    <n v="134381"/>
    <n v="24600"/>
    <n v="46800"/>
    <n v="34200"/>
    <n v="12600"/>
  </r>
  <r>
    <n v="13367"/>
    <n v="13368"/>
    <x v="1"/>
    <s v="NJ-00033"/>
    <s v="EGG HARBOR TOWNSHIP"/>
    <n v="8234"/>
    <s v="ATLANTIC"/>
    <s v="NJ"/>
    <n v="2523648"/>
    <n v="2050573"/>
    <n v="473075"/>
    <n v="1128700"/>
    <n v="888700"/>
    <n v="240000"/>
  </r>
  <r>
    <n v="13367"/>
    <n v="13368"/>
    <x v="1"/>
    <s v="NJ-00033"/>
    <s v="EGG HARBOR TWP"/>
    <n v="8232"/>
    <s v="ATLANTIC"/>
    <s v="NJ"/>
    <n v="91597"/>
    <n v="71897"/>
    <n v="19700"/>
    <n v="0"/>
    <n v="0"/>
    <n v="0"/>
  </r>
  <r>
    <n v="13367"/>
    <n v="13368"/>
    <x v="1"/>
    <s v="NJ-00033"/>
    <s v="EGG HARBOR TWP"/>
    <n v="8234"/>
    <s v="ATLANTIC"/>
    <s v="NJ"/>
    <n v="233755"/>
    <n v="196675"/>
    <n v="37080"/>
    <n v="104400"/>
    <n v="104400"/>
    <n v="0"/>
  </r>
  <r>
    <n v="13367"/>
    <n v="13368"/>
    <x v="1"/>
    <s v="NJ-00033"/>
    <s v="EGG HARBOR TWSP"/>
    <n v="8234"/>
    <s v="ATLANTIC"/>
    <s v="NJ"/>
    <n v="1514"/>
    <n v="1064"/>
    <n v="450"/>
    <n v="0"/>
    <n v="0"/>
    <n v="0"/>
  </r>
  <r>
    <n v="13367"/>
    <n v="13368"/>
    <x v="1"/>
    <s v="NJ-00033"/>
    <s v="EGGHARBOR TOWNSHIP"/>
    <n v="8330"/>
    <s v="ATLANTIC"/>
    <s v="NJ"/>
    <n v="123332"/>
    <n v="96582"/>
    <n v="26750"/>
    <n v="0"/>
    <n v="0"/>
    <n v="0"/>
  </r>
  <r>
    <n v="13367"/>
    <n v="13368"/>
    <x v="1"/>
    <s v="NJ-00033"/>
    <s v="EHT"/>
    <n v="8234"/>
    <s v="ATLANTIC"/>
    <s v="NJ"/>
    <n v="35723"/>
    <n v="29048"/>
    <n v="6675"/>
    <n v="23000"/>
    <n v="20000"/>
    <n v="3000"/>
  </r>
  <r>
    <n v="13367"/>
    <n v="13368"/>
    <x v="1"/>
    <s v="NJ-00033"/>
    <s v="ELDORA"/>
    <n v="8270"/>
    <s v="CAPE MAY"/>
    <s v="NJ"/>
    <n v="61663"/>
    <n v="48225"/>
    <n v="13438"/>
    <n v="0"/>
    <n v="0"/>
    <n v="0"/>
  </r>
  <r>
    <n v="13367"/>
    <n v="13368"/>
    <x v="1"/>
    <s v="NJ-00033"/>
    <s v="ELIZABETH"/>
    <n v="7201"/>
    <s v="BERGEN"/>
    <s v="NJ"/>
    <n v="9700"/>
    <n v="0"/>
    <n v="9700"/>
    <n v="0"/>
    <n v="0"/>
    <n v="0"/>
  </r>
  <r>
    <n v="13367"/>
    <n v="13368"/>
    <x v="1"/>
    <s v="NJ-00033"/>
    <s v="ELIZABETH"/>
    <n v="7201"/>
    <s v="UNION"/>
    <s v="NJ"/>
    <n v="93066"/>
    <n v="78446"/>
    <n v="14620"/>
    <n v="27100"/>
    <n v="20100"/>
    <n v="7000"/>
  </r>
  <r>
    <n v="13367"/>
    <n v="13368"/>
    <x v="1"/>
    <s v="NJ-00033"/>
    <s v="ELIZABETH"/>
    <n v="7202"/>
    <s v="UNION"/>
    <s v="NJ"/>
    <n v="203826"/>
    <n v="174086"/>
    <n v="29740"/>
    <n v="59500"/>
    <n v="59500"/>
    <n v="0"/>
  </r>
  <r>
    <n v="13367"/>
    <n v="13368"/>
    <x v="1"/>
    <s v="NJ-00033"/>
    <s v="ELIZABETH"/>
    <n v="7206"/>
    <s v="UNION"/>
    <s v="NJ"/>
    <n v="168291"/>
    <n v="143281"/>
    <n v="25010"/>
    <n v="63700"/>
    <n v="49600"/>
    <n v="14100"/>
  </r>
  <r>
    <n v="13367"/>
    <n v="13368"/>
    <x v="1"/>
    <s v="NJ-00033"/>
    <s v="ELIZABETH"/>
    <n v="7208"/>
    <s v="UNION"/>
    <s v="NJ"/>
    <n v="217134"/>
    <n v="156864"/>
    <n v="60270"/>
    <n v="25300"/>
    <n v="23500"/>
    <n v="1800"/>
  </r>
  <r>
    <n v="13367"/>
    <n v="13368"/>
    <x v="1"/>
    <s v="NJ-00033"/>
    <s v="ELMWOOD PARK"/>
    <n v="7407"/>
    <s v="BERGEN"/>
    <s v="NJ"/>
    <n v="231294"/>
    <n v="169294"/>
    <n v="62000"/>
    <n v="194900"/>
    <n v="154900"/>
    <n v="40000"/>
  </r>
  <r>
    <n v="13367"/>
    <n v="13368"/>
    <x v="1"/>
    <s v="NJ-00033"/>
    <s v="ELWOOD"/>
    <n v="8217"/>
    <s v="ATLANTIC"/>
    <s v="NJ"/>
    <n v="44169"/>
    <n v="44169"/>
    <n v="0"/>
    <n v="0"/>
    <n v="0"/>
    <n v="0"/>
  </r>
  <r>
    <n v="13367"/>
    <n v="13368"/>
    <x v="1"/>
    <s v="NJ-00033"/>
    <s v="ENGLEWOOD"/>
    <n v="7631"/>
    <s v="BERGEN"/>
    <s v="NJ"/>
    <n v="417307"/>
    <n v="307972"/>
    <n v="109335"/>
    <n v="32000"/>
    <n v="18200"/>
    <n v="13800"/>
  </r>
  <r>
    <n v="13367"/>
    <n v="13368"/>
    <x v="1"/>
    <s v="NJ-00033"/>
    <s v="ENGLISHTOWN"/>
    <n v="7726"/>
    <s v="MONMOUTH"/>
    <s v="NJ"/>
    <n v="62512"/>
    <n v="57762"/>
    <n v="4750"/>
    <n v="42900"/>
    <n v="42800"/>
    <n v="100"/>
  </r>
  <r>
    <n v="13367"/>
    <n v="13368"/>
    <x v="1"/>
    <s v="NJ-00033"/>
    <s v="ERMA"/>
    <n v="8204"/>
    <s v="CAPE MAY"/>
    <s v="NJ"/>
    <n v="10974"/>
    <n v="10474"/>
    <n v="500"/>
    <n v="0"/>
    <n v="0"/>
    <n v="0"/>
  </r>
  <r>
    <n v="13367"/>
    <n v="13368"/>
    <x v="1"/>
    <s v="NJ-00033"/>
    <s v="ESSEX FALLS"/>
    <n v="7021"/>
    <s v="ESSEX"/>
    <s v="NJ"/>
    <n v="127957"/>
    <n v="112397"/>
    <n v="15560"/>
    <n v="0"/>
    <n v="0"/>
    <n v="0"/>
  </r>
  <r>
    <n v="13367"/>
    <n v="13368"/>
    <x v="1"/>
    <s v="NJ-00033"/>
    <s v="EWING"/>
    <n v="8638"/>
    <s v="MERCER"/>
    <s v="NJ"/>
    <n v="13024"/>
    <n v="13024"/>
    <n v="0"/>
    <n v="0"/>
    <n v="0"/>
    <n v="0"/>
  </r>
  <r>
    <n v="13367"/>
    <n v="13368"/>
    <x v="1"/>
    <s v="NJ-00033"/>
    <s v="FAIR HAVEN"/>
    <n v="7704"/>
    <s v="MONMOUTH"/>
    <s v="NJ"/>
    <n v="379314"/>
    <n v="303564"/>
    <n v="75750"/>
    <n v="148000"/>
    <n v="105700"/>
    <n v="42300"/>
  </r>
  <r>
    <n v="13367"/>
    <n v="13368"/>
    <x v="1"/>
    <s v="NJ-00033"/>
    <s v="FAIR LAWN"/>
    <n v="7410"/>
    <s v="BERGEN"/>
    <s v="NJ"/>
    <n v="53828"/>
    <n v="50628"/>
    <n v="3200"/>
    <n v="14000"/>
    <n v="14000"/>
    <n v="0"/>
  </r>
  <r>
    <n v="13367"/>
    <n v="13368"/>
    <x v="1"/>
    <s v="NJ-00033"/>
    <s v="FAIR LAWN"/>
    <n v="7414"/>
    <s v="BERGEN"/>
    <s v="NJ"/>
    <n v="19675"/>
    <n v="19675"/>
    <n v="0"/>
    <n v="0"/>
    <n v="0"/>
    <n v="0"/>
  </r>
  <r>
    <n v="13367"/>
    <n v="13368"/>
    <x v="1"/>
    <s v="NJ-00033"/>
    <s v="FAIRFIELD"/>
    <n v="7004"/>
    <s v="ESSEX"/>
    <s v="NJ"/>
    <n v="7800"/>
    <n v="0"/>
    <n v="7800"/>
    <n v="0"/>
    <n v="0"/>
    <n v="0"/>
  </r>
  <r>
    <n v="13367"/>
    <n v="13368"/>
    <x v="1"/>
    <s v="NJ-00033"/>
    <s v="FAIRVIEW"/>
    <n v="7022"/>
    <s v="BERGEN"/>
    <s v="NJ"/>
    <n v="6800"/>
    <n v="0"/>
    <n v="6800"/>
    <n v="0"/>
    <n v="0"/>
    <n v="0"/>
  </r>
  <r>
    <n v="13367"/>
    <n v="13368"/>
    <x v="1"/>
    <s v="NJ-00033"/>
    <s v="FANWOOD"/>
    <n v="7023"/>
    <s v="UNION"/>
    <s v="NJ"/>
    <n v="229998"/>
    <n v="222448"/>
    <n v="7550"/>
    <n v="22000"/>
    <n v="20700"/>
    <n v="1300"/>
  </r>
  <r>
    <n v="13367"/>
    <n v="13368"/>
    <x v="1"/>
    <s v="NJ-00033"/>
    <s v="FAR HILLS"/>
    <n v="7931"/>
    <s v="SOMERSET"/>
    <s v="NJ"/>
    <n v="103518"/>
    <n v="98888"/>
    <n v="4630"/>
    <n v="0"/>
    <n v="0"/>
    <n v="0"/>
  </r>
  <r>
    <n v="13367"/>
    <n v="13368"/>
    <x v="1"/>
    <s v="NJ-00033"/>
    <s v="FARMINGDALE"/>
    <n v="7727"/>
    <s v="MONMOUTH"/>
    <s v="NJ"/>
    <n v="35861"/>
    <n v="35861"/>
    <n v="0"/>
    <n v="30700"/>
    <n v="30700"/>
    <n v="0"/>
  </r>
  <r>
    <n v="13367"/>
    <n v="13368"/>
    <x v="1"/>
    <s v="NJ-00033"/>
    <s v="FLAGTOWN"/>
    <n v="8821"/>
    <s v="SOMERSET"/>
    <s v="NJ"/>
    <n v="28935"/>
    <n v="28325"/>
    <n v="610"/>
    <n v="0"/>
    <n v="0"/>
    <n v="0"/>
  </r>
  <r>
    <n v="13367"/>
    <n v="13368"/>
    <x v="1"/>
    <s v="NJ-00033"/>
    <s v="FLANDERS"/>
    <n v="7836"/>
    <s v="MORRIS"/>
    <s v="NJ"/>
    <n v="72113"/>
    <n v="63963"/>
    <n v="8150"/>
    <n v="11500"/>
    <n v="11500"/>
    <n v="0"/>
  </r>
  <r>
    <n v="13367"/>
    <n v="13368"/>
    <x v="1"/>
    <s v="NJ-00033"/>
    <s v="FLEMINGTON"/>
    <n v="8822"/>
    <s v="HUNTERDON"/>
    <s v="NJ"/>
    <n v="553135"/>
    <n v="454660"/>
    <n v="98475"/>
    <n v="112900"/>
    <n v="104900"/>
    <n v="8000"/>
  </r>
  <r>
    <n v="13367"/>
    <n v="13368"/>
    <x v="1"/>
    <s v="NJ-00033"/>
    <s v="FLORHAM"/>
    <n v="7932"/>
    <s v="MORRIS"/>
    <s v="NJ"/>
    <n v="51290"/>
    <n v="39690"/>
    <n v="11600"/>
    <n v="0"/>
    <n v="0"/>
    <n v="0"/>
  </r>
  <r>
    <n v="13367"/>
    <n v="13368"/>
    <x v="1"/>
    <s v="NJ-00033"/>
    <s v="FLORHAM PARK"/>
    <n v="7932"/>
    <s v="MORRIS"/>
    <s v="NJ"/>
    <n v="284482"/>
    <n v="259695"/>
    <n v="24787"/>
    <n v="116600"/>
    <n v="92500"/>
    <n v="24100"/>
  </r>
  <r>
    <n v="13367"/>
    <n v="13368"/>
    <x v="1"/>
    <s v="NJ-00033"/>
    <s v="FORDS"/>
    <n v="8863"/>
    <s v="MIDDLESEX"/>
    <s v="NJ"/>
    <n v="122662"/>
    <n v="116537"/>
    <n v="6125"/>
    <n v="65700"/>
    <n v="59900"/>
    <n v="5800"/>
  </r>
  <r>
    <n v="13367"/>
    <n v="13368"/>
    <x v="1"/>
    <s v="NJ-00033"/>
    <s v="FORKED RIVER"/>
    <n v="8731"/>
    <s v="OCEAN"/>
    <s v="NJ"/>
    <n v="13791939"/>
    <n v="10787016"/>
    <n v="3004923"/>
    <n v="6406500"/>
    <n v="5017900"/>
    <n v="1388600"/>
  </r>
  <r>
    <n v="13367"/>
    <n v="13368"/>
    <x v="1"/>
    <s v="NJ-00033"/>
    <s v="FORT LEE"/>
    <n v="7024"/>
    <s v="BERGEN"/>
    <s v="NJ"/>
    <n v="227762"/>
    <n v="140062"/>
    <n v="87700"/>
    <n v="23600"/>
    <n v="23600"/>
    <n v="0"/>
  </r>
  <r>
    <n v="13367"/>
    <n v="13368"/>
    <x v="1"/>
    <s v="NJ-00033"/>
    <s v="FORTESCUE"/>
    <n v="8321"/>
    <s v="CUMBERLAND"/>
    <s v="NJ"/>
    <n v="1470696"/>
    <n v="1298181"/>
    <n v="172515"/>
    <n v="343100"/>
    <n v="309600"/>
    <n v="33500"/>
  </r>
  <r>
    <n v="13367"/>
    <n v="13368"/>
    <x v="1"/>
    <s v="NJ-00033"/>
    <s v="FRANKLIN LLAKES"/>
    <n v="7417"/>
    <s v="BERGEN"/>
    <s v="NJ"/>
    <n v="2500"/>
    <n v="0"/>
    <n v="2500"/>
    <n v="0"/>
    <n v="0"/>
    <n v="0"/>
  </r>
  <r>
    <n v="13367"/>
    <n v="13368"/>
    <x v="1"/>
    <s v="NJ-00033"/>
    <s v="FRANKLIN PARK"/>
    <n v="8823"/>
    <s v="SOMERSET"/>
    <s v="NJ"/>
    <n v="37680"/>
    <n v="37680"/>
    <n v="0"/>
    <n v="21700"/>
    <n v="21700"/>
    <n v="0"/>
  </r>
  <r>
    <n v="13367"/>
    <n v="13368"/>
    <x v="1"/>
    <s v="NJ-00033"/>
    <s v="FREEHOLD"/>
    <n v="7728"/>
    <s v="MONMOUTH"/>
    <s v="NJ"/>
    <n v="807003"/>
    <n v="723408"/>
    <n v="83595"/>
    <n v="336600"/>
    <n v="308000"/>
    <n v="28600"/>
  </r>
  <r>
    <n v="13367"/>
    <n v="13368"/>
    <x v="1"/>
    <s v="NJ-00033"/>
    <s v="FRENCHTOWN"/>
    <n v="8825"/>
    <s v="HUNTERDON"/>
    <s v="NJ"/>
    <n v="26436"/>
    <n v="26436"/>
    <n v="0"/>
    <n v="23900"/>
    <n v="23900"/>
    <n v="0"/>
  </r>
  <r>
    <n v="13367"/>
    <n v="13368"/>
    <x v="1"/>
    <s v="NJ-00033"/>
    <s v="GALLOWAY"/>
    <n v="8205"/>
    <s v="ATLANTIC"/>
    <s v="NJ"/>
    <n v="796724"/>
    <n v="712819"/>
    <n v="83905"/>
    <n v="438800"/>
    <n v="390500"/>
    <n v="48300"/>
  </r>
  <r>
    <n v="13367"/>
    <n v="13368"/>
    <x v="1"/>
    <s v="NJ-00033"/>
    <s v="GARFIELD"/>
    <n v="7026"/>
    <s v="BERGEN"/>
    <s v="NJ"/>
    <n v="105864"/>
    <n v="101414"/>
    <n v="4450"/>
    <n v="14000"/>
    <n v="11700"/>
    <n v="2300"/>
  </r>
  <r>
    <n v="13367"/>
    <n v="13368"/>
    <x v="1"/>
    <s v="NJ-00033"/>
    <s v="GARWOOD"/>
    <n v="7027"/>
    <s v="UNION"/>
    <s v="NJ"/>
    <n v="46534"/>
    <n v="46534"/>
    <n v="0"/>
    <n v="42400"/>
    <n v="42400"/>
    <n v="0"/>
  </r>
  <r>
    <n v="13367"/>
    <n v="13368"/>
    <x v="1"/>
    <s v="NJ-00033"/>
    <s v="GILLETTE"/>
    <n v="7933"/>
    <s v="MORRIS"/>
    <s v="NJ"/>
    <n v="9044"/>
    <n v="9044"/>
    <n v="0"/>
    <n v="9000"/>
    <n v="9000"/>
    <n v="0"/>
  </r>
  <r>
    <n v="13367"/>
    <n v="13368"/>
    <x v="1"/>
    <s v="NJ-00033"/>
    <s v="GLASSBORO"/>
    <n v="8028"/>
    <s v="GLOUCESTER"/>
    <s v="NJ"/>
    <n v="36038"/>
    <n v="29288"/>
    <n v="6750"/>
    <n v="5200"/>
    <n v="0"/>
    <n v="5200"/>
  </r>
  <r>
    <n v="13367"/>
    <n v="13368"/>
    <x v="1"/>
    <s v="NJ-00033"/>
    <s v="GLEN GARDNER"/>
    <n v="8826"/>
    <s v="HUNTERDON"/>
    <s v="NJ"/>
    <n v="6650"/>
    <n v="6650"/>
    <n v="0"/>
    <n v="6700"/>
    <n v="6700"/>
    <n v="0"/>
  </r>
  <r>
    <n v="13367"/>
    <n v="13368"/>
    <x v="1"/>
    <s v="NJ-00033"/>
    <s v="GLEN RIDGE"/>
    <n v="7028"/>
    <s v="ESSEX"/>
    <s v="NJ"/>
    <n v="123132"/>
    <n v="117032"/>
    <n v="6100"/>
    <n v="49700"/>
    <n v="48000"/>
    <n v="1700"/>
  </r>
  <r>
    <n v="13367"/>
    <n v="13368"/>
    <x v="1"/>
    <s v="NJ-00033"/>
    <s v="GLEN ROCK"/>
    <n v="7452"/>
    <s v="BERGEN"/>
    <s v="NJ"/>
    <n v="32377"/>
    <n v="27877"/>
    <n v="4500"/>
    <n v="0"/>
    <n v="0"/>
    <n v="0"/>
  </r>
  <r>
    <n v="13367"/>
    <n v="13368"/>
    <x v="1"/>
    <s v="NJ-00033"/>
    <s v="GLENDORA"/>
    <n v="8029"/>
    <s v="CAMDEN"/>
    <s v="NJ"/>
    <n v="4489"/>
    <n v="4489"/>
    <n v="0"/>
    <n v="4500"/>
    <n v="4500"/>
    <n v="0"/>
  </r>
  <r>
    <n v="13367"/>
    <n v="13368"/>
    <x v="1"/>
    <s v="NJ-00033"/>
    <s v="GLOUCESTER CITY"/>
    <n v="8030"/>
    <s v="CAMDEN"/>
    <s v="NJ"/>
    <n v="13883"/>
    <n v="13883"/>
    <n v="0"/>
    <n v="12900"/>
    <n v="12900"/>
    <n v="0"/>
  </r>
  <r>
    <n v="13367"/>
    <n v="13368"/>
    <x v="1"/>
    <s v="NJ-00033"/>
    <s v="GOSHEN"/>
    <n v="8218"/>
    <s v="CAPE MAY"/>
    <s v="NJ"/>
    <n v="958"/>
    <n v="958"/>
    <n v="0"/>
    <n v="1000"/>
    <n v="1000"/>
    <n v="0"/>
  </r>
  <r>
    <n v="13367"/>
    <n v="13368"/>
    <x v="1"/>
    <s v="NJ-00033"/>
    <s v="GREAT MEADOWS"/>
    <n v="7838"/>
    <s v="WARREN"/>
    <s v="NJ"/>
    <n v="68403"/>
    <n v="66653"/>
    <n v="1750"/>
    <n v="33300"/>
    <n v="33100"/>
    <n v="200"/>
  </r>
  <r>
    <n v="13367"/>
    <n v="13368"/>
    <x v="1"/>
    <s v="NJ-00033"/>
    <s v="GREEN BROOK"/>
    <n v="8812"/>
    <s v="SOMERSET"/>
    <s v="NJ"/>
    <n v="45799"/>
    <n v="44899"/>
    <n v="900"/>
    <n v="27700"/>
    <n v="27700"/>
    <n v="0"/>
  </r>
  <r>
    <n v="13367"/>
    <n v="13368"/>
    <x v="1"/>
    <s v="NJ-00033"/>
    <s v="GREEN VILLAGE"/>
    <n v="7935"/>
    <s v="MORRIS"/>
    <s v="NJ"/>
    <n v="22235"/>
    <n v="21035"/>
    <n v="1200"/>
    <n v="21900"/>
    <n v="20700"/>
    <n v="1200"/>
  </r>
  <r>
    <n v="13367"/>
    <n v="13368"/>
    <x v="1"/>
    <s v="NJ-00033"/>
    <s v="GREENWICH"/>
    <n v="8323"/>
    <s v="CUMBERLAND"/>
    <s v="NJ"/>
    <n v="150747"/>
    <n v="137232"/>
    <n v="13515"/>
    <n v="0"/>
    <n v="0"/>
    <n v="0"/>
  </r>
  <r>
    <n v="13367"/>
    <n v="13368"/>
    <x v="1"/>
    <s v="NJ-00033"/>
    <s v="GUTTENBERG"/>
    <n v="7093"/>
    <s v="HUDSON"/>
    <s v="NJ"/>
    <n v="6207"/>
    <n v="5207"/>
    <n v="1000"/>
    <n v="0"/>
    <n v="0"/>
    <n v="0"/>
  </r>
  <r>
    <n v="13367"/>
    <n v="13368"/>
    <x v="1"/>
    <s v="NJ-00033"/>
    <s v="HACKENSACK"/>
    <n v="7601"/>
    <s v="BERGEN"/>
    <s v="NJ"/>
    <n v="1081854"/>
    <n v="653034"/>
    <n v="428820"/>
    <n v="425300"/>
    <n v="216000"/>
    <n v="209300"/>
  </r>
  <r>
    <n v="13367"/>
    <n v="13368"/>
    <x v="1"/>
    <s v="NJ-00033"/>
    <s v="HACKETTSTOWN"/>
    <n v="7840"/>
    <s v="WARREN"/>
    <s v="NJ"/>
    <n v="82912"/>
    <n v="43577"/>
    <n v="39335"/>
    <n v="20300"/>
    <n v="16300"/>
    <n v="4000"/>
  </r>
  <r>
    <n v="13367"/>
    <n v="13368"/>
    <x v="1"/>
    <s v="NJ-00033"/>
    <s v="HAINESPORT"/>
    <n v="8036"/>
    <s v="BURLINGTON"/>
    <s v="NJ"/>
    <n v="22182"/>
    <n v="18552"/>
    <n v="3630"/>
    <n v="22200"/>
    <n v="18600"/>
    <n v="3600"/>
  </r>
  <r>
    <n v="13367"/>
    <n v="13368"/>
    <x v="1"/>
    <s v="NJ-00033"/>
    <s v="HALEDON"/>
    <n v="7508"/>
    <s v="PASSAIC"/>
    <s v="NJ"/>
    <n v="86296"/>
    <n v="83346"/>
    <n v="2950"/>
    <n v="41600"/>
    <n v="39300"/>
    <n v="2300"/>
  </r>
  <r>
    <n v="13367"/>
    <n v="13368"/>
    <x v="1"/>
    <s v="NJ-00033"/>
    <s v="HAMILTON"/>
    <n v="8610"/>
    <s v="MERCER"/>
    <s v="NJ"/>
    <n v="186339"/>
    <n v="172494"/>
    <n v="13845"/>
    <n v="6800"/>
    <n v="0"/>
    <n v="6800"/>
  </r>
  <r>
    <n v="13367"/>
    <n v="13368"/>
    <x v="1"/>
    <s v="NJ-00033"/>
    <s v="HAMMONTON"/>
    <n v="8037"/>
    <s v="ATLANTIC"/>
    <s v="NJ"/>
    <n v="1630031"/>
    <n v="1274606"/>
    <n v="355425"/>
    <n v="1066100"/>
    <n v="851600"/>
    <n v="214500"/>
  </r>
  <r>
    <n v="13367"/>
    <n v="13368"/>
    <x v="1"/>
    <s v="NJ-00033"/>
    <s v="HAMPTON"/>
    <n v="8827"/>
    <s v="HUNTERDON"/>
    <s v="NJ"/>
    <n v="76499"/>
    <n v="76499"/>
    <n v="0"/>
    <n v="0"/>
    <n v="0"/>
    <n v="0"/>
  </r>
  <r>
    <n v="13367"/>
    <n v="13368"/>
    <x v="1"/>
    <s v="NJ-00033"/>
    <s v="HARRINGTON PARK"/>
    <n v="7640"/>
    <s v="BERGEN"/>
    <s v="NJ"/>
    <n v="57671"/>
    <n v="57671"/>
    <n v="0"/>
    <n v="0"/>
    <n v="0"/>
    <n v="0"/>
  </r>
  <r>
    <n v="13367"/>
    <n v="13368"/>
    <x v="1"/>
    <s v="NJ-00033"/>
    <s v="HARRISON"/>
    <n v="7029"/>
    <s v="HUDSON"/>
    <s v="NJ"/>
    <n v="1154637"/>
    <n v="386112"/>
    <n v="768525"/>
    <n v="321900"/>
    <n v="116500"/>
    <n v="205400"/>
  </r>
  <r>
    <n v="13367"/>
    <n v="13368"/>
    <x v="1"/>
    <s v="NJ-00033"/>
    <s v="HARVEY CEDARS"/>
    <n v="8008"/>
    <s v="OCEAN"/>
    <s v="NJ"/>
    <n v="974270"/>
    <n v="702335"/>
    <n v="271935"/>
    <n v="282500"/>
    <n v="220900"/>
    <n v="61600"/>
  </r>
  <r>
    <n v="13367"/>
    <n v="13368"/>
    <x v="1"/>
    <s v="NJ-00033"/>
    <s v="HASBROUCK HEIGHTS"/>
    <n v="7604"/>
    <s v="BERGEN"/>
    <s v="NJ"/>
    <n v="86428"/>
    <n v="74848"/>
    <n v="11580"/>
    <n v="47100"/>
    <n v="35500"/>
    <n v="11600"/>
  </r>
  <r>
    <n v="13367"/>
    <n v="13368"/>
    <x v="1"/>
    <s v="NJ-00033"/>
    <s v="HASKELL"/>
    <n v="7420"/>
    <s v="PASSAIC"/>
    <s v="NJ"/>
    <n v="281833"/>
    <n v="269833"/>
    <n v="12000"/>
    <n v="87200"/>
    <n v="79400"/>
    <n v="7800"/>
  </r>
  <r>
    <n v="13367"/>
    <n v="13368"/>
    <x v="1"/>
    <s v="NJ-00033"/>
    <s v="HAVEN BEACH"/>
    <n v="8008"/>
    <s v="OCEAN"/>
    <s v="NJ"/>
    <n v="480446"/>
    <n v="377371"/>
    <n v="103075"/>
    <n v="0"/>
    <n v="0"/>
    <n v="0"/>
  </r>
  <r>
    <n v="13367"/>
    <n v="13368"/>
    <x v="1"/>
    <s v="NJ-00033"/>
    <s v="HAWORTH"/>
    <n v="7641"/>
    <s v="BERGEN"/>
    <s v="NJ"/>
    <n v="193863"/>
    <n v="156688"/>
    <n v="37175"/>
    <n v="139400"/>
    <n v="102200"/>
    <n v="37200"/>
  </r>
  <r>
    <n v="13367"/>
    <n v="13368"/>
    <x v="1"/>
    <s v="NJ-00033"/>
    <s v="HAWTHORNE"/>
    <n v="7506"/>
    <s v="PASSAIC"/>
    <s v="NJ"/>
    <n v="6190"/>
    <n v="6190"/>
    <n v="0"/>
    <n v="0"/>
    <n v="0"/>
    <n v="0"/>
  </r>
  <r>
    <n v="13367"/>
    <n v="13368"/>
    <x v="1"/>
    <s v="NJ-00033"/>
    <s v="HAZLET"/>
    <n v="7730"/>
    <s v="MONMOUTH"/>
    <s v="NJ"/>
    <n v="452535"/>
    <n v="329340"/>
    <n v="123195"/>
    <n v="265900"/>
    <n v="201000"/>
    <n v="64900"/>
  </r>
  <r>
    <n v="13367"/>
    <n v="13368"/>
    <x v="1"/>
    <s v="NJ-00033"/>
    <s v="HEISLERVILLE"/>
    <n v="8324"/>
    <s v="CUMBERLAND"/>
    <s v="NJ"/>
    <n v="556770"/>
    <n v="474875"/>
    <n v="81895"/>
    <n v="158800"/>
    <n v="115600"/>
    <n v="43200"/>
  </r>
  <r>
    <n v="13367"/>
    <n v="13368"/>
    <x v="1"/>
    <s v="NJ-00033"/>
    <s v="HELMETTA"/>
    <n v="8828"/>
    <s v="MIDDLESEX"/>
    <s v="NJ"/>
    <n v="16975"/>
    <n v="15475"/>
    <n v="1500"/>
    <n v="0"/>
    <n v="0"/>
    <n v="0"/>
  </r>
  <r>
    <n v="13367"/>
    <n v="13368"/>
    <x v="1"/>
    <s v="NJ-00033"/>
    <s v="HEWITT"/>
    <n v="7421"/>
    <s v="PASSAIC"/>
    <s v="NJ"/>
    <n v="140826"/>
    <n v="121426"/>
    <n v="19400"/>
    <n v="91200"/>
    <n v="72300"/>
    <n v="18900"/>
  </r>
  <r>
    <n v="13367"/>
    <n v="13368"/>
    <x v="1"/>
    <s v="NJ-00033"/>
    <s v="HIGH BRIDGE"/>
    <n v="8829"/>
    <s v="HUNTERDON"/>
    <s v="NJ"/>
    <n v="94829"/>
    <n v="89629"/>
    <n v="5200"/>
    <n v="94900"/>
    <n v="89700"/>
    <n v="5200"/>
  </r>
  <r>
    <n v="13367"/>
    <n v="13368"/>
    <x v="1"/>
    <s v="NJ-00033"/>
    <s v="HIGHLAND LAKES"/>
    <n v="7422"/>
    <s v="SUSSEX"/>
    <s v="NJ"/>
    <n v="171655"/>
    <n v="121975"/>
    <n v="49680"/>
    <n v="3600"/>
    <n v="0"/>
    <n v="3600"/>
  </r>
  <r>
    <n v="13367"/>
    <n v="13368"/>
    <x v="1"/>
    <s v="NJ-00033"/>
    <s v="HIGHLAND PARK"/>
    <n v="8904"/>
    <s v="MIDDLESEX"/>
    <s v="NJ"/>
    <n v="88772"/>
    <n v="84422"/>
    <n v="4350"/>
    <n v="27000"/>
    <n v="24500"/>
    <n v="2500"/>
  </r>
  <r>
    <n v="13367"/>
    <n v="13368"/>
    <x v="1"/>
    <s v="NJ-00033"/>
    <s v="HIGHLANDS"/>
    <n v="7201"/>
    <s v="MONMOUTH"/>
    <s v="NJ"/>
    <n v="18080"/>
    <n v="0"/>
    <n v="18080"/>
    <n v="18000"/>
    <n v="0"/>
    <n v="18000"/>
  </r>
  <r>
    <n v="13367"/>
    <n v="13368"/>
    <x v="1"/>
    <s v="NJ-00033"/>
    <s v="HIGHLANDS"/>
    <n v="7302"/>
    <s v="MONMOUTH"/>
    <s v="NJ"/>
    <n v="116253"/>
    <n v="87503"/>
    <n v="28750"/>
    <n v="23800"/>
    <n v="0"/>
    <n v="23800"/>
  </r>
  <r>
    <n v="13367"/>
    <n v="13368"/>
    <x v="1"/>
    <s v="NJ-00033"/>
    <s v="HIGHLANDS"/>
    <n v="7730"/>
    <s v="MONMOUTH"/>
    <s v="NJ"/>
    <n v="13310"/>
    <n v="0"/>
    <n v="13310"/>
    <n v="0"/>
    <n v="0"/>
    <n v="0"/>
  </r>
  <r>
    <n v="13367"/>
    <n v="13368"/>
    <x v="1"/>
    <s v="NJ-00033"/>
    <s v="HIGHLANDS"/>
    <n v="7732"/>
    <s v="MONMOUTH"/>
    <s v="NJ"/>
    <n v="23294122"/>
    <n v="15736191"/>
    <n v="7557931"/>
    <n v="7828600"/>
    <n v="4221800"/>
    <n v="3606800"/>
  </r>
  <r>
    <n v="13367"/>
    <n v="13368"/>
    <x v="1"/>
    <s v="NJ-00033"/>
    <s v="HIGHTSTOWN"/>
    <n v="8520"/>
    <s v="MERCER"/>
    <s v="NJ"/>
    <n v="226321"/>
    <n v="211316"/>
    <n v="15005"/>
    <n v="106500"/>
    <n v="106500"/>
    <n v="0"/>
  </r>
  <r>
    <n v="13367"/>
    <n v="13368"/>
    <x v="1"/>
    <s v="NJ-00033"/>
    <s v="HILLSBOROUGH"/>
    <n v="8844"/>
    <s v="SOMERSET"/>
    <s v="NJ"/>
    <n v="314820"/>
    <n v="280530"/>
    <n v="34290"/>
    <n v="173000"/>
    <n v="155700"/>
    <n v="17300"/>
  </r>
  <r>
    <n v="13367"/>
    <n v="13368"/>
    <x v="1"/>
    <s v="NJ-00033"/>
    <s v="HILLSDALE"/>
    <n v="7642"/>
    <s v="BERGEN"/>
    <s v="NJ"/>
    <n v="263881"/>
    <n v="256831"/>
    <n v="7050"/>
    <n v="193900"/>
    <n v="186900"/>
    <n v="7000"/>
  </r>
  <r>
    <n v="13367"/>
    <n v="13368"/>
    <x v="1"/>
    <s v="NJ-00033"/>
    <s v="HILLSIDE"/>
    <n v="7205"/>
    <s v="UNION"/>
    <s v="NJ"/>
    <n v="237231"/>
    <n v="210056"/>
    <n v="27175"/>
    <n v="88000"/>
    <n v="74000"/>
    <n v="14000"/>
  </r>
  <r>
    <n v="13367"/>
    <n v="13368"/>
    <x v="1"/>
    <s v="NJ-00033"/>
    <s v="HOBOKEN"/>
    <n v="7030"/>
    <s v="BERGEN"/>
    <s v="NJ"/>
    <n v="86993"/>
    <n v="52588"/>
    <n v="34405"/>
    <n v="77000"/>
    <n v="44600"/>
    <n v="32400"/>
  </r>
  <r>
    <n v="13367"/>
    <n v="13368"/>
    <x v="1"/>
    <s v="NJ-00033"/>
    <s v="HOBOKEN"/>
    <n v="7030"/>
    <s v="HUDSON"/>
    <s v="NJ"/>
    <n v="6776436"/>
    <n v="2838275"/>
    <n v="3938161"/>
    <n v="2927700"/>
    <n v="1077700"/>
    <n v="1850000"/>
  </r>
  <r>
    <n v="13367"/>
    <n v="13368"/>
    <x v="1"/>
    <s v="NJ-00033"/>
    <s v="HOLGARE"/>
    <n v="8008"/>
    <s v="OCEAN"/>
    <s v="NJ"/>
    <n v="94317"/>
    <n v="85617"/>
    <n v="8700"/>
    <n v="0"/>
    <n v="0"/>
    <n v="0"/>
  </r>
  <r>
    <n v="13367"/>
    <n v="13368"/>
    <x v="1"/>
    <s v="NJ-00033"/>
    <s v="HOLGATE"/>
    <n v="8008"/>
    <s v="OCEAN"/>
    <s v="NJ"/>
    <n v="450006"/>
    <n v="298556"/>
    <n v="151450"/>
    <n v="0"/>
    <n v="0"/>
    <n v="0"/>
  </r>
  <r>
    <n v="13367"/>
    <n v="13368"/>
    <x v="1"/>
    <s v="NJ-00033"/>
    <s v="HOLMDEL"/>
    <n v="7733"/>
    <s v="MONMOUTH"/>
    <s v="NJ"/>
    <n v="537425"/>
    <n v="507150"/>
    <n v="30275"/>
    <n v="270300"/>
    <n v="244300"/>
    <n v="26000"/>
  </r>
  <r>
    <n v="13367"/>
    <n v="13368"/>
    <x v="1"/>
    <s v="NJ-00033"/>
    <s v="HOPATCONG"/>
    <n v="7843"/>
    <s v="SUSSEX"/>
    <s v="NJ"/>
    <n v="1117806"/>
    <n v="971921"/>
    <n v="145885"/>
    <n v="683600"/>
    <n v="592900"/>
    <n v="90700"/>
  </r>
  <r>
    <n v="13367"/>
    <n v="13368"/>
    <x v="1"/>
    <s v="NJ-00033"/>
    <s v="HOPE"/>
    <n v="7844"/>
    <s v="WARREN"/>
    <s v="NJ"/>
    <n v="9827"/>
    <n v="9077"/>
    <n v="750"/>
    <n v="0"/>
    <n v="0"/>
    <n v="0"/>
  </r>
  <r>
    <n v="13367"/>
    <n v="13368"/>
    <x v="1"/>
    <s v="NJ-00033"/>
    <s v="HOPEWELL"/>
    <n v="8525"/>
    <s v="HUNTERDON"/>
    <s v="NJ"/>
    <n v="35409"/>
    <n v="35409"/>
    <n v="0"/>
    <n v="0"/>
    <n v="0"/>
    <n v="0"/>
  </r>
  <r>
    <n v="13367"/>
    <n v="13368"/>
    <x v="1"/>
    <s v="NJ-00033"/>
    <s v="HOWELL"/>
    <n v="7731"/>
    <s v="MONMOUTH"/>
    <s v="NJ"/>
    <n v="402370"/>
    <n v="385995"/>
    <n v="16375"/>
    <n v="120500"/>
    <n v="108300"/>
    <n v="12200"/>
  </r>
  <r>
    <n v="13367"/>
    <n v="13368"/>
    <x v="1"/>
    <s v="NJ-00033"/>
    <s v="IRVINGTON"/>
    <n v="7111"/>
    <s v="ESSEX"/>
    <s v="NJ"/>
    <n v="659933"/>
    <n v="567362"/>
    <n v="92571"/>
    <n v="99200"/>
    <n v="83900"/>
    <n v="15300"/>
  </r>
  <r>
    <n v="13367"/>
    <n v="13368"/>
    <x v="1"/>
    <s v="NJ-00033"/>
    <s v="ISELIN"/>
    <n v="8830"/>
    <s v="MIDDLESEX"/>
    <s v="NJ"/>
    <n v="182173"/>
    <n v="145833"/>
    <n v="36340"/>
    <n v="32600"/>
    <n v="29300"/>
    <n v="3300"/>
  </r>
  <r>
    <n v="13367"/>
    <n v="13368"/>
    <x v="1"/>
    <s v="NJ-00033"/>
    <s v="ISLAND HEIGHTS"/>
    <n v="8732"/>
    <s v="OCEAN"/>
    <s v="NJ"/>
    <n v="1145514"/>
    <n v="820934"/>
    <n v="324580"/>
    <n v="544400"/>
    <n v="401200"/>
    <n v="143200"/>
  </r>
  <r>
    <n v="13367"/>
    <n v="13368"/>
    <x v="1"/>
    <s v="NJ-00033"/>
    <s v="ISLAND HTS"/>
    <n v="8732"/>
    <s v="OCEAN"/>
    <s v="NJ"/>
    <n v="20034"/>
    <n v="20034"/>
    <n v="0"/>
    <n v="0"/>
    <n v="0"/>
    <n v="0"/>
  </r>
  <r>
    <n v="13367"/>
    <n v="13368"/>
    <x v="1"/>
    <s v="NJ-00033"/>
    <s v="JACKSON"/>
    <n v="8527"/>
    <s v="OCEAN"/>
    <s v="NJ"/>
    <n v="414619"/>
    <n v="397929"/>
    <n v="16690"/>
    <n v="176800"/>
    <n v="167200"/>
    <n v="9600"/>
  </r>
  <r>
    <n v="13367"/>
    <n v="13368"/>
    <x v="1"/>
    <s v="NJ-00033"/>
    <s v="JAMESBURG"/>
    <n v="8831"/>
    <s v="MIDDLESEX"/>
    <s v="NJ"/>
    <n v="8026"/>
    <n v="7276"/>
    <n v="750"/>
    <n v="0"/>
    <n v="0"/>
    <n v="0"/>
  </r>
  <r>
    <n v="13367"/>
    <n v="13368"/>
    <x v="1"/>
    <s v="NJ-00033"/>
    <s v="JERSEY"/>
    <n v="7304"/>
    <s v="HUDSON"/>
    <s v="NJ"/>
    <n v="73580"/>
    <n v="42055"/>
    <n v="31525"/>
    <n v="69900"/>
    <n v="38400"/>
    <n v="31500"/>
  </r>
  <r>
    <n v="13367"/>
    <n v="13368"/>
    <x v="1"/>
    <s v="NJ-00033"/>
    <s v="JERSEY"/>
    <n v="7305"/>
    <s v="HUDSON"/>
    <s v="NJ"/>
    <n v="10520"/>
    <n v="10520"/>
    <n v="0"/>
    <n v="0"/>
    <n v="0"/>
    <n v="0"/>
  </r>
  <r>
    <n v="13367"/>
    <n v="13368"/>
    <x v="1"/>
    <s v="NJ-00033"/>
    <s v="JERSEY  CITY"/>
    <n v="7305"/>
    <s v="HUDSON"/>
    <s v="NJ"/>
    <n v="7655"/>
    <n v="4655"/>
    <n v="3000"/>
    <n v="0"/>
    <n v="0"/>
    <n v="0"/>
  </r>
  <r>
    <n v="13367"/>
    <n v="13368"/>
    <x v="1"/>
    <s v="NJ-00033"/>
    <s v="JERSEY CITY"/>
    <n v="7030"/>
    <s v="HUDSON"/>
    <s v="NJ"/>
    <n v="39652"/>
    <n v="10652"/>
    <n v="29000"/>
    <n v="0"/>
    <n v="0"/>
    <n v="0"/>
  </r>
  <r>
    <n v="13367"/>
    <n v="13368"/>
    <x v="1"/>
    <s v="NJ-00033"/>
    <s v="JERSEY CITY"/>
    <n v="7032"/>
    <s v="HUDSON"/>
    <s v="NJ"/>
    <n v="31605"/>
    <n v="0"/>
    <n v="31605"/>
    <n v="31700"/>
    <n v="0"/>
    <n v="31700"/>
  </r>
  <r>
    <n v="13367"/>
    <n v="13368"/>
    <x v="1"/>
    <s v="NJ-00033"/>
    <s v="JERSEY CITY"/>
    <n v="7071"/>
    <s v="HUDSON"/>
    <s v="NJ"/>
    <n v="7225"/>
    <n v="0"/>
    <n v="7225"/>
    <n v="7300"/>
    <n v="0"/>
    <n v="7300"/>
  </r>
  <r>
    <n v="13367"/>
    <n v="13368"/>
    <x v="1"/>
    <s v="NJ-00033"/>
    <s v="JERSEY CITY"/>
    <n v="7302"/>
    <s v="HUDSON"/>
    <s v="NJ"/>
    <n v="4953533"/>
    <n v="2216412"/>
    <n v="2737121"/>
    <n v="1638300"/>
    <n v="506600"/>
    <n v="1119900"/>
  </r>
  <r>
    <n v="13367"/>
    <n v="13368"/>
    <x v="1"/>
    <s v="NJ-00033"/>
    <s v="JERSEY CITY"/>
    <n v="7302"/>
    <s v="SOMERSET"/>
    <s v="NJ"/>
    <n v="18500"/>
    <n v="0"/>
    <n v="18500"/>
    <n v="18500"/>
    <n v="0"/>
    <n v="18500"/>
  </r>
  <r>
    <n v="13367"/>
    <n v="13368"/>
    <x v="1"/>
    <s v="NJ-00033"/>
    <s v="JERSEY CITY"/>
    <n v="7303"/>
    <s v="HUDSON"/>
    <s v="NJ"/>
    <n v="3850"/>
    <n v="3850"/>
    <n v="0"/>
    <n v="3900"/>
    <n v="3900"/>
    <n v="0"/>
  </r>
  <r>
    <n v="13367"/>
    <n v="13368"/>
    <x v="1"/>
    <s v="NJ-00033"/>
    <s v="JERSEY CITY"/>
    <n v="7304"/>
    <s v="HUDSON"/>
    <s v="NJ"/>
    <n v="1499492"/>
    <n v="879216"/>
    <n v="620276"/>
    <n v="473200"/>
    <n v="244300"/>
    <n v="228900"/>
  </r>
  <r>
    <n v="13367"/>
    <n v="13368"/>
    <x v="1"/>
    <s v="NJ-00033"/>
    <s v="JERSEY CITY"/>
    <n v="7305"/>
    <s v="HUDSON"/>
    <s v="NJ"/>
    <n v="4434073"/>
    <n v="2546662"/>
    <n v="1887411"/>
    <n v="1797500"/>
    <n v="1038700"/>
    <n v="758800"/>
  </r>
  <r>
    <n v="13367"/>
    <n v="13368"/>
    <x v="1"/>
    <s v="NJ-00033"/>
    <s v="JERSEY CITY"/>
    <n v="7306"/>
    <s v="HUDSON"/>
    <s v="NJ"/>
    <n v="357806"/>
    <n v="167713"/>
    <n v="190093"/>
    <n v="11200"/>
    <n v="6900"/>
    <n v="4300"/>
  </r>
  <r>
    <n v="13367"/>
    <n v="13368"/>
    <x v="1"/>
    <s v="NJ-00033"/>
    <s v="JERSEY CITY"/>
    <n v="7307"/>
    <s v="HUDSON"/>
    <s v="NJ"/>
    <n v="84848"/>
    <n v="56419"/>
    <n v="28429"/>
    <n v="26500"/>
    <n v="8000"/>
    <n v="18500"/>
  </r>
  <r>
    <n v="13367"/>
    <n v="13368"/>
    <x v="1"/>
    <s v="NJ-00033"/>
    <s v="JERSEY CITY"/>
    <n v="7310"/>
    <s v="HUDSON"/>
    <s v="NJ"/>
    <n v="152730"/>
    <n v="17518"/>
    <n v="135212"/>
    <n v="51000"/>
    <n v="5500"/>
    <n v="45500"/>
  </r>
  <r>
    <n v="13367"/>
    <n v="13368"/>
    <x v="1"/>
    <s v="NJ-00033"/>
    <s v="JERSEY CITY"/>
    <n v="11967"/>
    <s v="HUDSON"/>
    <s v="NJ"/>
    <n v="79152"/>
    <n v="46652"/>
    <n v="32500"/>
    <n v="0"/>
    <n v="0"/>
    <n v="0"/>
  </r>
  <r>
    <n v="13367"/>
    <n v="13368"/>
    <x v="1"/>
    <s v="NJ-00033"/>
    <s v="JOBSTOWN"/>
    <n v="8041"/>
    <s v="BURLINGTON"/>
    <s v="NJ"/>
    <n v="15033"/>
    <n v="15033"/>
    <n v="0"/>
    <n v="2600"/>
    <n v="2600"/>
    <n v="0"/>
  </r>
  <r>
    <n v="13367"/>
    <n v="13368"/>
    <x v="1"/>
    <s v="NJ-00033"/>
    <s v="KEANSBERG"/>
    <n v="7734"/>
    <s v="MONMOUTH"/>
    <s v="NJ"/>
    <n v="11125"/>
    <n v="0"/>
    <n v="11125"/>
    <n v="11200"/>
    <n v="0"/>
    <n v="11200"/>
  </r>
  <r>
    <n v="13367"/>
    <n v="13368"/>
    <x v="1"/>
    <s v="NJ-00033"/>
    <s v="KEANSBURG"/>
    <n v="7047"/>
    <s v="MONMOUTH"/>
    <s v="NJ"/>
    <n v="141990"/>
    <n v="75713"/>
    <n v="66277"/>
    <n v="49800"/>
    <n v="17800"/>
    <n v="32000"/>
  </r>
  <r>
    <n v="13367"/>
    <n v="13368"/>
    <x v="1"/>
    <s v="NJ-00033"/>
    <s v="KEANSBURG"/>
    <n v="7724"/>
    <s v="MONMOUTH"/>
    <s v="NJ"/>
    <n v="3000"/>
    <n v="0"/>
    <n v="3000"/>
    <n v="0"/>
    <n v="0"/>
    <n v="0"/>
  </r>
  <r>
    <n v="13367"/>
    <n v="13368"/>
    <x v="1"/>
    <s v="NJ-00033"/>
    <s v="KEANSBURG"/>
    <n v="7734"/>
    <s v="MERCER"/>
    <s v="NJ"/>
    <n v="104503"/>
    <n v="91353"/>
    <n v="13150"/>
    <n v="0"/>
    <n v="0"/>
    <n v="0"/>
  </r>
  <r>
    <n v="13367"/>
    <n v="13368"/>
    <x v="1"/>
    <s v="NJ-00033"/>
    <s v="KEANSBURG"/>
    <n v="7734"/>
    <s v="MONMOUTH"/>
    <s v="NJ"/>
    <n v="20410900"/>
    <n v="15084896"/>
    <n v="5326004"/>
    <n v="7946300"/>
    <n v="5538200"/>
    <n v="2408100"/>
  </r>
  <r>
    <n v="13367"/>
    <n v="13368"/>
    <x v="1"/>
    <s v="NJ-00033"/>
    <s v="KEANSBURG"/>
    <n v="7736"/>
    <s v="MONMOUTH"/>
    <s v="NJ"/>
    <n v="29700"/>
    <n v="17100"/>
    <n v="12600"/>
    <n v="0"/>
    <n v="0"/>
    <n v="0"/>
  </r>
  <r>
    <n v="13367"/>
    <n v="13368"/>
    <x v="1"/>
    <s v="NJ-00033"/>
    <s v="KEARNEY"/>
    <n v="7032"/>
    <s v="HUDSON"/>
    <s v="NJ"/>
    <n v="80062"/>
    <n v="47162"/>
    <n v="32900"/>
    <n v="2000"/>
    <n v="0"/>
    <n v="2000"/>
  </r>
  <r>
    <n v="13367"/>
    <n v="13368"/>
    <x v="1"/>
    <s v="NJ-00033"/>
    <s v="KEARNY"/>
    <n v="7032"/>
    <s v="HUDSON"/>
    <s v="NJ"/>
    <n v="719359"/>
    <n v="453349"/>
    <n v="266010"/>
    <n v="341200"/>
    <n v="222700"/>
    <n v="118500"/>
  </r>
  <r>
    <n v="13367"/>
    <n v="13368"/>
    <x v="1"/>
    <s v="NJ-00033"/>
    <s v="KEASBEY"/>
    <n v="8832"/>
    <s v="MIDDLESEX"/>
    <s v="NJ"/>
    <n v="45247"/>
    <n v="20147"/>
    <n v="25100"/>
    <n v="22500"/>
    <n v="9900"/>
    <n v="12600"/>
  </r>
  <r>
    <n v="13367"/>
    <n v="13368"/>
    <x v="1"/>
    <s v="NJ-00033"/>
    <s v="KEASNBURG"/>
    <n v="7734"/>
    <s v="MONMOUTH"/>
    <s v="NJ"/>
    <n v="89096"/>
    <n v="55696"/>
    <n v="33400"/>
    <n v="30900"/>
    <n v="6300"/>
    <n v="24600"/>
  </r>
  <r>
    <n v="13367"/>
    <n v="13368"/>
    <x v="1"/>
    <s v="NJ-00033"/>
    <s v="KENDALL PARK"/>
    <n v="8824"/>
    <s v="MIDDLESEX"/>
    <s v="NJ"/>
    <n v="75093"/>
    <n v="68655"/>
    <n v="6438"/>
    <n v="75300"/>
    <n v="68800"/>
    <n v="6500"/>
  </r>
  <r>
    <n v="13367"/>
    <n v="13368"/>
    <x v="1"/>
    <s v="NJ-00033"/>
    <s v="KENILWORTH"/>
    <n v="7033"/>
    <s v="UNION"/>
    <s v="NJ"/>
    <n v="36269"/>
    <n v="36019"/>
    <n v="250"/>
    <n v="14000"/>
    <n v="14000"/>
    <n v="0"/>
  </r>
  <r>
    <n v="13367"/>
    <n v="13368"/>
    <x v="1"/>
    <s v="NJ-00033"/>
    <s v="KEYPIORT"/>
    <n v="7735"/>
    <s v="MONMOUTH"/>
    <s v="NJ"/>
    <n v="13722"/>
    <n v="13722"/>
    <n v="0"/>
    <n v="13800"/>
    <n v="13800"/>
    <n v="0"/>
  </r>
  <r>
    <n v="13367"/>
    <n v="13368"/>
    <x v="1"/>
    <s v="NJ-00033"/>
    <s v="KEYPORT"/>
    <n v="7735"/>
    <s v="MIDDLESEX"/>
    <s v="NJ"/>
    <n v="367566"/>
    <n v="275541"/>
    <n v="92025"/>
    <n v="325000"/>
    <n v="240100"/>
    <n v="84900"/>
  </r>
  <r>
    <n v="13367"/>
    <n v="13368"/>
    <x v="1"/>
    <s v="NJ-00033"/>
    <s v="KEYPORT"/>
    <n v="7735"/>
    <s v="MONMOUTH"/>
    <s v="NJ"/>
    <n v="3053708"/>
    <n v="2437300"/>
    <n v="616408"/>
    <n v="1700200"/>
    <n v="1331800"/>
    <n v="291100"/>
  </r>
  <r>
    <n v="13367"/>
    <n v="13368"/>
    <x v="1"/>
    <s v="NJ-00033"/>
    <s v="KINNELON"/>
    <n v="7405"/>
    <s v="MORRIS"/>
    <s v="NJ"/>
    <n v="53226"/>
    <n v="51476"/>
    <n v="1750"/>
    <n v="14000"/>
    <n v="14000"/>
    <n v="0"/>
  </r>
  <r>
    <n v="13367"/>
    <n v="13368"/>
    <x v="1"/>
    <s v="NJ-00033"/>
    <s v="LAFAYETTE"/>
    <n v="7848"/>
    <s v="SUSSEX"/>
    <s v="NJ"/>
    <n v="28052"/>
    <n v="28052"/>
    <n v="0"/>
    <n v="28100"/>
    <n v="28100"/>
    <n v="0"/>
  </r>
  <r>
    <n v="13367"/>
    <n v="13368"/>
    <x v="1"/>
    <s v="NJ-00033"/>
    <s v="LAKE COMO"/>
    <n v="7719"/>
    <s v="MONMOUTH"/>
    <s v="NJ"/>
    <n v="1635563"/>
    <n v="1141342"/>
    <n v="494221"/>
    <n v="536200"/>
    <n v="303200"/>
    <n v="233000"/>
  </r>
  <r>
    <n v="13367"/>
    <n v="13368"/>
    <x v="1"/>
    <s v="NJ-00033"/>
    <s v="LAKE HIAWATHA"/>
    <n v="7034"/>
    <s v="MORRIS"/>
    <s v="NJ"/>
    <n v="17985"/>
    <n v="17985"/>
    <n v="0"/>
    <n v="0"/>
    <n v="0"/>
    <n v="0"/>
  </r>
  <r>
    <n v="13367"/>
    <n v="13368"/>
    <x v="1"/>
    <s v="NJ-00033"/>
    <s v="LAKE HOPATCONG"/>
    <n v="7849"/>
    <s v="MORRIS"/>
    <s v="NJ"/>
    <n v="81211"/>
    <n v="67761"/>
    <n v="13450"/>
    <n v="54400"/>
    <n v="43300"/>
    <n v="11100"/>
  </r>
  <r>
    <n v="13367"/>
    <n v="13368"/>
    <x v="1"/>
    <s v="NJ-00033"/>
    <s v="LAKEHURST"/>
    <n v="8733"/>
    <s v="OCEAN"/>
    <s v="NJ"/>
    <n v="33539"/>
    <n v="33539"/>
    <n v="0"/>
    <n v="0"/>
    <n v="0"/>
    <n v="0"/>
  </r>
  <r>
    <n v="13367"/>
    <n v="13368"/>
    <x v="1"/>
    <s v="NJ-00033"/>
    <s v="LAKEWOOD"/>
    <n v="8701"/>
    <s v="OCEAN"/>
    <s v="NJ"/>
    <n v="488255"/>
    <n v="407343"/>
    <n v="80912"/>
    <n v="76000"/>
    <n v="65800"/>
    <n v="10200"/>
  </r>
  <r>
    <n v="13367"/>
    <n v="13368"/>
    <x v="1"/>
    <s v="NJ-00033"/>
    <s v="LAMBERTVILLE"/>
    <n v="8530"/>
    <s v="HUNTERDON"/>
    <s v="NJ"/>
    <n v="2295"/>
    <n v="2295"/>
    <n v="0"/>
    <n v="2300"/>
    <n v="2300"/>
    <n v="0"/>
  </r>
  <r>
    <n v="13367"/>
    <n v="13368"/>
    <x v="1"/>
    <s v="NJ-00033"/>
    <s v="LANDING"/>
    <n v="7850"/>
    <s v="MORRIS"/>
    <s v="NJ"/>
    <n v="97518"/>
    <n v="93843"/>
    <n v="3675"/>
    <n v="75100"/>
    <n v="73200"/>
    <n v="1900"/>
  </r>
  <r>
    <n v="13367"/>
    <n v="13368"/>
    <x v="1"/>
    <s v="NJ-00033"/>
    <s v="LANOKA HARBOR"/>
    <n v="8734"/>
    <s v="OCEAN"/>
    <s v="NJ"/>
    <n v="9113229"/>
    <n v="6779165"/>
    <n v="2334064"/>
    <n v="3895000"/>
    <n v="2779700"/>
    <n v="1096400"/>
  </r>
  <r>
    <n v="13367"/>
    <n v="13368"/>
    <x v="1"/>
    <s v="NJ-00033"/>
    <s v="LANOKA HARBOUR"/>
    <n v="8734"/>
    <s v="OCEAN"/>
    <s v="NJ"/>
    <n v="21063"/>
    <n v="12063"/>
    <n v="9000"/>
    <n v="0"/>
    <n v="0"/>
    <n v="0"/>
  </r>
  <r>
    <n v="13367"/>
    <n v="13368"/>
    <x v="1"/>
    <s v="NJ-00033"/>
    <s v="LAURENCE HARBOR"/>
    <n v="7737"/>
    <s v="MONMOUTH"/>
    <s v="NJ"/>
    <n v="12500"/>
    <n v="0"/>
    <n v="12500"/>
    <n v="0"/>
    <n v="0"/>
    <n v="0"/>
  </r>
  <r>
    <n v="13367"/>
    <n v="13368"/>
    <x v="1"/>
    <s v="NJ-00033"/>
    <s v="LAURENCE HARBOR"/>
    <n v="8879"/>
    <s v="MIDDLESEX"/>
    <s v="NJ"/>
    <n v="2196108"/>
    <n v="1659713"/>
    <n v="536395"/>
    <n v="978000"/>
    <n v="717500"/>
    <n v="260500"/>
  </r>
  <r>
    <n v="13367"/>
    <n v="13368"/>
    <x v="1"/>
    <s v="NJ-00033"/>
    <s v="LAVALETTE"/>
    <n v="8735"/>
    <s v="OCEAN"/>
    <s v="NJ"/>
    <n v="1245025"/>
    <n v="930530"/>
    <n v="314495"/>
    <n v="383200"/>
    <n v="308600"/>
    <n v="74600"/>
  </r>
  <r>
    <n v="13367"/>
    <n v="13368"/>
    <x v="1"/>
    <s v="NJ-00033"/>
    <s v="LAVALETTEE"/>
    <n v="8735"/>
    <s v="OCEAN"/>
    <s v="NJ"/>
    <n v="82158"/>
    <n v="60108"/>
    <n v="22050"/>
    <n v="0"/>
    <n v="0"/>
    <n v="0"/>
  </r>
  <r>
    <n v="13367"/>
    <n v="13368"/>
    <x v="1"/>
    <s v="NJ-00033"/>
    <s v="LAVALLETE"/>
    <n v="8735"/>
    <s v="OCEAN"/>
    <s v="NJ"/>
    <n v="136500"/>
    <n v="92750"/>
    <n v="43750"/>
    <n v="0"/>
    <n v="0"/>
    <n v="0"/>
  </r>
  <r>
    <n v="13367"/>
    <n v="13368"/>
    <x v="1"/>
    <s v="NJ-00033"/>
    <s v="LAVALLETTE"/>
    <n v="7739"/>
    <s v="OCEAN"/>
    <s v="NJ"/>
    <n v="121440"/>
    <n v="90540"/>
    <n v="30900"/>
    <n v="0"/>
    <n v="0"/>
    <n v="0"/>
  </r>
  <r>
    <n v="13367"/>
    <n v="13368"/>
    <x v="1"/>
    <s v="NJ-00033"/>
    <s v="LAVALLETTE"/>
    <n v="8723"/>
    <s v="OCEAN"/>
    <s v="NJ"/>
    <n v="40139"/>
    <n v="37339"/>
    <n v="2800"/>
    <n v="0"/>
    <n v="0"/>
    <n v="0"/>
  </r>
  <r>
    <n v="13367"/>
    <n v="13368"/>
    <x v="1"/>
    <s v="NJ-00033"/>
    <s v="LAVALLETTE"/>
    <n v="8735"/>
    <s v="MONMOUTH"/>
    <s v="NJ"/>
    <n v="270296"/>
    <n v="206496"/>
    <n v="63800"/>
    <n v="98400"/>
    <n v="77000"/>
    <n v="21400"/>
  </r>
  <r>
    <n v="13367"/>
    <n v="13368"/>
    <x v="1"/>
    <s v="NJ-00033"/>
    <s v="LAVALLETTE"/>
    <n v="8735"/>
    <s v="MORRIS"/>
    <s v="NJ"/>
    <n v="18100"/>
    <n v="0"/>
    <n v="18100"/>
    <n v="18100"/>
    <n v="0"/>
    <n v="18100"/>
  </r>
  <r>
    <n v="13367"/>
    <n v="13368"/>
    <x v="1"/>
    <s v="NJ-00033"/>
    <s v="LAVALLETTE"/>
    <n v="8735"/>
    <s v="OCEAN"/>
    <s v="NJ"/>
    <n v="65181808"/>
    <n v="45855686"/>
    <n v="19326122"/>
    <n v="26831400"/>
    <n v="18155800"/>
    <n v="8675600"/>
  </r>
  <r>
    <n v="13367"/>
    <n v="13368"/>
    <x v="1"/>
    <s v="NJ-00033"/>
    <s v="LAVALLETTE"/>
    <n v="8736"/>
    <s v="OCEAN"/>
    <s v="NJ"/>
    <n v="133632"/>
    <n v="90982"/>
    <n v="42650"/>
    <n v="25400"/>
    <n v="0"/>
    <n v="25400"/>
  </r>
  <r>
    <n v="13367"/>
    <n v="13368"/>
    <x v="1"/>
    <s v="NJ-00033"/>
    <s v="LAVELLETTE"/>
    <n v="8733"/>
    <s v="OCEAN"/>
    <s v="NJ"/>
    <n v="43519"/>
    <n v="30089"/>
    <n v="13430"/>
    <n v="0"/>
    <n v="0"/>
    <n v="0"/>
  </r>
  <r>
    <n v="13367"/>
    <n v="13368"/>
    <x v="1"/>
    <s v="NJ-00033"/>
    <s v="LAVELLETTE"/>
    <n v="8735"/>
    <s v="OCEAN"/>
    <s v="NJ"/>
    <n v="174383"/>
    <n v="92508"/>
    <n v="81875"/>
    <n v="38100"/>
    <n v="0"/>
    <n v="38100"/>
  </r>
  <r>
    <n v="13367"/>
    <n v="13368"/>
    <x v="1"/>
    <s v="NJ-00033"/>
    <s v="LAWNSIDE"/>
    <n v="8045"/>
    <s v="CAMDEN"/>
    <s v="NJ"/>
    <n v="1097"/>
    <n v="1097"/>
    <n v="0"/>
    <n v="1100"/>
    <n v="1100"/>
    <n v="0"/>
  </r>
  <r>
    <n v="13367"/>
    <n v="13368"/>
    <x v="1"/>
    <s v="NJ-00033"/>
    <s v="LAWRENCE HARBOR"/>
    <n v="8879"/>
    <s v="MIDDLESEX"/>
    <s v="NJ"/>
    <n v="163530"/>
    <n v="125680"/>
    <n v="37850"/>
    <n v="0"/>
    <n v="0"/>
    <n v="0"/>
  </r>
  <r>
    <n v="13367"/>
    <n v="13368"/>
    <x v="1"/>
    <s v="NJ-00033"/>
    <s v="LAWRENCEVILLE"/>
    <n v="8648"/>
    <s v="MERCER"/>
    <s v="NJ"/>
    <n v="25336"/>
    <n v="24336"/>
    <n v="1000"/>
    <n v="13800"/>
    <n v="13400"/>
    <n v="400"/>
  </r>
  <r>
    <n v="13367"/>
    <n v="13368"/>
    <x v="1"/>
    <s v="NJ-00033"/>
    <s v="LEBANON"/>
    <n v="8833"/>
    <s v="HUNTERDON"/>
    <s v="NJ"/>
    <n v="50980"/>
    <n v="47690"/>
    <n v="3290"/>
    <n v="10000"/>
    <n v="7900"/>
    <n v="2100"/>
  </r>
  <r>
    <n v="13367"/>
    <n v="13368"/>
    <x v="1"/>
    <s v="NJ-00033"/>
    <s v="LEDGEWOOD"/>
    <n v="7852"/>
    <s v="MORRIS"/>
    <s v="NJ"/>
    <n v="3300"/>
    <n v="0"/>
    <n v="3300"/>
    <n v="0"/>
    <n v="0"/>
    <n v="0"/>
  </r>
  <r>
    <n v="13367"/>
    <n v="13368"/>
    <x v="1"/>
    <s v="NJ-00033"/>
    <s v="LEH"/>
    <n v="8087"/>
    <s v="OCEAN"/>
    <s v="NJ"/>
    <n v="1931504"/>
    <n v="1405790"/>
    <n v="525714"/>
    <n v="170200"/>
    <n v="106800"/>
    <n v="63400"/>
  </r>
  <r>
    <n v="13367"/>
    <n v="13368"/>
    <x v="1"/>
    <s v="NJ-00033"/>
    <s v="LEH TWP"/>
    <n v="8087"/>
    <s v="OCEAN"/>
    <s v="NJ"/>
    <n v="32225"/>
    <n v="0"/>
    <n v="32225"/>
    <n v="12300"/>
    <n v="0"/>
    <n v="12300"/>
  </r>
  <r>
    <n v="13367"/>
    <n v="13368"/>
    <x v="1"/>
    <s v="NJ-00033"/>
    <s v="LEHT"/>
    <n v="8087"/>
    <s v="OCEAN"/>
    <s v="NJ"/>
    <n v="631341"/>
    <n v="489516"/>
    <n v="141825"/>
    <n v="13600"/>
    <n v="0"/>
    <n v="13600"/>
  </r>
  <r>
    <n v="13367"/>
    <n v="13368"/>
    <x v="1"/>
    <s v="NJ-00033"/>
    <s v="LEONARDO"/>
    <n v="7737"/>
    <s v="MONMOUTH"/>
    <s v="NJ"/>
    <n v="4458858"/>
    <n v="3511617"/>
    <n v="947241"/>
    <n v="1841300"/>
    <n v="1341300"/>
    <n v="500000"/>
  </r>
  <r>
    <n v="13367"/>
    <n v="13368"/>
    <x v="1"/>
    <s v="NJ-00033"/>
    <s v="LEONIA"/>
    <n v="7605"/>
    <s v="BERGEN"/>
    <s v="NJ"/>
    <n v="54391"/>
    <n v="47891"/>
    <n v="6500"/>
    <n v="5300"/>
    <n v="5300"/>
    <n v="0"/>
  </r>
  <r>
    <n v="13367"/>
    <n v="13368"/>
    <x v="1"/>
    <s v="NJ-00033"/>
    <s v="LIBERTY CORNER"/>
    <n v="7938"/>
    <s v="SOMERSET"/>
    <s v="NJ"/>
    <n v="10653"/>
    <n v="10653"/>
    <n v="0"/>
    <n v="2400"/>
    <n v="2400"/>
    <n v="0"/>
  </r>
  <r>
    <n v="13367"/>
    <n v="13368"/>
    <x v="1"/>
    <s v="NJ-00033"/>
    <s v="LINCOLN PARK"/>
    <n v="7035"/>
    <s v="MORRIS"/>
    <s v="NJ"/>
    <n v="151229"/>
    <n v="118779"/>
    <n v="32450"/>
    <n v="76600"/>
    <n v="51900"/>
    <n v="24700"/>
  </r>
  <r>
    <n v="13367"/>
    <n v="13368"/>
    <x v="1"/>
    <s v="NJ-00033"/>
    <s v="LINCROFT"/>
    <n v="7738"/>
    <s v="MONMOUTH"/>
    <s v="NJ"/>
    <n v="91809"/>
    <n v="90159"/>
    <n v="1650"/>
    <n v="60300"/>
    <n v="60300"/>
    <n v="0"/>
  </r>
  <r>
    <n v="13367"/>
    <n v="13368"/>
    <x v="1"/>
    <s v="NJ-00033"/>
    <s v="LINDEN"/>
    <n v="7036"/>
    <s v="MIDDLESEX"/>
    <s v="NJ"/>
    <n v="56953"/>
    <n v="45953"/>
    <n v="11000"/>
    <n v="0"/>
    <n v="0"/>
    <n v="0"/>
  </r>
  <r>
    <n v="13367"/>
    <n v="13368"/>
    <x v="1"/>
    <s v="NJ-00033"/>
    <s v="LINDEN"/>
    <n v="7036"/>
    <s v="UNION"/>
    <s v="NJ"/>
    <n v="1711611"/>
    <n v="1158807"/>
    <n v="552804"/>
    <n v="785100"/>
    <n v="472600"/>
    <n v="312500"/>
  </r>
  <r>
    <n v="13367"/>
    <n v="13368"/>
    <x v="1"/>
    <s v="NJ-00033"/>
    <s v="LINDEN CITY"/>
    <n v="7036"/>
    <s v="UNION"/>
    <s v="NJ"/>
    <n v="4300"/>
    <n v="0"/>
    <n v="4300"/>
    <n v="0"/>
    <n v="0"/>
    <n v="0"/>
  </r>
  <r>
    <n v="13367"/>
    <n v="13368"/>
    <x v="1"/>
    <s v="NJ-00033"/>
    <s v="LINWOOD"/>
    <n v="8221"/>
    <s v="ATLANTIC"/>
    <s v="NJ"/>
    <n v="862999"/>
    <n v="716113"/>
    <n v="146886"/>
    <n v="660000"/>
    <n v="560700"/>
    <n v="99300"/>
  </r>
  <r>
    <n v="13367"/>
    <n v="13368"/>
    <x v="1"/>
    <s v="NJ-00033"/>
    <s v="LITTLE  FERRY"/>
    <n v="7643"/>
    <s v="BERGEN"/>
    <s v="NJ"/>
    <n v="63314"/>
    <n v="54314"/>
    <n v="9000"/>
    <n v="0"/>
    <n v="0"/>
    <n v="0"/>
  </r>
  <r>
    <n v="13367"/>
    <n v="13368"/>
    <x v="1"/>
    <s v="NJ-00033"/>
    <s v="LITTLE EGG HARBOR"/>
    <n v="8087"/>
    <s v="OCEAN"/>
    <s v="NJ"/>
    <n v="43626907"/>
    <n v="31883528"/>
    <n v="11743379"/>
    <n v="16032600"/>
    <n v="11090800"/>
    <n v="4941800"/>
  </r>
  <r>
    <n v="13367"/>
    <n v="13368"/>
    <x v="1"/>
    <s v="NJ-00033"/>
    <s v="LITTLE EGG HARBOR"/>
    <n v="8089"/>
    <s v="OCEAN"/>
    <s v="NJ"/>
    <n v="166487"/>
    <n v="166487"/>
    <n v="0"/>
    <n v="141500"/>
    <n v="141500"/>
    <n v="0"/>
  </r>
  <r>
    <n v="13367"/>
    <n v="13368"/>
    <x v="1"/>
    <s v="NJ-00033"/>
    <s v="LITTLE EGG HARBOR"/>
    <n v="8215"/>
    <s v="BURLINGTON"/>
    <s v="NJ"/>
    <n v="63846"/>
    <n v="54796"/>
    <n v="9050"/>
    <n v="42000"/>
    <n v="38000"/>
    <n v="4000"/>
  </r>
  <r>
    <n v="13367"/>
    <n v="13368"/>
    <x v="1"/>
    <s v="NJ-00033"/>
    <s v="LITTLE EGG HARBOR"/>
    <n v="8361"/>
    <s v="OCEAN"/>
    <s v="NJ"/>
    <n v="107306"/>
    <n v="73237"/>
    <n v="34069"/>
    <n v="94500"/>
    <n v="62500"/>
    <n v="32000"/>
  </r>
  <r>
    <n v="13367"/>
    <n v="13368"/>
    <x v="1"/>
    <s v="NJ-00033"/>
    <s v="LITTLE EGG HARBOR TOWNSHIP"/>
    <n v="8087"/>
    <s v="OCEAN"/>
    <s v="NJ"/>
    <n v="2780142"/>
    <n v="2036820"/>
    <n v="743322"/>
    <n v="1787300"/>
    <n v="1298400"/>
    <n v="488900"/>
  </r>
  <r>
    <n v="13367"/>
    <n v="13368"/>
    <x v="1"/>
    <s v="NJ-00033"/>
    <s v="LITTLE EGG HARBOR TWP"/>
    <n v="8087"/>
    <s v="ATLANTIC"/>
    <s v="NJ"/>
    <n v="86384"/>
    <n v="57709"/>
    <n v="28675"/>
    <n v="0"/>
    <n v="0"/>
    <n v="0"/>
  </r>
  <r>
    <n v="13367"/>
    <n v="13368"/>
    <x v="1"/>
    <s v="NJ-00033"/>
    <s v="LITTLE EGG HARBOR TWP"/>
    <n v="8087"/>
    <s v="OCEAN"/>
    <s v="NJ"/>
    <n v="27463744"/>
    <n v="20073685"/>
    <n v="7390059"/>
    <n v="10907100"/>
    <n v="7667900"/>
    <n v="3239200"/>
  </r>
  <r>
    <n v="13367"/>
    <n v="13368"/>
    <x v="1"/>
    <s v="NJ-00033"/>
    <s v="LITTLE EGG HARBOR TWP."/>
    <n v="8087"/>
    <s v="OCEAN"/>
    <s v="NJ"/>
    <n v="239800"/>
    <n v="177600"/>
    <n v="62200"/>
    <n v="92100"/>
    <n v="45500"/>
    <n v="46600"/>
  </r>
  <r>
    <n v="13367"/>
    <n v="13368"/>
    <x v="1"/>
    <s v="NJ-00033"/>
    <s v="LITTLE EGG HARBOR TWS"/>
    <n v="8087"/>
    <s v="OCEAN"/>
    <s v="NJ"/>
    <n v="56470"/>
    <n v="46070"/>
    <n v="10400"/>
    <n v="56500"/>
    <n v="46100"/>
    <n v="10400"/>
  </r>
  <r>
    <n v="13367"/>
    <n v="13368"/>
    <x v="1"/>
    <s v="NJ-00033"/>
    <s v="LITTLE EGG HARBOR TWSHP"/>
    <n v="8087"/>
    <s v="OCEAN"/>
    <s v="NJ"/>
    <n v="81743"/>
    <n v="54193"/>
    <n v="27550"/>
    <n v="76800"/>
    <n v="54200"/>
    <n v="22600"/>
  </r>
  <r>
    <n v="13367"/>
    <n v="13368"/>
    <x v="1"/>
    <s v="NJ-00033"/>
    <s v="LITTLE EGG HARBOR, TW"/>
    <n v="8087"/>
    <s v="OCEAN"/>
    <s v="NJ"/>
    <n v="90263"/>
    <n v="61913"/>
    <n v="28350"/>
    <n v="0"/>
    <n v="0"/>
    <n v="0"/>
  </r>
  <r>
    <n v="13367"/>
    <n v="13368"/>
    <x v="1"/>
    <s v="NJ-00033"/>
    <s v="LITTLE FALLS"/>
    <n v="7424"/>
    <s v="PASSAIC"/>
    <s v="NJ"/>
    <n v="157051"/>
    <n v="137641"/>
    <n v="19410"/>
    <n v="14000"/>
    <n v="14000"/>
    <n v="0"/>
  </r>
  <r>
    <n v="13367"/>
    <n v="13368"/>
    <x v="1"/>
    <s v="NJ-00033"/>
    <s v="LITTLE FERRY"/>
    <n v="7642"/>
    <s v="BERGEN"/>
    <s v="NJ"/>
    <n v="7085"/>
    <n v="0"/>
    <n v="7085"/>
    <n v="0"/>
    <n v="0"/>
    <n v="0"/>
  </r>
  <r>
    <n v="13367"/>
    <n v="13368"/>
    <x v="1"/>
    <s v="NJ-00033"/>
    <s v="LITTLE FERRY"/>
    <n v="7643"/>
    <s v="BERGEN"/>
    <s v="NJ"/>
    <n v="21845597"/>
    <n v="11606854"/>
    <n v="10238743"/>
    <n v="7310100"/>
    <n v="3951100"/>
    <n v="3353000"/>
  </r>
  <r>
    <n v="13367"/>
    <n v="13368"/>
    <x v="1"/>
    <s v="NJ-00033"/>
    <s v="LITTLE FERRY"/>
    <n v="97643"/>
    <s v="BERGEN"/>
    <s v="NJ"/>
    <n v="85085"/>
    <n v="57205"/>
    <n v="27880"/>
    <n v="0"/>
    <n v="0"/>
    <n v="0"/>
  </r>
  <r>
    <n v="13367"/>
    <n v="13368"/>
    <x v="1"/>
    <s v="NJ-00033"/>
    <s v="LITTLE SILVER"/>
    <n v="7724"/>
    <s v="MONMOUTH"/>
    <s v="NJ"/>
    <n v="70730"/>
    <n v="61680"/>
    <n v="9050"/>
    <n v="64300"/>
    <n v="55300"/>
    <n v="9000"/>
  </r>
  <r>
    <n v="13367"/>
    <n v="13368"/>
    <x v="1"/>
    <s v="NJ-00033"/>
    <s v="LITTLE SILVER"/>
    <n v="7739"/>
    <s v="MONMOUTH"/>
    <s v="NJ"/>
    <n v="16856843"/>
    <n v="12946071"/>
    <n v="3910772"/>
    <n v="8095200"/>
    <n v="6189400"/>
    <n v="1905800"/>
  </r>
  <r>
    <n v="13367"/>
    <n v="13368"/>
    <x v="1"/>
    <s v="NJ-00033"/>
    <s v="LIVINGSTON"/>
    <n v="7039"/>
    <s v="ESSEX"/>
    <s v="NJ"/>
    <n v="379163"/>
    <n v="316563"/>
    <n v="62600"/>
    <n v="170400"/>
    <n v="138700"/>
    <n v="31700"/>
  </r>
  <r>
    <n v="13367"/>
    <n v="13368"/>
    <x v="1"/>
    <s v="NJ-00033"/>
    <s v="LOCH ARBOUR"/>
    <n v="7711"/>
    <s v="MONMOUTH"/>
    <s v="NJ"/>
    <n v="572854"/>
    <n v="485329"/>
    <n v="87525"/>
    <n v="0"/>
    <n v="0"/>
    <n v="0"/>
  </r>
  <r>
    <n v="13367"/>
    <n v="13368"/>
    <x v="1"/>
    <s v="NJ-00033"/>
    <s v="LODI"/>
    <n v="7644"/>
    <s v="BERGEN"/>
    <s v="NJ"/>
    <n v="178020"/>
    <n v="166605"/>
    <n v="11415"/>
    <n v="33400"/>
    <n v="33000"/>
    <n v="400"/>
  </r>
  <r>
    <n v="13367"/>
    <n v="13368"/>
    <x v="1"/>
    <s v="NJ-00033"/>
    <s v="LONG BCH TWP"/>
    <n v="8008"/>
    <s v="OCEAN"/>
    <s v="NJ"/>
    <n v="339815"/>
    <n v="209565"/>
    <n v="130250"/>
    <n v="218000"/>
    <n v="146400"/>
    <n v="71600"/>
  </r>
  <r>
    <n v="13367"/>
    <n v="13368"/>
    <x v="1"/>
    <s v="NJ-00033"/>
    <s v="LONG BEACH"/>
    <n v="8008"/>
    <s v="BURLINGTON"/>
    <s v="NJ"/>
    <n v="69632"/>
    <n v="46607"/>
    <n v="23025"/>
    <n v="0"/>
    <n v="0"/>
    <n v="0"/>
  </r>
  <r>
    <n v="13367"/>
    <n v="13368"/>
    <x v="1"/>
    <s v="NJ-00033"/>
    <s v="LONG BEACH"/>
    <n v="8008"/>
    <s v="OCEAN"/>
    <s v="NJ"/>
    <n v="746230"/>
    <n v="580980"/>
    <n v="165250"/>
    <n v="161500"/>
    <n v="103200"/>
    <n v="58300"/>
  </r>
  <r>
    <n v="13367"/>
    <n v="13368"/>
    <x v="1"/>
    <s v="NJ-00033"/>
    <s v="LONG BEACH ISLAND TAP"/>
    <n v="8008"/>
    <s v="OCEAN"/>
    <s v="NJ"/>
    <n v="41088"/>
    <n v="35588"/>
    <n v="5500"/>
    <n v="0"/>
    <n v="0"/>
    <n v="0"/>
  </r>
  <r>
    <n v="13367"/>
    <n v="13368"/>
    <x v="1"/>
    <s v="NJ-00033"/>
    <s v="LONG BEACH TOWNSHIP"/>
    <n v="8008"/>
    <s v="OCEAN"/>
    <s v="NJ"/>
    <n v="13805930"/>
    <n v="9841792"/>
    <n v="3964138"/>
    <n v="6105800"/>
    <n v="4262600"/>
    <n v="1843200"/>
  </r>
  <r>
    <n v="13367"/>
    <n v="13368"/>
    <x v="1"/>
    <s v="NJ-00033"/>
    <s v="LONG BEACH TOWNSHIP"/>
    <n v="8008"/>
    <s v="SOMERSET"/>
    <s v="NJ"/>
    <n v="98591"/>
    <n v="78221"/>
    <n v="20370"/>
    <n v="85100"/>
    <n v="67300"/>
    <n v="17800"/>
  </r>
  <r>
    <n v="13367"/>
    <n v="13368"/>
    <x v="1"/>
    <s v="NJ-00033"/>
    <s v="LONG BEACH TWNSHP."/>
    <n v="8008"/>
    <s v="OCEAN"/>
    <s v="NJ"/>
    <n v="146490"/>
    <n v="130790"/>
    <n v="15700"/>
    <n v="0"/>
    <n v="0"/>
    <n v="0"/>
  </r>
  <r>
    <n v="13367"/>
    <n v="13368"/>
    <x v="1"/>
    <s v="NJ-00033"/>
    <s v="LONG BEACH TWP"/>
    <n v="8008"/>
    <s v="OCEAN"/>
    <s v="NJ"/>
    <n v="1423945"/>
    <n v="1044098"/>
    <n v="379847"/>
    <n v="805900"/>
    <n v="571100"/>
    <n v="234800"/>
  </r>
  <r>
    <n v="13367"/>
    <n v="13368"/>
    <x v="1"/>
    <s v="NJ-00033"/>
    <s v="LONG BEACH TWP"/>
    <n v="8808"/>
    <s v="OCEAN"/>
    <s v="NJ"/>
    <n v="26343"/>
    <n v="20543"/>
    <n v="5800"/>
    <n v="20300"/>
    <n v="14500"/>
    <n v="5800"/>
  </r>
  <r>
    <n v="13367"/>
    <n v="13368"/>
    <x v="1"/>
    <s v="NJ-00033"/>
    <s v="LONG BEACH TWP."/>
    <n v="8008"/>
    <s v="OCEAN"/>
    <s v="NJ"/>
    <n v="149784"/>
    <n v="82039"/>
    <n v="67745"/>
    <n v="94000"/>
    <n v="67000"/>
    <n v="27000"/>
  </r>
  <r>
    <n v="13367"/>
    <n v="13368"/>
    <x v="1"/>
    <s v="NJ-00033"/>
    <s v="LONG BEACH TWSP"/>
    <n v="8008"/>
    <s v="OCEAN"/>
    <s v="NJ"/>
    <n v="123119"/>
    <n v="97519"/>
    <n v="25600"/>
    <n v="0"/>
    <n v="0"/>
    <n v="0"/>
  </r>
  <r>
    <n v="13367"/>
    <n v="13368"/>
    <x v="1"/>
    <s v="NJ-00033"/>
    <s v="LONG BEACH,TWP."/>
    <n v="8008"/>
    <s v="OCEAN"/>
    <s v="NJ"/>
    <n v="66880"/>
    <n v="43780"/>
    <n v="23100"/>
    <n v="0"/>
    <n v="0"/>
    <n v="0"/>
  </r>
  <r>
    <n v="13367"/>
    <n v="13368"/>
    <x v="1"/>
    <s v="NJ-00033"/>
    <s v="LONG BRANCH"/>
    <n v="7739"/>
    <s v="MONMOUTH"/>
    <s v="NJ"/>
    <n v="13275"/>
    <n v="0"/>
    <n v="13275"/>
    <n v="3200"/>
    <n v="0"/>
    <n v="3200"/>
  </r>
  <r>
    <n v="13367"/>
    <n v="13368"/>
    <x v="1"/>
    <s v="NJ-00033"/>
    <s v="LONG BRANCH"/>
    <n v="7740"/>
    <s v="MONMOUTH"/>
    <s v="NJ"/>
    <n v="20519844"/>
    <n v="13446980"/>
    <n v="7072864"/>
    <n v="7995300"/>
    <n v="4842800"/>
    <n v="3152500"/>
  </r>
  <r>
    <n v="13367"/>
    <n v="13368"/>
    <x v="1"/>
    <s v="NJ-00033"/>
    <s v="LONG BRANCH"/>
    <n v="7740"/>
    <s v="OCEAN"/>
    <s v="NJ"/>
    <n v="64648"/>
    <n v="49723"/>
    <n v="14925"/>
    <n v="0"/>
    <n v="0"/>
    <n v="0"/>
  </r>
  <r>
    <n v="13367"/>
    <n v="13368"/>
    <x v="1"/>
    <s v="NJ-00033"/>
    <s v="LONG BRANCH"/>
    <n v="7741"/>
    <s v="MONMOUTH"/>
    <s v="NJ"/>
    <n v="13750"/>
    <n v="0"/>
    <n v="13750"/>
    <n v="0"/>
    <n v="0"/>
    <n v="0"/>
  </r>
  <r>
    <n v="13367"/>
    <n v="13368"/>
    <x v="1"/>
    <s v="NJ-00033"/>
    <s v="LONG BRANCH"/>
    <n v="7764"/>
    <s v="MONMOUTH"/>
    <s v="NJ"/>
    <n v="17700"/>
    <n v="0"/>
    <n v="17700"/>
    <n v="17700"/>
    <n v="0"/>
    <n v="17700"/>
  </r>
  <r>
    <n v="13367"/>
    <n v="13368"/>
    <x v="1"/>
    <s v="NJ-00033"/>
    <s v="LONG BRANCH,"/>
    <n v="7740"/>
    <s v="MONMOUTH"/>
    <s v="NJ"/>
    <n v="43338"/>
    <n v="8088"/>
    <n v="35250"/>
    <n v="0"/>
    <n v="0"/>
    <n v="0"/>
  </r>
  <r>
    <n v="13367"/>
    <n v="13368"/>
    <x v="1"/>
    <s v="NJ-00033"/>
    <s v="LONG BRANCJ"/>
    <n v="7740"/>
    <s v="MONMOUTH"/>
    <s v="NJ"/>
    <n v="6575"/>
    <n v="0"/>
    <n v="6575"/>
    <n v="0"/>
    <n v="0"/>
    <n v="0"/>
  </r>
  <r>
    <n v="13367"/>
    <n v="13368"/>
    <x v="1"/>
    <s v="NJ-00033"/>
    <s v="LONG VALLEY"/>
    <n v="7853"/>
    <s v="MORRIS"/>
    <s v="NJ"/>
    <n v="251829"/>
    <n v="240089"/>
    <n v="11740"/>
    <n v="196500"/>
    <n v="196000"/>
    <n v="500"/>
  </r>
  <r>
    <n v="13367"/>
    <n v="13368"/>
    <x v="1"/>
    <s v="NJ-00033"/>
    <s v="LONGBRANCH"/>
    <n v="7740"/>
    <s v="MONMOUTH"/>
    <s v="NJ"/>
    <n v="85722"/>
    <n v="27985"/>
    <n v="57737"/>
    <n v="16500"/>
    <n v="0"/>
    <n v="16500"/>
  </r>
  <r>
    <n v="13367"/>
    <n v="13368"/>
    <x v="1"/>
    <s v="NJ-00033"/>
    <s v="LONGPORT"/>
    <n v="8402"/>
    <s v="ATLANTIC"/>
    <s v="NJ"/>
    <n v="98676"/>
    <n v="72626"/>
    <n v="26050"/>
    <n v="0"/>
    <n v="0"/>
    <n v="0"/>
  </r>
  <r>
    <n v="13367"/>
    <n v="13368"/>
    <x v="1"/>
    <s v="NJ-00033"/>
    <s v="LONGPORT"/>
    <n v="8403"/>
    <s v="ATLANTIC"/>
    <s v="NJ"/>
    <n v="2725768"/>
    <n v="2174389"/>
    <n v="551379"/>
    <n v="1173000"/>
    <n v="951600"/>
    <n v="221400"/>
  </r>
  <r>
    <n v="13367"/>
    <n v="13368"/>
    <x v="1"/>
    <s v="NJ-00033"/>
    <s v="LONGPORT"/>
    <n v="8403"/>
    <s v="BERGEN"/>
    <s v="NJ"/>
    <n v="9117"/>
    <n v="7617"/>
    <n v="1500"/>
    <n v="0"/>
    <n v="0"/>
    <n v="0"/>
  </r>
  <r>
    <n v="13367"/>
    <n v="13368"/>
    <x v="1"/>
    <s v="NJ-00033"/>
    <s v="LOVELADIES"/>
    <n v="8008"/>
    <s v="OCEAN"/>
    <s v="NJ"/>
    <n v="275192"/>
    <n v="265442"/>
    <n v="9750"/>
    <n v="0"/>
    <n v="0"/>
    <n v="0"/>
  </r>
  <r>
    <n v="13367"/>
    <n v="13368"/>
    <x v="1"/>
    <s v="NJ-00033"/>
    <s v="LTTLE EGG HARBOR"/>
    <n v="8087"/>
    <s v="OCEAN"/>
    <s v="NJ"/>
    <n v="68763"/>
    <n v="28603"/>
    <n v="40160"/>
    <n v="0"/>
    <n v="0"/>
    <n v="0"/>
  </r>
  <r>
    <n v="13367"/>
    <n v="13368"/>
    <x v="1"/>
    <s v="NJ-00033"/>
    <s v="LYNDHURST"/>
    <n v="7071"/>
    <s v="BERGEN"/>
    <s v="NJ"/>
    <n v="1852566"/>
    <n v="1391606"/>
    <n v="460960"/>
    <n v="716700"/>
    <n v="522500"/>
    <n v="194200"/>
  </r>
  <r>
    <n v="13367"/>
    <n v="13368"/>
    <x v="1"/>
    <s v="NJ-00033"/>
    <s v="MADISON"/>
    <n v="7940"/>
    <s v="MORRIS"/>
    <s v="NJ"/>
    <n v="89704"/>
    <n v="89704"/>
    <n v="0"/>
    <n v="67300"/>
    <n v="67300"/>
    <n v="0"/>
  </r>
  <r>
    <n v="13367"/>
    <n v="13368"/>
    <x v="1"/>
    <s v="NJ-00033"/>
    <s v="MAGNOLIA"/>
    <n v="8049"/>
    <s v="CAMDEN"/>
    <s v="NJ"/>
    <n v="26656"/>
    <n v="25806"/>
    <n v="850"/>
    <n v="19200"/>
    <n v="18400"/>
    <n v="800"/>
  </r>
  <r>
    <n v="13367"/>
    <n v="13368"/>
    <x v="1"/>
    <s v="NJ-00033"/>
    <s v="MANAHAWAKIN"/>
    <n v="8050"/>
    <s v="OCEAN"/>
    <s v="NJ"/>
    <n v="129523"/>
    <n v="77723"/>
    <n v="51800"/>
    <n v="99300"/>
    <n v="59300"/>
    <n v="40000"/>
  </r>
  <r>
    <n v="13367"/>
    <n v="13368"/>
    <x v="1"/>
    <s v="NJ-00033"/>
    <s v="MANAHAWKIN"/>
    <n v="7440"/>
    <s v="OCEAN"/>
    <s v="NJ"/>
    <n v="113263"/>
    <n v="107488"/>
    <n v="5775"/>
    <n v="0"/>
    <n v="0"/>
    <n v="0"/>
  </r>
  <r>
    <n v="13367"/>
    <n v="13368"/>
    <x v="1"/>
    <s v="NJ-00033"/>
    <s v="MANAHAWKIN"/>
    <n v="8005"/>
    <s v="OCEAN"/>
    <s v="NJ"/>
    <n v="107580"/>
    <n v="90335"/>
    <n v="17245"/>
    <n v="0"/>
    <n v="0"/>
    <n v="0"/>
  </r>
  <r>
    <n v="13367"/>
    <n v="13368"/>
    <x v="1"/>
    <s v="NJ-00033"/>
    <s v="MANAHAWKIN"/>
    <n v="8050"/>
    <s v="BERGEN"/>
    <s v="NJ"/>
    <n v="103225"/>
    <n v="75125"/>
    <n v="28100"/>
    <n v="0"/>
    <n v="0"/>
    <n v="0"/>
  </r>
  <r>
    <n v="13367"/>
    <n v="13368"/>
    <x v="1"/>
    <s v="NJ-00033"/>
    <s v="MANAHAWKIN"/>
    <n v="8050"/>
    <s v="BURLINGTON"/>
    <s v="NJ"/>
    <n v="73896"/>
    <n v="51896"/>
    <n v="22000"/>
    <n v="0"/>
    <n v="0"/>
    <n v="0"/>
  </r>
  <r>
    <n v="13367"/>
    <n v="13368"/>
    <x v="1"/>
    <s v="NJ-00033"/>
    <s v="MANAHAWKIN"/>
    <n v="8050"/>
    <s v="OCEAN"/>
    <s v="NJ"/>
    <n v="80119306"/>
    <n v="56364212"/>
    <n v="23755094"/>
    <n v="31275100"/>
    <n v="21424600"/>
    <n v="9850500"/>
  </r>
  <r>
    <n v="13367"/>
    <n v="13368"/>
    <x v="1"/>
    <s v="NJ-00033"/>
    <s v="MANAHAWKIN"/>
    <n v="8050"/>
    <s v="PASSAIC"/>
    <s v="NJ"/>
    <n v="112157"/>
    <n v="85757"/>
    <n v="26400"/>
    <n v="0"/>
    <n v="0"/>
    <n v="0"/>
  </r>
  <r>
    <n v="13367"/>
    <n v="13368"/>
    <x v="1"/>
    <s v="NJ-00033"/>
    <s v="MANAHAWKIN"/>
    <n v="8050"/>
    <s v="UNION"/>
    <s v="NJ"/>
    <n v="154529"/>
    <n v="106729"/>
    <n v="47800"/>
    <n v="104200"/>
    <n v="71400"/>
    <n v="32800"/>
  </r>
  <r>
    <n v="13367"/>
    <n v="13368"/>
    <x v="1"/>
    <s v="NJ-00033"/>
    <s v="MANAHAWKIN"/>
    <n v="8080"/>
    <s v="OCEAN"/>
    <s v="NJ"/>
    <n v="140248"/>
    <n v="117198"/>
    <n v="23050"/>
    <n v="140300"/>
    <n v="117200"/>
    <n v="23100"/>
  </r>
  <r>
    <n v="13367"/>
    <n v="13368"/>
    <x v="1"/>
    <s v="NJ-00033"/>
    <s v="MANAHAWKING"/>
    <n v="8050"/>
    <s v="OCEAN"/>
    <s v="NJ"/>
    <n v="163411"/>
    <n v="101811"/>
    <n v="61600"/>
    <n v="99500"/>
    <n v="59500"/>
    <n v="40000"/>
  </r>
  <r>
    <n v="13367"/>
    <n v="13368"/>
    <x v="1"/>
    <s v="NJ-00033"/>
    <s v="MANAHWAKIN"/>
    <n v="8050"/>
    <s v="OCEAN"/>
    <s v="NJ"/>
    <n v="98576"/>
    <n v="75751"/>
    <n v="22825"/>
    <n v="0"/>
    <n v="0"/>
    <n v="0"/>
  </r>
  <r>
    <n v="13367"/>
    <n v="13368"/>
    <x v="1"/>
    <s v="NJ-00033"/>
    <s v="MANAHWKIN"/>
    <n v="8050"/>
    <s v="OCEAN"/>
    <s v="NJ"/>
    <n v="184510"/>
    <n v="103110"/>
    <n v="81400"/>
    <n v="0"/>
    <n v="0"/>
    <n v="0"/>
  </r>
  <r>
    <n v="13367"/>
    <n v="13368"/>
    <x v="1"/>
    <s v="NJ-00033"/>
    <s v="MANALAPAN"/>
    <n v="7726"/>
    <s v="MONMOUTH"/>
    <s v="NJ"/>
    <n v="1063398"/>
    <n v="999747"/>
    <n v="63651"/>
    <n v="317700"/>
    <n v="290600"/>
    <n v="27100"/>
  </r>
  <r>
    <n v="13367"/>
    <n v="13368"/>
    <x v="1"/>
    <s v="NJ-00033"/>
    <s v="MANAQUAN"/>
    <n v="8736"/>
    <s v="MONMOUTH"/>
    <s v="NJ"/>
    <n v="77513"/>
    <n v="62168"/>
    <n v="15345"/>
    <n v="0"/>
    <n v="0"/>
    <n v="0"/>
  </r>
  <r>
    <n v="13367"/>
    <n v="13368"/>
    <x v="1"/>
    <s v="NJ-00033"/>
    <s v="MANASAQUAN"/>
    <n v="8736"/>
    <s v="MONMOUTH"/>
    <s v="NJ"/>
    <n v="14128"/>
    <n v="0"/>
    <n v="14128"/>
    <n v="0"/>
    <n v="0"/>
    <n v="0"/>
  </r>
  <r>
    <n v="13367"/>
    <n v="13368"/>
    <x v="1"/>
    <s v="NJ-00033"/>
    <s v="MANASQUAN"/>
    <n v="7002"/>
    <s v="MONMOUTH"/>
    <s v="NJ"/>
    <n v="75729"/>
    <n v="56179"/>
    <n v="19550"/>
    <n v="60800"/>
    <n v="41200"/>
    <n v="19600"/>
  </r>
  <r>
    <n v="13367"/>
    <n v="13368"/>
    <x v="1"/>
    <s v="NJ-00033"/>
    <s v="MANASQUAN"/>
    <n v="7719"/>
    <s v="MONMOUTH"/>
    <s v="NJ"/>
    <n v="13275"/>
    <n v="0"/>
    <n v="13275"/>
    <n v="0"/>
    <n v="0"/>
    <n v="0"/>
  </r>
  <r>
    <n v="13367"/>
    <n v="13368"/>
    <x v="1"/>
    <s v="NJ-00033"/>
    <s v="MANASQUAN"/>
    <n v="7731"/>
    <s v="MONMOUTH"/>
    <s v="NJ"/>
    <n v="87705"/>
    <n v="60655"/>
    <n v="27050"/>
    <n v="0"/>
    <n v="0"/>
    <n v="0"/>
  </r>
  <r>
    <n v="13367"/>
    <n v="13368"/>
    <x v="1"/>
    <s v="NJ-00033"/>
    <s v="MANASQUAN"/>
    <n v="7836"/>
    <s v="MONMOUTH"/>
    <s v="NJ"/>
    <n v="352901"/>
    <n v="269211"/>
    <n v="83690"/>
    <n v="47500"/>
    <n v="27000"/>
    <n v="20500"/>
  </r>
  <r>
    <n v="13367"/>
    <n v="13368"/>
    <x v="1"/>
    <s v="NJ-00033"/>
    <s v="MANASQUAN"/>
    <n v="8736"/>
    <s v="MONMOUTH"/>
    <s v="NJ"/>
    <n v="35995945"/>
    <n v="25549746"/>
    <n v="10446199"/>
    <n v="15596700"/>
    <n v="10069900"/>
    <n v="5526800"/>
  </r>
  <r>
    <n v="13367"/>
    <n v="13368"/>
    <x v="1"/>
    <s v="NJ-00033"/>
    <s v="MANASQUAN"/>
    <n v="8737"/>
    <s v="MONMOUTH"/>
    <s v="NJ"/>
    <n v="73269"/>
    <n v="48194"/>
    <n v="25075"/>
    <n v="0"/>
    <n v="0"/>
    <n v="0"/>
  </r>
  <r>
    <n v="13367"/>
    <n v="13368"/>
    <x v="1"/>
    <s v="NJ-00033"/>
    <s v="MANCHESTER"/>
    <n v="8759"/>
    <s v="OCEAN"/>
    <s v="NJ"/>
    <n v="222574"/>
    <n v="184859"/>
    <n v="37715"/>
    <n v="40600"/>
    <n v="37700"/>
    <n v="2900"/>
  </r>
  <r>
    <n v="13367"/>
    <n v="13368"/>
    <x v="1"/>
    <s v="NJ-00033"/>
    <s v="MANCHESTER TOWNSHIP"/>
    <n v="8759"/>
    <s v="OCEAN"/>
    <s v="NJ"/>
    <n v="77036"/>
    <n v="75036"/>
    <n v="2000"/>
    <n v="0"/>
    <n v="0"/>
    <n v="0"/>
  </r>
  <r>
    <n v="13367"/>
    <n v="13368"/>
    <x v="1"/>
    <s v="NJ-00033"/>
    <s v="MANHAWKIN"/>
    <n v="8050"/>
    <s v="OCEAN"/>
    <s v="NJ"/>
    <n v="285445"/>
    <n v="191605"/>
    <n v="93840"/>
    <n v="115700"/>
    <n v="51500"/>
    <n v="64200"/>
  </r>
  <r>
    <n v="13367"/>
    <n v="13368"/>
    <x v="1"/>
    <s v="NJ-00033"/>
    <s v="MANSQUAN"/>
    <n v="8736"/>
    <s v="MONMOUTH"/>
    <s v="NJ"/>
    <n v="233087"/>
    <n v="153657"/>
    <n v="79430"/>
    <n v="105000"/>
    <n v="65000"/>
    <n v="40000"/>
  </r>
  <r>
    <n v="13367"/>
    <n v="13368"/>
    <x v="1"/>
    <s v="NJ-00033"/>
    <s v="MANTALOKING"/>
    <n v="8738"/>
    <s v="OCEAN"/>
    <s v="NJ"/>
    <n v="482407"/>
    <n v="357117"/>
    <n v="125290"/>
    <n v="0"/>
    <n v="0"/>
    <n v="0"/>
  </r>
  <r>
    <n v="13367"/>
    <n v="13368"/>
    <x v="1"/>
    <s v="NJ-00033"/>
    <s v="MANTOLOKING"/>
    <n v="7738"/>
    <s v="OCEAN"/>
    <s v="NJ"/>
    <n v="247269"/>
    <n v="192569"/>
    <n v="54700"/>
    <n v="215300"/>
    <n v="175300"/>
    <n v="40000"/>
  </r>
  <r>
    <n v="13367"/>
    <n v="13368"/>
    <x v="1"/>
    <s v="NJ-00033"/>
    <s v="MANTOLOKING"/>
    <n v="8378"/>
    <s v="OCEAN"/>
    <s v="NJ"/>
    <n v="153062"/>
    <n v="105162"/>
    <n v="47900"/>
    <n v="0"/>
    <n v="0"/>
    <n v="0"/>
  </r>
  <r>
    <n v="13367"/>
    <n v="13368"/>
    <x v="1"/>
    <s v="NJ-00033"/>
    <s v="MANTOLOKING"/>
    <n v="8738"/>
    <s v="OCEAN"/>
    <s v="NJ"/>
    <n v="57453810"/>
    <n v="46857215"/>
    <n v="10596595"/>
    <n v="16273600"/>
    <n v="12965800"/>
    <n v="3307800"/>
  </r>
  <r>
    <n v="13367"/>
    <n v="13368"/>
    <x v="1"/>
    <s v="NJ-00033"/>
    <s v="MANTOLOKING"/>
    <n v="8738"/>
    <s v="SALEM"/>
    <s v="NJ"/>
    <n v="115185"/>
    <n v="84785"/>
    <n v="30400"/>
    <n v="54800"/>
    <n v="30600"/>
    <n v="24200"/>
  </r>
  <r>
    <n v="13367"/>
    <n v="13368"/>
    <x v="1"/>
    <s v="NJ-00033"/>
    <s v="MANTOLOKING"/>
    <n v="8739"/>
    <s v="OCEAN"/>
    <s v="NJ"/>
    <n v="103692"/>
    <n v="85017"/>
    <n v="18675"/>
    <n v="72800"/>
    <n v="56600"/>
    <n v="16200"/>
  </r>
  <r>
    <n v="13367"/>
    <n v="13368"/>
    <x v="1"/>
    <s v="NJ-00033"/>
    <s v="MANTOLOKING SHORES"/>
    <n v="8738"/>
    <s v="OCEAN"/>
    <s v="NJ"/>
    <n v="304589"/>
    <n v="243829"/>
    <n v="60760"/>
    <n v="205200"/>
    <n v="162200"/>
    <n v="43000"/>
  </r>
  <r>
    <n v="13367"/>
    <n v="13368"/>
    <x v="1"/>
    <s v="NJ-00033"/>
    <s v="MANTOLOKING/NORMANDY BCH"/>
    <n v="8738"/>
    <s v="OCEAN"/>
    <s v="NJ"/>
    <n v="265785"/>
    <n v="170835"/>
    <n v="94950"/>
    <n v="0"/>
    <n v="0"/>
    <n v="0"/>
  </r>
  <r>
    <n v="13367"/>
    <n v="13368"/>
    <x v="1"/>
    <s v="NJ-00033"/>
    <s v="MANVILLE"/>
    <n v="8835"/>
    <s v="SOMERSET"/>
    <s v="NJ"/>
    <n v="49835"/>
    <n v="49585"/>
    <n v="250"/>
    <n v="0"/>
    <n v="0"/>
    <n v="0"/>
  </r>
  <r>
    <n v="13367"/>
    <n v="13368"/>
    <x v="1"/>
    <s v="NJ-00033"/>
    <s v="MAPLEWOOD"/>
    <n v="7040"/>
    <s v="ESSEX"/>
    <s v="NJ"/>
    <n v="592523"/>
    <n v="563498"/>
    <n v="29025"/>
    <n v="192200"/>
    <n v="177000"/>
    <n v="15200"/>
  </r>
  <r>
    <n v="13367"/>
    <n v="13368"/>
    <x v="1"/>
    <s v="NJ-00033"/>
    <s v="MARAGTE"/>
    <n v="8402"/>
    <s v="ATLANTIC"/>
    <s v="NJ"/>
    <n v="67713"/>
    <n v="52238"/>
    <n v="15475"/>
    <n v="0"/>
    <n v="0"/>
    <n v="0"/>
  </r>
  <r>
    <n v="13367"/>
    <n v="13368"/>
    <x v="1"/>
    <s v="NJ-00033"/>
    <s v="MARGATE"/>
    <n v="8003"/>
    <s v="ATLANTIC"/>
    <s v="NJ"/>
    <n v="65072"/>
    <n v="44446"/>
    <n v="20626"/>
    <n v="0"/>
    <n v="0"/>
    <n v="0"/>
  </r>
  <r>
    <n v="13367"/>
    <n v="13368"/>
    <x v="1"/>
    <s v="NJ-00033"/>
    <s v="MARGATE"/>
    <n v="8203"/>
    <s v="ATLANTIC"/>
    <s v="NJ"/>
    <n v="34900"/>
    <n v="0"/>
    <n v="34900"/>
    <n v="14000"/>
    <n v="0"/>
    <n v="14000"/>
  </r>
  <r>
    <n v="13367"/>
    <n v="13368"/>
    <x v="1"/>
    <s v="NJ-00033"/>
    <s v="MARGATE"/>
    <n v="8402"/>
    <s v="ATLANTIC"/>
    <s v="NJ"/>
    <n v="4919690"/>
    <n v="3532010"/>
    <n v="1387680"/>
    <n v="1901700"/>
    <n v="1266400"/>
    <n v="635300"/>
  </r>
  <r>
    <n v="13367"/>
    <n v="13368"/>
    <x v="1"/>
    <s v="NJ-00033"/>
    <s v="MARGATE CITY"/>
    <n v="8402"/>
    <s v="ATLANTIC"/>
    <s v="NJ"/>
    <n v="6156981"/>
    <n v="4533371"/>
    <n v="1623610"/>
    <n v="2867400"/>
    <n v="2080500"/>
    <n v="786900"/>
  </r>
  <r>
    <n v="13367"/>
    <n v="13368"/>
    <x v="1"/>
    <s v="NJ-00033"/>
    <s v="MARLBORO"/>
    <n v="7726"/>
    <s v="MONMOUTH"/>
    <s v="NJ"/>
    <n v="19686"/>
    <n v="13086"/>
    <n v="6600"/>
    <n v="0"/>
    <n v="0"/>
    <n v="0"/>
  </r>
  <r>
    <n v="13367"/>
    <n v="13368"/>
    <x v="1"/>
    <s v="NJ-00033"/>
    <s v="MARLBORO"/>
    <n v="7746"/>
    <s v="MONMOUTH"/>
    <s v="NJ"/>
    <n v="394987"/>
    <n v="344487"/>
    <n v="50500"/>
    <n v="221400"/>
    <n v="179200"/>
    <n v="42200"/>
  </r>
  <r>
    <n v="13367"/>
    <n v="13368"/>
    <x v="1"/>
    <s v="NJ-00033"/>
    <s v="MAS LANDING"/>
    <n v="8330"/>
    <s v="ATLANTIC"/>
    <s v="NJ"/>
    <n v="6350"/>
    <n v="0"/>
    <n v="6350"/>
    <n v="0"/>
    <n v="0"/>
    <n v="0"/>
  </r>
  <r>
    <n v="13367"/>
    <n v="13368"/>
    <x v="1"/>
    <s v="NJ-00033"/>
    <s v="MATAWAN"/>
    <n v="7747"/>
    <s v="MIDDLESEX"/>
    <s v="NJ"/>
    <n v="1572"/>
    <n v="732"/>
    <n v="840"/>
    <n v="0"/>
    <n v="0"/>
    <n v="0"/>
  </r>
  <r>
    <n v="13367"/>
    <n v="13368"/>
    <x v="1"/>
    <s v="NJ-00033"/>
    <s v="MATAWAN"/>
    <n v="7747"/>
    <s v="MONMOUTH"/>
    <s v="NJ"/>
    <n v="208844"/>
    <n v="176308"/>
    <n v="32536"/>
    <n v="123100"/>
    <n v="114200"/>
    <n v="8900"/>
  </r>
  <r>
    <n v="13367"/>
    <n v="13368"/>
    <x v="1"/>
    <s v="NJ-00033"/>
    <s v="MAURICE RIVER"/>
    <n v="8348"/>
    <s v="CUMBERLAND"/>
    <s v="NJ"/>
    <n v="94568"/>
    <n v="91868"/>
    <n v="2700"/>
    <n v="94600"/>
    <n v="91900"/>
    <n v="2700"/>
  </r>
  <r>
    <n v="13367"/>
    <n v="13368"/>
    <x v="1"/>
    <s v="NJ-00033"/>
    <s v="MAYS LANDING"/>
    <n v="8330"/>
    <s v="ATLANTIC"/>
    <s v="NJ"/>
    <n v="2256793"/>
    <n v="1829265"/>
    <n v="427528"/>
    <n v="962100"/>
    <n v="810746.2"/>
    <n v="151353.8"/>
  </r>
  <r>
    <n v="13367"/>
    <n v="13368"/>
    <x v="1"/>
    <s v="NJ-00033"/>
    <s v="MAYWOOD"/>
    <n v="7607"/>
    <s v="BERGEN"/>
    <s v="NJ"/>
    <n v="18040"/>
    <n v="0"/>
    <n v="18040"/>
    <n v="0"/>
    <n v="0"/>
    <n v="0"/>
  </r>
  <r>
    <n v="13367"/>
    <n v="13368"/>
    <x v="1"/>
    <s v="NJ-00033"/>
    <s v="MEDFORD"/>
    <n v="8055"/>
    <s v="BURLINGTON"/>
    <s v="NJ"/>
    <n v="4266"/>
    <n v="4266"/>
    <n v="0"/>
    <n v="0"/>
    <n v="0"/>
    <n v="0"/>
  </r>
  <r>
    <n v="13367"/>
    <n v="13368"/>
    <x v="1"/>
    <s v="NJ-00033"/>
    <s v="MEDFORD"/>
    <n v="8055"/>
    <s v="OCEAN"/>
    <s v="NJ"/>
    <n v="173115"/>
    <n v="162995"/>
    <n v="10120"/>
    <n v="0"/>
    <n v="0"/>
    <n v="0"/>
  </r>
  <r>
    <n v="13367"/>
    <n v="13368"/>
    <x v="1"/>
    <s v="NJ-00033"/>
    <s v="MENDHAM"/>
    <n v="7945"/>
    <s v="MORRIS"/>
    <s v="NJ"/>
    <n v="91101"/>
    <n v="90851"/>
    <n v="250"/>
    <n v="26800"/>
    <n v="26800"/>
    <n v="0"/>
  </r>
  <r>
    <n v="13367"/>
    <n v="13368"/>
    <x v="1"/>
    <s v="NJ-00033"/>
    <s v="MENDHAN"/>
    <n v="7945"/>
    <s v="MORRIS"/>
    <s v="NJ"/>
    <n v="153662"/>
    <n v="130962"/>
    <n v="22700"/>
    <n v="0"/>
    <n v="0"/>
    <n v="0"/>
  </r>
  <r>
    <n v="13367"/>
    <n v="13368"/>
    <x v="1"/>
    <s v="NJ-00033"/>
    <s v="METUCHEN"/>
    <n v="8840"/>
    <s v="MIDDLESEX"/>
    <s v="NJ"/>
    <n v="171220"/>
    <n v="165333"/>
    <n v="5887"/>
    <n v="72600"/>
    <n v="72600"/>
    <n v="0"/>
  </r>
  <r>
    <n v="13367"/>
    <n v="13368"/>
    <x v="1"/>
    <s v="NJ-00033"/>
    <s v="MIDDLESEX"/>
    <n v="8846"/>
    <s v="MIDDLESEX"/>
    <s v="NJ"/>
    <n v="596636"/>
    <n v="518436"/>
    <n v="78200"/>
    <n v="155000"/>
    <n v="146000"/>
    <n v="9000"/>
  </r>
  <r>
    <n v="13367"/>
    <n v="13368"/>
    <x v="1"/>
    <s v="NJ-00033"/>
    <s v="MIDDLETOWN"/>
    <n v="7701"/>
    <s v="MONMOUTH"/>
    <s v="NJ"/>
    <n v="85627"/>
    <n v="57127"/>
    <n v="28500"/>
    <n v="0"/>
    <n v="0"/>
    <n v="0"/>
  </r>
  <r>
    <n v="13367"/>
    <n v="13368"/>
    <x v="1"/>
    <s v="NJ-00033"/>
    <s v="MIDDLETOWN"/>
    <n v="7748"/>
    <s v="MONMOUTH"/>
    <s v="NJ"/>
    <n v="350107"/>
    <n v="315270"/>
    <n v="34837"/>
    <n v="151400"/>
    <n v="125500"/>
    <n v="25900"/>
  </r>
  <r>
    <n v="13367"/>
    <n v="13368"/>
    <x v="1"/>
    <s v="NJ-00033"/>
    <s v="MIDDLETOWN"/>
    <n v="7758"/>
    <s v="MONMOUTH"/>
    <s v="NJ"/>
    <n v="211552"/>
    <n v="169617"/>
    <n v="41935"/>
    <n v="114000"/>
    <n v="75200"/>
    <n v="38800"/>
  </r>
  <r>
    <n v="13367"/>
    <n v="13368"/>
    <x v="1"/>
    <s v="NJ-00033"/>
    <s v="MIDLAND PARK"/>
    <n v="7432"/>
    <s v="BERGEN"/>
    <s v="NJ"/>
    <n v="30108"/>
    <n v="28108"/>
    <n v="2000"/>
    <n v="28200"/>
    <n v="28200"/>
    <n v="0"/>
  </r>
  <r>
    <n v="13367"/>
    <n v="13368"/>
    <x v="1"/>
    <s v="NJ-00033"/>
    <s v="MILFORD"/>
    <n v="8848"/>
    <s v="HUNTERDON"/>
    <s v="NJ"/>
    <n v="147227"/>
    <n v="143547"/>
    <n v="3680"/>
    <n v="60600"/>
    <n v="59000"/>
    <n v="1600"/>
  </r>
  <r>
    <n v="13367"/>
    <n v="13368"/>
    <x v="1"/>
    <s v="NJ-00033"/>
    <s v="MILLBURN"/>
    <n v="7041"/>
    <s v="ESSEX"/>
    <s v="NJ"/>
    <n v="8407"/>
    <n v="8407"/>
    <n v="0"/>
    <n v="0"/>
    <n v="0"/>
    <n v="0"/>
  </r>
  <r>
    <n v="13367"/>
    <n v="13368"/>
    <x v="1"/>
    <s v="NJ-00033"/>
    <s v="MILLINGTON"/>
    <n v="7946"/>
    <s v="MORRIS"/>
    <s v="NJ"/>
    <n v="130311"/>
    <n v="108311"/>
    <n v="22000"/>
    <n v="50200"/>
    <n v="39800"/>
    <n v="10400"/>
  </r>
  <r>
    <n v="13367"/>
    <n v="13368"/>
    <x v="1"/>
    <s v="NJ-00033"/>
    <s v="MILLSTONE"/>
    <n v="8535"/>
    <s v="MONMOUTH"/>
    <s v="NJ"/>
    <n v="599"/>
    <n v="599"/>
    <n v="0"/>
    <n v="0"/>
    <n v="0"/>
    <n v="0"/>
  </r>
  <r>
    <n v="13367"/>
    <n v="13368"/>
    <x v="1"/>
    <s v="NJ-00033"/>
    <s v="MILLSTONE TOWNSHIP"/>
    <n v="8510"/>
    <s v="MONMOUTH"/>
    <s v="NJ"/>
    <n v="65663"/>
    <n v="58463"/>
    <n v="7200"/>
    <n v="59900"/>
    <n v="52800"/>
    <n v="7100"/>
  </r>
  <r>
    <n v="13367"/>
    <n v="13368"/>
    <x v="1"/>
    <s v="NJ-00033"/>
    <s v="MILLSTONE TOWNSHIP"/>
    <n v="8535"/>
    <s v="MONMOUTH"/>
    <s v="NJ"/>
    <n v="159276"/>
    <n v="145676"/>
    <n v="13600"/>
    <n v="46400"/>
    <n v="34700"/>
    <n v="11700"/>
  </r>
  <r>
    <n v="13367"/>
    <n v="13368"/>
    <x v="1"/>
    <s v="NJ-00033"/>
    <s v="MILLSTONE TWP"/>
    <n v="8535"/>
    <s v="MONMOUTH"/>
    <s v="NJ"/>
    <n v="29789"/>
    <n v="29789"/>
    <n v="0"/>
    <n v="0"/>
    <n v="0"/>
    <n v="0"/>
  </r>
  <r>
    <n v="13367"/>
    <n v="13368"/>
    <x v="1"/>
    <s v="NJ-00033"/>
    <s v="MILLTOWN"/>
    <n v="8850"/>
    <s v="MIDDLESEX"/>
    <s v="NJ"/>
    <n v="51404"/>
    <n v="50279"/>
    <n v="1125"/>
    <n v="28700"/>
    <n v="28400"/>
    <n v="300"/>
  </r>
  <r>
    <n v="13367"/>
    <n v="13368"/>
    <x v="1"/>
    <s v="NJ-00033"/>
    <s v="MILLVILLE"/>
    <n v="8332"/>
    <s v="CUMBERLAND"/>
    <s v="NJ"/>
    <n v="32924"/>
    <n v="30074"/>
    <n v="2850"/>
    <n v="15100"/>
    <n v="12600"/>
    <n v="2500"/>
  </r>
  <r>
    <n v="13367"/>
    <n v="13368"/>
    <x v="1"/>
    <s v="NJ-00033"/>
    <s v="MINE HILL"/>
    <n v="7803"/>
    <s v="MORRIS"/>
    <s v="NJ"/>
    <n v="5686"/>
    <n v="5126"/>
    <n v="560"/>
    <n v="1200"/>
    <n v="900"/>
    <n v="300"/>
  </r>
  <r>
    <n v="13367"/>
    <n v="13368"/>
    <x v="1"/>
    <s v="NJ-00033"/>
    <s v="MONM0UTH BEACH"/>
    <n v="7750"/>
    <s v="MONMOUTH"/>
    <s v="NJ"/>
    <n v="233268"/>
    <n v="147143"/>
    <n v="86125"/>
    <n v="145600"/>
    <n v="105600"/>
    <n v="40000"/>
  </r>
  <r>
    <n v="13367"/>
    <n v="13368"/>
    <x v="1"/>
    <s v="NJ-00033"/>
    <s v="MONMOUT BEACH"/>
    <n v="7750"/>
    <s v="MONMOUTH"/>
    <s v="NJ"/>
    <n v="520649"/>
    <n v="475599"/>
    <n v="45050"/>
    <n v="0"/>
    <n v="0"/>
    <n v="0"/>
  </r>
  <r>
    <n v="13367"/>
    <n v="13368"/>
    <x v="1"/>
    <s v="NJ-00033"/>
    <s v="MONMOUTH"/>
    <n v="7757"/>
    <s v="MONMOUTH"/>
    <s v="NJ"/>
    <n v="346902"/>
    <n v="260602"/>
    <n v="86300"/>
    <n v="0"/>
    <n v="0"/>
    <n v="0"/>
  </r>
  <r>
    <n v="13367"/>
    <n v="13368"/>
    <x v="1"/>
    <s v="NJ-00033"/>
    <s v="MONMOUTH  BEACH"/>
    <n v="7750"/>
    <s v="MONMOUTH"/>
    <s v="NJ"/>
    <n v="23925"/>
    <n v="0"/>
    <n v="23925"/>
    <n v="14000"/>
    <n v="0"/>
    <n v="14000"/>
  </r>
  <r>
    <n v="13367"/>
    <n v="13368"/>
    <x v="1"/>
    <s v="NJ-00033"/>
    <s v="MONMOUTH BEACH"/>
    <n v="7702"/>
    <s v="MONMOUTH"/>
    <s v="NJ"/>
    <n v="34394"/>
    <n v="11244"/>
    <n v="23150"/>
    <n v="0"/>
    <n v="0"/>
    <n v="0"/>
  </r>
  <r>
    <n v="13367"/>
    <n v="13368"/>
    <x v="1"/>
    <s v="NJ-00033"/>
    <s v="MONMOUTH BEACH"/>
    <n v="7750"/>
    <s v="MONMOUTH"/>
    <s v="NJ"/>
    <n v="40194627"/>
    <n v="30070102"/>
    <n v="10124525"/>
    <n v="15423200"/>
    <n v="10729500"/>
    <n v="4693700"/>
  </r>
  <r>
    <n v="13367"/>
    <n v="13368"/>
    <x v="1"/>
    <s v="NJ-00033"/>
    <s v="MONMOUTH BEACH"/>
    <n v="7750"/>
    <s v="OCEAN"/>
    <s v="NJ"/>
    <n v="26239"/>
    <n v="21039"/>
    <n v="5200"/>
    <n v="0"/>
    <n v="0"/>
    <n v="0"/>
  </r>
  <r>
    <n v="13367"/>
    <n v="13368"/>
    <x v="1"/>
    <s v="NJ-00033"/>
    <s v="MONMOUTH BEACH"/>
    <n v="7755"/>
    <s v="MONMOUTH"/>
    <s v="NJ"/>
    <n v="99594"/>
    <n v="66344"/>
    <n v="33250"/>
    <n v="0"/>
    <n v="0"/>
    <n v="0"/>
  </r>
  <r>
    <n v="13367"/>
    <n v="13368"/>
    <x v="1"/>
    <s v="NJ-00033"/>
    <s v="MONMOUTH BEACH"/>
    <n v="8330"/>
    <s v="MONMOUTH"/>
    <s v="NJ"/>
    <n v="31298"/>
    <n v="13523"/>
    <n v="17775"/>
    <n v="0"/>
    <n v="0"/>
    <n v="0"/>
  </r>
  <r>
    <n v="13367"/>
    <n v="13368"/>
    <x v="1"/>
    <s v="NJ-00033"/>
    <s v="MONMOUTH JUNCTION"/>
    <n v="8852"/>
    <s v="MIDDLESEX"/>
    <s v="NJ"/>
    <n v="90090"/>
    <n v="80690"/>
    <n v="9400"/>
    <n v="78900"/>
    <n v="69500"/>
    <n v="9400"/>
  </r>
  <r>
    <n v="13367"/>
    <n v="13368"/>
    <x v="1"/>
    <s v="NJ-00033"/>
    <s v="MONROE"/>
    <n v="8831"/>
    <s v="MIDDLESEX"/>
    <s v="NJ"/>
    <n v="96184"/>
    <n v="88284"/>
    <n v="7900"/>
    <n v="0"/>
    <n v="0"/>
    <n v="0"/>
  </r>
  <r>
    <n v="13367"/>
    <n v="13368"/>
    <x v="1"/>
    <s v="NJ-00033"/>
    <s v="MONROE TOWNSHIP"/>
    <n v="8831"/>
    <s v="MIDDLESEX"/>
    <s v="NJ"/>
    <n v="107452"/>
    <n v="72927"/>
    <n v="34525"/>
    <n v="66200"/>
    <n v="33500"/>
    <n v="32700"/>
  </r>
  <r>
    <n v="13367"/>
    <n v="13368"/>
    <x v="1"/>
    <s v="NJ-00033"/>
    <s v="MONROE TWP"/>
    <n v="8831"/>
    <s v="MIDDLESEX"/>
    <s v="NJ"/>
    <n v="410911"/>
    <n v="345786"/>
    <n v="65125"/>
    <n v="0"/>
    <n v="0"/>
    <n v="0"/>
  </r>
  <r>
    <n v="13367"/>
    <n v="13368"/>
    <x v="1"/>
    <s v="NJ-00033"/>
    <s v="MONTCLAIR"/>
    <n v="7042"/>
    <s v="ESSEX"/>
    <s v="NJ"/>
    <n v="68794"/>
    <n v="44444"/>
    <n v="24350"/>
    <n v="14000"/>
    <n v="14000"/>
    <n v="0"/>
  </r>
  <r>
    <n v="13367"/>
    <n v="13368"/>
    <x v="1"/>
    <s v="NJ-00033"/>
    <s v="MONTCLAIR"/>
    <n v="7043"/>
    <s v="ESSEX"/>
    <s v="NJ"/>
    <n v="51097"/>
    <n v="47547"/>
    <n v="3550"/>
    <n v="50700"/>
    <n v="47600"/>
    <n v="3100"/>
  </r>
  <r>
    <n v="13367"/>
    <n v="13368"/>
    <x v="1"/>
    <s v="NJ-00033"/>
    <s v="MONTEREY BEACH LAVALLETTE"/>
    <n v="8735"/>
    <s v="OCEAN"/>
    <s v="NJ"/>
    <n v="70757"/>
    <n v="54807"/>
    <n v="15950"/>
    <n v="0"/>
    <n v="0"/>
    <n v="0"/>
  </r>
  <r>
    <n v="13367"/>
    <n v="13368"/>
    <x v="1"/>
    <s v="NJ-00033"/>
    <s v="MOONACHE"/>
    <n v="7074"/>
    <s v="BERGEN"/>
    <s v="NJ"/>
    <n v="10550"/>
    <n v="0"/>
    <n v="10550"/>
    <n v="0"/>
    <n v="0"/>
    <n v="0"/>
  </r>
  <r>
    <n v="13367"/>
    <n v="13368"/>
    <x v="1"/>
    <s v="NJ-00033"/>
    <s v="MOONACHIE"/>
    <n v="7074"/>
    <s v="BERGEN"/>
    <s v="NJ"/>
    <n v="8222373"/>
    <n v="4580506"/>
    <n v="3641867"/>
    <n v="2423600"/>
    <n v="1325500"/>
    <n v="1098100"/>
  </r>
  <r>
    <n v="13367"/>
    <n v="13368"/>
    <x v="1"/>
    <s v="NJ-00033"/>
    <s v="MOONICHIE"/>
    <n v="7074"/>
    <s v="BERGEN"/>
    <s v="NJ"/>
    <n v="16539"/>
    <n v="14414"/>
    <n v="2125"/>
    <n v="9000"/>
    <n v="7300"/>
    <n v="1700"/>
  </r>
  <r>
    <n v="13367"/>
    <n v="13368"/>
    <x v="1"/>
    <s v="NJ-00033"/>
    <s v="MOORESTOWN"/>
    <n v="8057"/>
    <s v="BURLINGTON"/>
    <s v="NJ"/>
    <n v="16315"/>
    <n v="14065"/>
    <n v="2250"/>
    <n v="12500"/>
    <n v="12500"/>
    <n v="0"/>
  </r>
  <r>
    <n v="13367"/>
    <n v="13368"/>
    <x v="1"/>
    <s v="NJ-00033"/>
    <s v="MORGANVILLE"/>
    <n v="7751"/>
    <s v="MONMOUTH"/>
    <s v="NJ"/>
    <n v="502033"/>
    <n v="475983"/>
    <n v="26050"/>
    <n v="305100"/>
    <n v="303600"/>
    <n v="1500"/>
  </r>
  <r>
    <n v="13367"/>
    <n v="13368"/>
    <x v="1"/>
    <s v="NJ-00033"/>
    <s v="MORMANDY BEACH"/>
    <n v="8739"/>
    <s v="OCEAN"/>
    <s v="NJ"/>
    <n v="193052"/>
    <n v="120142"/>
    <n v="72910"/>
    <n v="0"/>
    <n v="0"/>
    <n v="0"/>
  </r>
  <r>
    <n v="13367"/>
    <n v="13368"/>
    <x v="1"/>
    <s v="NJ-00033"/>
    <s v="MORRIS PLAINS"/>
    <n v="7950"/>
    <s v="MORRIS"/>
    <s v="NJ"/>
    <n v="262851"/>
    <n v="259051"/>
    <n v="3800"/>
    <n v="159700"/>
    <n v="157000"/>
    <n v="2700"/>
  </r>
  <r>
    <n v="13367"/>
    <n v="13368"/>
    <x v="1"/>
    <s v="NJ-00033"/>
    <s v="MORRISPLAINS"/>
    <n v="7950"/>
    <s v="MORRIS"/>
    <s v="NJ"/>
    <n v="12444"/>
    <n v="12444"/>
    <n v="0"/>
    <n v="6700"/>
    <n v="6700"/>
    <n v="0"/>
  </r>
  <r>
    <n v="13367"/>
    <n v="13368"/>
    <x v="1"/>
    <s v="NJ-00033"/>
    <s v="MORRISTOWN"/>
    <n v="7960"/>
    <s v="MORRIS"/>
    <s v="NJ"/>
    <n v="516216"/>
    <n v="509706"/>
    <n v="6510"/>
    <n v="297300"/>
    <n v="292600"/>
    <n v="4700"/>
  </r>
  <r>
    <n v="13367"/>
    <n v="13368"/>
    <x v="1"/>
    <s v="NJ-00033"/>
    <s v="MOUNT HOLLY"/>
    <n v="8060"/>
    <s v="BURLINGTON"/>
    <s v="NJ"/>
    <n v="21470"/>
    <n v="20950"/>
    <n v="520"/>
    <n v="14000"/>
    <n v="14000"/>
    <n v="0"/>
  </r>
  <r>
    <n v="13367"/>
    <n v="13368"/>
    <x v="1"/>
    <s v="NJ-00033"/>
    <s v="MOUNT LAUREL"/>
    <n v="8054"/>
    <s v="BURLINGTON"/>
    <s v="NJ"/>
    <n v="35304"/>
    <n v="35304"/>
    <n v="0"/>
    <n v="0"/>
    <n v="0"/>
    <n v="0"/>
  </r>
  <r>
    <n v="13367"/>
    <n v="13368"/>
    <x v="1"/>
    <s v="NJ-00033"/>
    <s v="MOUNT TABOR"/>
    <n v="7878"/>
    <s v="MORRIS"/>
    <s v="NJ"/>
    <n v="266338"/>
    <n v="231413"/>
    <n v="34925"/>
    <n v="103600"/>
    <n v="78800"/>
    <n v="24800"/>
  </r>
  <r>
    <n v="13367"/>
    <n v="13368"/>
    <x v="1"/>
    <s v="NJ-00033"/>
    <s v="MOUNTAIN LAKES"/>
    <n v="7046"/>
    <s v="MORRIS"/>
    <s v="NJ"/>
    <n v="79515"/>
    <n v="76215"/>
    <n v="3300"/>
    <n v="65000"/>
    <n v="61700"/>
    <n v="3300"/>
  </r>
  <r>
    <n v="13367"/>
    <n v="13368"/>
    <x v="1"/>
    <s v="NJ-00033"/>
    <s v="MOUNTAIN SIDE"/>
    <n v="7092"/>
    <s v="UNION"/>
    <s v="NJ"/>
    <n v="25824"/>
    <n v="25824"/>
    <n v="0"/>
    <n v="24200"/>
    <n v="24200"/>
    <n v="0"/>
  </r>
  <r>
    <n v="13367"/>
    <n v="13368"/>
    <x v="1"/>
    <s v="NJ-00033"/>
    <s v="MOUNTAINSIDE"/>
    <n v="7092"/>
    <s v="UNION"/>
    <s v="NJ"/>
    <n v="87528"/>
    <n v="73528"/>
    <n v="14000"/>
    <n v="23700"/>
    <n v="14100"/>
    <n v="9600"/>
  </r>
  <r>
    <n v="13367"/>
    <n v="13368"/>
    <x v="1"/>
    <s v="NJ-00033"/>
    <s v="MT LAUREL"/>
    <n v="8054"/>
    <s v="BURLINGTON"/>
    <s v="NJ"/>
    <n v="56236"/>
    <n v="35911"/>
    <n v="20325"/>
    <n v="41600"/>
    <n v="24300"/>
    <n v="17300"/>
  </r>
  <r>
    <n v="13367"/>
    <n v="13368"/>
    <x v="1"/>
    <s v="NJ-00033"/>
    <s v="MT. LAKES"/>
    <n v="7046"/>
    <s v="MORRIS"/>
    <s v="NJ"/>
    <n v="29211"/>
    <n v="29211"/>
    <n v="0"/>
    <n v="28300"/>
    <n v="28300"/>
    <n v="0"/>
  </r>
  <r>
    <n v="13367"/>
    <n v="13368"/>
    <x v="1"/>
    <s v="NJ-00033"/>
    <s v="MYSTIC ISLAND"/>
    <n v="8087"/>
    <s v="OCEAN"/>
    <s v="NJ"/>
    <n v="812847"/>
    <n v="597935"/>
    <n v="214912"/>
    <n v="342100"/>
    <n v="276800"/>
    <n v="65300"/>
  </r>
  <r>
    <n v="13367"/>
    <n v="13368"/>
    <x v="1"/>
    <s v="NJ-00033"/>
    <s v="MYSTIC ISLANDS"/>
    <n v="8087"/>
    <s v="OCEAN"/>
    <s v="NJ"/>
    <n v="479585"/>
    <n v="349445"/>
    <n v="130140"/>
    <n v="65800"/>
    <n v="46200"/>
    <n v="19600"/>
  </r>
  <r>
    <n v="13367"/>
    <n v="13368"/>
    <x v="1"/>
    <s v="NJ-00033"/>
    <s v="N BEACH HAVEN"/>
    <n v="8008"/>
    <s v="OCEAN"/>
    <s v="NJ"/>
    <n v="150084"/>
    <n v="114384"/>
    <n v="35700"/>
    <n v="35700"/>
    <n v="0"/>
    <n v="35700"/>
  </r>
  <r>
    <n v="13367"/>
    <n v="13368"/>
    <x v="1"/>
    <s v="NJ-00033"/>
    <s v="N CAPE MAY"/>
    <n v="8204"/>
    <s v="CAPE MAY"/>
    <s v="NJ"/>
    <n v="14947"/>
    <n v="14947"/>
    <n v="0"/>
    <n v="14000"/>
    <n v="14000"/>
    <n v="0"/>
  </r>
  <r>
    <n v="13367"/>
    <n v="13368"/>
    <x v="1"/>
    <s v="NJ-00033"/>
    <s v="N MIDDLETOWN"/>
    <n v="7748"/>
    <s v="MONMOUTH"/>
    <s v="NJ"/>
    <n v="21476"/>
    <n v="20876"/>
    <n v="600"/>
    <n v="16400"/>
    <n v="15800"/>
    <n v="600"/>
  </r>
  <r>
    <n v="13367"/>
    <n v="13368"/>
    <x v="1"/>
    <s v="NJ-00033"/>
    <s v="N WILDWOOD"/>
    <n v="8260"/>
    <s v="CAPE MAY"/>
    <s v="NJ"/>
    <n v="30715"/>
    <n v="26090"/>
    <n v="4625"/>
    <n v="30800"/>
    <n v="26200"/>
    <n v="4600"/>
  </r>
  <r>
    <n v="13367"/>
    <n v="13368"/>
    <x v="1"/>
    <s v="NJ-00033"/>
    <s v="N. BEACH HAVEN"/>
    <n v="8008"/>
    <s v="OCEAN"/>
    <s v="NJ"/>
    <n v="177609"/>
    <n v="120959"/>
    <n v="56650"/>
    <n v="9200"/>
    <n v="5900"/>
    <n v="3300"/>
  </r>
  <r>
    <n v="13367"/>
    <n v="13368"/>
    <x v="1"/>
    <s v="NJ-00033"/>
    <s v="NEPTUNE"/>
    <n v="7753"/>
    <s v="MONMOUTH"/>
    <s v="NJ"/>
    <n v="12627129"/>
    <n v="9240372"/>
    <n v="3386757"/>
    <n v="5441300"/>
    <n v="3570200"/>
    <n v="1849700"/>
  </r>
  <r>
    <n v="13367"/>
    <n v="13368"/>
    <x v="1"/>
    <s v="NJ-00033"/>
    <s v="NEPTUNE"/>
    <n v="7753"/>
    <s v="OCEAN"/>
    <s v="NJ"/>
    <n v="37623"/>
    <n v="27423"/>
    <n v="10200"/>
    <n v="0"/>
    <n v="0"/>
    <n v="0"/>
  </r>
  <r>
    <n v="13367"/>
    <n v="13368"/>
    <x v="1"/>
    <s v="NJ-00033"/>
    <s v="NEPTUNE CITY"/>
    <n v="7753"/>
    <s v="MONMOUTH"/>
    <s v="NJ"/>
    <n v="294116"/>
    <n v="175616"/>
    <n v="118500"/>
    <n v="179200"/>
    <n v="72800"/>
    <n v="106400"/>
  </r>
  <r>
    <n v="13367"/>
    <n v="13368"/>
    <x v="1"/>
    <s v="NJ-00033"/>
    <s v="NEPTUNE TOWNSHIP"/>
    <n v="7753"/>
    <s v="MONMOUTH"/>
    <s v="NJ"/>
    <n v="31852"/>
    <n v="30352"/>
    <n v="1500"/>
    <n v="26900"/>
    <n v="25400"/>
    <n v="1500"/>
  </r>
  <r>
    <n v="13367"/>
    <n v="13368"/>
    <x v="1"/>
    <s v="NJ-00033"/>
    <s v="NESHANIC STATION"/>
    <n v="8853"/>
    <s v="SOMERSET"/>
    <s v="NJ"/>
    <n v="17051"/>
    <n v="17051"/>
    <n v="0"/>
    <n v="0"/>
    <n v="0"/>
    <n v="0"/>
  </r>
  <r>
    <n v="13367"/>
    <n v="13368"/>
    <x v="1"/>
    <s v="NJ-00033"/>
    <s v="NETCONG"/>
    <n v="7857"/>
    <s v="MORRIS"/>
    <s v="NJ"/>
    <n v="5686"/>
    <n v="5686"/>
    <n v="0"/>
    <n v="5700"/>
    <n v="5700"/>
    <n v="0"/>
  </r>
  <r>
    <n v="13367"/>
    <n v="13368"/>
    <x v="1"/>
    <s v="NJ-00033"/>
    <s v="NEW BRUNSWICK"/>
    <n v="8901"/>
    <s v="MIDDLESEX"/>
    <s v="NJ"/>
    <n v="194953"/>
    <n v="190118"/>
    <n v="4835"/>
    <n v="17200"/>
    <n v="16900"/>
    <n v="300"/>
  </r>
  <r>
    <n v="13367"/>
    <n v="13368"/>
    <x v="1"/>
    <s v="NJ-00033"/>
    <s v="NEW EGYPT"/>
    <n v="8533"/>
    <s v="OCEAN"/>
    <s v="NJ"/>
    <n v="35676"/>
    <n v="35676"/>
    <n v="0"/>
    <n v="16800"/>
    <n v="16800"/>
    <n v="0"/>
  </r>
  <r>
    <n v="13367"/>
    <n v="13368"/>
    <x v="1"/>
    <s v="NJ-00033"/>
    <s v="NEW GRETNA"/>
    <n v="8224"/>
    <s v="BURLINGTON"/>
    <s v="NJ"/>
    <n v="480806"/>
    <n v="362416"/>
    <n v="118390"/>
    <n v="186300"/>
    <n v="139800"/>
    <n v="46500"/>
  </r>
  <r>
    <n v="13367"/>
    <n v="13368"/>
    <x v="1"/>
    <s v="NJ-00033"/>
    <s v="NEW JERSEY"/>
    <n v="8742"/>
    <s v="OCEAN"/>
    <s v="NJ"/>
    <n v="100018"/>
    <n v="80768"/>
    <n v="19250"/>
    <n v="0"/>
    <n v="0"/>
    <n v="0"/>
  </r>
  <r>
    <n v="13367"/>
    <n v="13368"/>
    <x v="1"/>
    <s v="NJ-00033"/>
    <s v="NEW MILFORD"/>
    <n v="7646"/>
    <s v="BERGEN"/>
    <s v="NJ"/>
    <n v="24240"/>
    <n v="17854"/>
    <n v="6386"/>
    <n v="16200"/>
    <n v="11400"/>
    <n v="4800"/>
  </r>
  <r>
    <n v="13367"/>
    <n v="13368"/>
    <x v="1"/>
    <s v="NJ-00033"/>
    <s v="NEW PORT"/>
    <n v="8345"/>
    <s v="CUMBERLAND"/>
    <s v="NJ"/>
    <n v="100821"/>
    <n v="74511"/>
    <n v="26310"/>
    <n v="0"/>
    <n v="0"/>
    <n v="0"/>
  </r>
  <r>
    <n v="13367"/>
    <n v="13368"/>
    <x v="1"/>
    <s v="NJ-00033"/>
    <s v="NEW PROVIDENCE"/>
    <n v="7974"/>
    <s v="UNION"/>
    <s v="NJ"/>
    <n v="15214"/>
    <n v="12439"/>
    <n v="2775"/>
    <n v="0"/>
    <n v="0"/>
    <n v="0"/>
  </r>
  <r>
    <n v="13367"/>
    <n v="13368"/>
    <x v="1"/>
    <s v="NJ-00033"/>
    <s v="NEW VERNON"/>
    <n v="7976"/>
    <s v="MORRIS"/>
    <s v="NJ"/>
    <n v="172738"/>
    <n v="172188"/>
    <n v="550"/>
    <n v="0"/>
    <n v="0"/>
    <n v="0"/>
  </r>
  <r>
    <n v="13367"/>
    <n v="13368"/>
    <x v="1"/>
    <s v="NJ-00033"/>
    <s v="NEWARK"/>
    <n v="7102"/>
    <s v="ESSEX"/>
    <s v="NJ"/>
    <n v="7345"/>
    <n v="6845"/>
    <n v="500"/>
    <n v="3000"/>
    <n v="3000"/>
    <n v="0"/>
  </r>
  <r>
    <n v="13367"/>
    <n v="13368"/>
    <x v="1"/>
    <s v="NJ-00033"/>
    <s v="NEWARK"/>
    <n v="7103"/>
    <s v="ESSEX"/>
    <s v="NJ"/>
    <n v="211343"/>
    <n v="151373"/>
    <n v="59970"/>
    <n v="136400"/>
    <n v="95800"/>
    <n v="40600"/>
  </r>
  <r>
    <n v="13367"/>
    <n v="13368"/>
    <x v="1"/>
    <s v="NJ-00033"/>
    <s v="NEWARK"/>
    <n v="7104"/>
    <s v="ESSEX"/>
    <s v="NJ"/>
    <n v="216891"/>
    <n v="177896"/>
    <n v="38995"/>
    <n v="25400"/>
    <n v="17100"/>
    <n v="8300"/>
  </r>
  <r>
    <n v="13367"/>
    <n v="13368"/>
    <x v="1"/>
    <s v="NJ-00033"/>
    <s v="NEWARK"/>
    <n v="7105"/>
    <s v="ESSEX"/>
    <s v="NJ"/>
    <n v="1170564"/>
    <n v="660952"/>
    <n v="509612"/>
    <n v="216000"/>
    <n v="117000"/>
    <n v="99000"/>
  </r>
  <r>
    <n v="13367"/>
    <n v="13368"/>
    <x v="1"/>
    <s v="NJ-00033"/>
    <s v="NEWARK"/>
    <n v="7106"/>
    <s v="ESSEX"/>
    <s v="NJ"/>
    <n v="420103"/>
    <n v="355638"/>
    <n v="64465"/>
    <n v="85200"/>
    <n v="63100"/>
    <n v="22100"/>
  </r>
  <r>
    <n v="13367"/>
    <n v="13368"/>
    <x v="1"/>
    <s v="NJ-00033"/>
    <s v="NEWARK"/>
    <n v="7107"/>
    <s v="ESSEX"/>
    <s v="NJ"/>
    <n v="175220"/>
    <n v="147470"/>
    <n v="27750"/>
    <n v="78400"/>
    <n v="73500"/>
    <n v="4900"/>
  </r>
  <r>
    <n v="13367"/>
    <n v="13368"/>
    <x v="1"/>
    <s v="NJ-00033"/>
    <s v="NEWARK"/>
    <n v="7108"/>
    <s v="ESSEX"/>
    <s v="NJ"/>
    <n v="72807"/>
    <n v="57707"/>
    <n v="15100"/>
    <n v="18800"/>
    <n v="18800"/>
    <n v="0"/>
  </r>
  <r>
    <n v="13367"/>
    <n v="13368"/>
    <x v="1"/>
    <s v="NJ-00033"/>
    <s v="NEWARK"/>
    <n v="7112"/>
    <s v="ESSEX"/>
    <s v="NJ"/>
    <n v="421296"/>
    <n v="337831"/>
    <n v="83465"/>
    <n v="66400"/>
    <n v="54400"/>
    <n v="12000"/>
  </r>
  <r>
    <n v="13367"/>
    <n v="13368"/>
    <x v="1"/>
    <s v="NJ-00033"/>
    <s v="NEWARK"/>
    <n v="7114"/>
    <s v="ESSEX"/>
    <s v="NJ"/>
    <n v="2288"/>
    <n v="2288"/>
    <n v="0"/>
    <n v="0"/>
    <n v="0"/>
    <n v="0"/>
  </r>
  <r>
    <n v="13367"/>
    <n v="13368"/>
    <x v="1"/>
    <s v="NJ-00033"/>
    <s v="NEWFOUNDLAND"/>
    <n v="7435"/>
    <s v="PASSAIC"/>
    <s v="NJ"/>
    <n v="32120"/>
    <n v="32120"/>
    <n v="0"/>
    <n v="25000"/>
    <n v="25000"/>
    <n v="0"/>
  </r>
  <r>
    <n v="13367"/>
    <n v="13368"/>
    <x v="1"/>
    <s v="NJ-00033"/>
    <s v="NEWPORT"/>
    <n v="8345"/>
    <s v="CUMBERLAND"/>
    <s v="NJ"/>
    <n v="247662"/>
    <n v="221312"/>
    <n v="26350"/>
    <n v="92600"/>
    <n v="75600"/>
    <n v="17000"/>
  </r>
  <r>
    <n v="13367"/>
    <n v="13368"/>
    <x v="1"/>
    <s v="NJ-00033"/>
    <s v="NEWRK"/>
    <n v="7106"/>
    <s v="ESSEX"/>
    <s v="NJ"/>
    <n v="3000"/>
    <n v="0"/>
    <n v="3000"/>
    <n v="3000"/>
    <n v="0"/>
    <n v="3000"/>
  </r>
  <r>
    <n v="13367"/>
    <n v="13368"/>
    <x v="1"/>
    <s v="NJ-00033"/>
    <s v="NEWTON"/>
    <n v="7860"/>
    <s v="SUSSEX"/>
    <s v="NJ"/>
    <n v="159992"/>
    <n v="155942"/>
    <n v="4050"/>
    <n v="98600"/>
    <n v="94500"/>
    <n v="4100"/>
  </r>
  <r>
    <n v="13367"/>
    <n v="13368"/>
    <x v="1"/>
    <s v="NJ-00033"/>
    <s v="NORMANDY"/>
    <n v="8739"/>
    <s v="OCEAN"/>
    <s v="NJ"/>
    <n v="169285"/>
    <n v="117835"/>
    <n v="51450"/>
    <n v="0"/>
    <n v="0"/>
    <n v="0"/>
  </r>
  <r>
    <n v="13367"/>
    <n v="13368"/>
    <x v="1"/>
    <s v="NJ-00033"/>
    <s v="NORMANDY BCH"/>
    <n v="8739"/>
    <s v="OCEAN"/>
    <s v="NJ"/>
    <n v="355815"/>
    <n v="234540"/>
    <n v="121275"/>
    <n v="65800"/>
    <n v="25800"/>
    <n v="40000"/>
  </r>
  <r>
    <n v="13367"/>
    <n v="13368"/>
    <x v="1"/>
    <s v="NJ-00033"/>
    <s v="NORMANDY BEACH"/>
    <n v="7936"/>
    <s v="OCEAN"/>
    <s v="NJ"/>
    <n v="73341"/>
    <n v="57241"/>
    <n v="16100"/>
    <n v="72700"/>
    <n v="56600"/>
    <n v="16100"/>
  </r>
  <r>
    <n v="13367"/>
    <n v="13368"/>
    <x v="1"/>
    <s v="NJ-00033"/>
    <s v="NORMANDY BEACH"/>
    <n v="7939"/>
    <s v="OCEAN"/>
    <s v="NJ"/>
    <n v="217989"/>
    <n v="163734"/>
    <n v="54255"/>
    <n v="0"/>
    <n v="0"/>
    <n v="0"/>
  </r>
  <r>
    <n v="13367"/>
    <n v="13368"/>
    <x v="1"/>
    <s v="NJ-00033"/>
    <s v="NORMANDY BEACH"/>
    <n v="7974"/>
    <s v="OCEAN"/>
    <s v="NJ"/>
    <n v="20075"/>
    <n v="0"/>
    <n v="20075"/>
    <n v="0"/>
    <n v="0"/>
    <n v="0"/>
  </r>
  <r>
    <n v="13367"/>
    <n v="13368"/>
    <x v="1"/>
    <s v="NJ-00033"/>
    <s v="NORMANDY BEACH"/>
    <n v="8735"/>
    <s v="OCEAN"/>
    <s v="NJ"/>
    <n v="246377"/>
    <n v="187537"/>
    <n v="58840"/>
    <n v="111500"/>
    <n v="87300"/>
    <n v="24200"/>
  </r>
  <r>
    <n v="13367"/>
    <n v="13368"/>
    <x v="1"/>
    <s v="NJ-00033"/>
    <s v="NORMANDY BEACH"/>
    <n v="8738"/>
    <s v="OCEAN"/>
    <s v="NJ"/>
    <n v="301722"/>
    <n v="211657"/>
    <n v="90065"/>
    <n v="122100"/>
    <n v="89100"/>
    <n v="33000"/>
  </r>
  <r>
    <n v="13367"/>
    <n v="13368"/>
    <x v="1"/>
    <s v="NJ-00033"/>
    <s v="NORMANDY BEACH"/>
    <n v="8739"/>
    <s v="OCEAN"/>
    <s v="NJ"/>
    <n v="12130061"/>
    <n v="9079158"/>
    <n v="3050903"/>
    <n v="3313700"/>
    <n v="2313100"/>
    <n v="1000600"/>
  </r>
  <r>
    <n v="13367"/>
    <n v="13368"/>
    <x v="1"/>
    <s v="NJ-00033"/>
    <s v="NORMANDY SHORES"/>
    <n v="8735"/>
    <s v="OCEAN"/>
    <s v="NJ"/>
    <n v="153426"/>
    <n v="118806"/>
    <n v="34620"/>
    <n v="0"/>
    <n v="0"/>
    <n v="0"/>
  </r>
  <r>
    <n v="13367"/>
    <n v="13368"/>
    <x v="1"/>
    <s v="NJ-00033"/>
    <s v="NORTH ARLINGTON"/>
    <n v="7031"/>
    <s v="BERGEN"/>
    <s v="NJ"/>
    <n v="76567"/>
    <n v="46692"/>
    <n v="29875"/>
    <n v="28600"/>
    <n v="28400"/>
    <n v="200"/>
  </r>
  <r>
    <n v="13367"/>
    <n v="13368"/>
    <x v="1"/>
    <s v="NJ-00033"/>
    <s v="NORTH BEACH"/>
    <n v="8008"/>
    <s v="OCEAN"/>
    <s v="NJ"/>
    <n v="403560"/>
    <n v="297672"/>
    <n v="105888"/>
    <n v="67800"/>
    <n v="54300"/>
    <n v="13500"/>
  </r>
  <r>
    <n v="13367"/>
    <n v="13368"/>
    <x v="1"/>
    <s v="NJ-00033"/>
    <s v="NORTH BEACH HAVEN"/>
    <n v="8008"/>
    <s v="OCEAN"/>
    <s v="NJ"/>
    <n v="181964"/>
    <n v="104253"/>
    <n v="77711"/>
    <n v="142900"/>
    <n v="92500"/>
    <n v="50400"/>
  </r>
  <r>
    <n v="13367"/>
    <n v="13368"/>
    <x v="1"/>
    <s v="NJ-00033"/>
    <s v="NORTH BERGEN"/>
    <n v="7047"/>
    <s v="HUDSON"/>
    <s v="NJ"/>
    <n v="318156"/>
    <n v="198694"/>
    <n v="119462"/>
    <n v="94000"/>
    <n v="52900"/>
    <n v="41100"/>
  </r>
  <r>
    <n v="13367"/>
    <n v="13368"/>
    <x v="1"/>
    <s v="NJ-00033"/>
    <s v="NORTH BRUNSWICK"/>
    <n v="8902"/>
    <s v="MIDDLESEX"/>
    <s v="NJ"/>
    <n v="354258"/>
    <n v="313583"/>
    <n v="40675"/>
    <n v="149300"/>
    <n v="111700"/>
    <n v="37600"/>
  </r>
  <r>
    <n v="13367"/>
    <n v="13368"/>
    <x v="1"/>
    <s v="NJ-00033"/>
    <s v="NORTH CAPE MAY"/>
    <n v="8204"/>
    <s v="CAPE MAY"/>
    <s v="NJ"/>
    <n v="60885"/>
    <n v="57885"/>
    <n v="3000"/>
    <n v="50000"/>
    <n v="47000"/>
    <n v="3000"/>
  </r>
  <r>
    <n v="13367"/>
    <n v="13368"/>
    <x v="1"/>
    <s v="NJ-00033"/>
    <s v="NORTH MIDDLETOWN"/>
    <n v="7748"/>
    <s v="MONMOUTH"/>
    <s v="NJ"/>
    <n v="143614"/>
    <n v="123514"/>
    <n v="20100"/>
    <n v="45500"/>
    <n v="45500"/>
    <n v="0"/>
  </r>
  <r>
    <n v="13367"/>
    <n v="13368"/>
    <x v="1"/>
    <s v="NJ-00033"/>
    <s v="NORTH PLAINFIELD"/>
    <n v="7060"/>
    <s v="SOMERSET"/>
    <s v="NJ"/>
    <n v="123891"/>
    <n v="118301"/>
    <n v="5590"/>
    <n v="59200"/>
    <n v="56200"/>
    <n v="3000"/>
  </r>
  <r>
    <n v="13367"/>
    <n v="13368"/>
    <x v="1"/>
    <s v="NJ-00033"/>
    <s v="NORTH PLAINFIELD"/>
    <n v="7062"/>
    <s v="SOMERSET"/>
    <s v="NJ"/>
    <n v="64913"/>
    <n v="46828"/>
    <n v="18085"/>
    <n v="14300"/>
    <n v="3900"/>
    <n v="10400"/>
  </r>
  <r>
    <n v="13367"/>
    <n v="13368"/>
    <x v="1"/>
    <s v="NJ-00033"/>
    <s v="NORTH PLAINFIELD"/>
    <n v="7063"/>
    <s v="SOMERSET"/>
    <s v="NJ"/>
    <n v="21710"/>
    <n v="21310"/>
    <n v="400"/>
    <n v="14000"/>
    <n v="14000"/>
    <n v="0"/>
  </r>
  <r>
    <n v="13367"/>
    <n v="13368"/>
    <x v="1"/>
    <s v="NJ-00033"/>
    <s v="NORTH PLAINFNIELD"/>
    <n v="7060"/>
    <s v="SOMERSET"/>
    <s v="NJ"/>
    <n v="7015"/>
    <n v="7015"/>
    <n v="0"/>
    <n v="0"/>
    <n v="0"/>
    <n v="0"/>
  </r>
  <r>
    <n v="13367"/>
    <n v="13368"/>
    <x v="1"/>
    <s v="NJ-00033"/>
    <s v="NORTH WILDWOOD"/>
    <n v="8260"/>
    <s v="CAPE MAY"/>
    <s v="NJ"/>
    <n v="1347502"/>
    <n v="1068821"/>
    <n v="278681"/>
    <n v="494700"/>
    <n v="359700"/>
    <n v="135000"/>
  </r>
  <r>
    <n v="13367"/>
    <n v="13368"/>
    <x v="1"/>
    <s v="NJ-00033"/>
    <s v="NORTHFIELD"/>
    <n v="8225"/>
    <s v="ATLANTIC"/>
    <s v="NJ"/>
    <n v="324024"/>
    <n v="224910"/>
    <n v="99114"/>
    <n v="209600"/>
    <n v="147100"/>
    <n v="62500"/>
  </r>
  <r>
    <n v="13367"/>
    <n v="13368"/>
    <x v="1"/>
    <s v="NJ-00033"/>
    <s v="NORWOOD"/>
    <n v="7648"/>
    <s v="BERGEN"/>
    <s v="NJ"/>
    <n v="22115"/>
    <n v="21475"/>
    <n v="640"/>
    <n v="4800"/>
    <n v="4600"/>
    <n v="200"/>
  </r>
  <r>
    <n v="13367"/>
    <n v="13368"/>
    <x v="1"/>
    <s v="NJ-00033"/>
    <s v="NUTLEY"/>
    <n v="7110"/>
    <s v="ESSEX"/>
    <s v="NJ"/>
    <n v="179203"/>
    <n v="137038"/>
    <n v="42165"/>
    <n v="55800"/>
    <n v="51600"/>
    <n v="4200"/>
  </r>
  <r>
    <n v="13367"/>
    <n v="13368"/>
    <x v="1"/>
    <s v="NJ-00033"/>
    <s v="OAK RIDGE"/>
    <n v="7438"/>
    <s v="MORRIS"/>
    <s v="NJ"/>
    <n v="130768"/>
    <n v="118918"/>
    <n v="11850"/>
    <n v="81900"/>
    <n v="80100"/>
    <n v="1800"/>
  </r>
  <r>
    <n v="13367"/>
    <n v="13368"/>
    <x v="1"/>
    <s v="NJ-00033"/>
    <s v="OAK RIDGE"/>
    <n v="7438"/>
    <s v="PASSAIC"/>
    <s v="NJ"/>
    <n v="12156"/>
    <n v="12156"/>
    <n v="0"/>
    <n v="0"/>
    <n v="0"/>
    <n v="0"/>
  </r>
  <r>
    <n v="13367"/>
    <n v="13368"/>
    <x v="1"/>
    <s v="NJ-00033"/>
    <s v="OAKHURST"/>
    <n v="7755"/>
    <s v="MONMOUTH"/>
    <s v="NJ"/>
    <n v="125259"/>
    <n v="122584"/>
    <n v="2675"/>
    <n v="47400"/>
    <n v="47400"/>
    <n v="0"/>
  </r>
  <r>
    <n v="13367"/>
    <n v="13368"/>
    <x v="1"/>
    <s v="NJ-00033"/>
    <s v="OAKLAND"/>
    <n v="7436"/>
    <s v="BERGEN"/>
    <s v="NJ"/>
    <n v="127605"/>
    <n v="116705"/>
    <n v="10900"/>
    <n v="75300"/>
    <n v="67000"/>
    <n v="8300"/>
  </r>
  <r>
    <n v="13367"/>
    <n v="13368"/>
    <x v="1"/>
    <s v="NJ-00033"/>
    <s v="OAKLYN"/>
    <n v="8107"/>
    <s v="CAMDEN"/>
    <s v="NJ"/>
    <n v="17370"/>
    <n v="15045"/>
    <n v="2325"/>
    <n v="0"/>
    <n v="0"/>
    <n v="0"/>
  </r>
  <r>
    <n v="13367"/>
    <n v="13368"/>
    <x v="1"/>
    <s v="NJ-00033"/>
    <s v="OARTLEY BEACH"/>
    <n v="8751"/>
    <s v="OCEAN"/>
    <s v="NJ"/>
    <n v="195750"/>
    <n v="126050"/>
    <n v="69700"/>
    <n v="0"/>
    <n v="0"/>
    <n v="0"/>
  </r>
  <r>
    <n v="13367"/>
    <n v="13368"/>
    <x v="1"/>
    <s v="NJ-00033"/>
    <s v="OARTLEY BEACH"/>
    <n v="8753"/>
    <s v="OCEAN"/>
    <s v="NJ"/>
    <n v="78031"/>
    <n v="49031"/>
    <n v="29000"/>
    <n v="0"/>
    <n v="0"/>
    <n v="0"/>
  </r>
  <r>
    <n v="13367"/>
    <n v="13368"/>
    <x v="1"/>
    <s v="NJ-00033"/>
    <s v="OCEAN"/>
    <n v="7712"/>
    <s v="MONMOUTH"/>
    <s v="NJ"/>
    <n v="477547"/>
    <n v="414859"/>
    <n v="62688"/>
    <n v="246600"/>
    <n v="198500"/>
    <n v="48100"/>
  </r>
  <r>
    <n v="13367"/>
    <n v="13368"/>
    <x v="1"/>
    <s v="NJ-00033"/>
    <s v="OCEAN"/>
    <n v="8226"/>
    <s v="CAPE MAY"/>
    <s v="NJ"/>
    <n v="18825"/>
    <n v="0"/>
    <n v="18825"/>
    <n v="0"/>
    <n v="0"/>
    <n v="0"/>
  </r>
  <r>
    <n v="13367"/>
    <n v="13368"/>
    <x v="1"/>
    <s v="NJ-00033"/>
    <s v="OCEAN  CITY"/>
    <n v="8226"/>
    <s v="CAPE MAY"/>
    <s v="NJ"/>
    <n v="12750"/>
    <n v="0"/>
    <n v="12750"/>
    <n v="0"/>
    <n v="0"/>
    <n v="0"/>
  </r>
  <r>
    <n v="13367"/>
    <n v="13368"/>
    <x v="1"/>
    <s v="NJ-00033"/>
    <s v="OCEAN BEACH"/>
    <n v="8735"/>
    <s v="OCEAN"/>
    <s v="NJ"/>
    <n v="260145"/>
    <n v="175895"/>
    <n v="84250"/>
    <n v="42700"/>
    <n v="18800"/>
    <n v="23900"/>
  </r>
  <r>
    <n v="13367"/>
    <n v="13368"/>
    <x v="1"/>
    <s v="NJ-00033"/>
    <s v="OCEAN CITY"/>
    <n v="8226"/>
    <s v="CAPE MAY"/>
    <s v="NJ"/>
    <n v="20616568"/>
    <n v="15234463"/>
    <n v="5382105"/>
    <n v="8983900"/>
    <n v="6376600"/>
    <n v="2571500"/>
  </r>
  <r>
    <n v="13367"/>
    <n v="13368"/>
    <x v="1"/>
    <s v="NJ-00033"/>
    <s v="OCEAN CITY"/>
    <n v="9226"/>
    <s v="CAPE MAY"/>
    <s v="NJ"/>
    <n v="11000"/>
    <n v="0"/>
    <n v="11000"/>
    <n v="0"/>
    <n v="0"/>
    <n v="0"/>
  </r>
  <r>
    <n v="13367"/>
    <n v="13368"/>
    <x v="1"/>
    <s v="NJ-00033"/>
    <s v="OCEAN GATE"/>
    <n v="8740"/>
    <s v="OCEAN"/>
    <s v="NJ"/>
    <n v="10038090"/>
    <n v="7112860"/>
    <n v="2925230"/>
    <n v="4018600"/>
    <n v="2628700"/>
    <n v="1389900"/>
  </r>
  <r>
    <n v="13367"/>
    <n v="13368"/>
    <x v="1"/>
    <s v="NJ-00033"/>
    <s v="OCEAN GATE"/>
    <n v="8879"/>
    <s v="OCEAN"/>
    <s v="NJ"/>
    <n v="127901"/>
    <n v="85501"/>
    <n v="42400"/>
    <n v="62300"/>
    <n v="22300"/>
    <n v="40000"/>
  </r>
  <r>
    <n v="13367"/>
    <n v="13368"/>
    <x v="1"/>
    <s v="NJ-00033"/>
    <s v="OCEAN GROVE"/>
    <n v="7752"/>
    <s v="MONMOUTH"/>
    <s v="NJ"/>
    <n v="1850"/>
    <n v="0"/>
    <n v="1850"/>
    <n v="0"/>
    <n v="0"/>
    <n v="0"/>
  </r>
  <r>
    <n v="13367"/>
    <n v="13368"/>
    <x v="1"/>
    <s v="NJ-00033"/>
    <s v="OCEAN GROVE"/>
    <n v="7756"/>
    <s v="MONMOUTH"/>
    <s v="NJ"/>
    <n v="305161"/>
    <n v="209411"/>
    <n v="95750"/>
    <n v="96500"/>
    <n v="49700"/>
    <n v="46800"/>
  </r>
  <r>
    <n v="13367"/>
    <n v="13368"/>
    <x v="1"/>
    <s v="NJ-00033"/>
    <s v="OCEAN PORT"/>
    <n v="7757"/>
    <s v="MONMOUTH"/>
    <s v="NJ"/>
    <n v="441229"/>
    <n v="375529"/>
    <n v="65700"/>
    <n v="240000"/>
    <n v="200000"/>
    <n v="40000"/>
  </r>
  <r>
    <n v="13367"/>
    <n v="13368"/>
    <x v="1"/>
    <s v="NJ-00033"/>
    <s v="OCEAN TOWNSHIP"/>
    <n v="7712"/>
    <s v="MONMOUTH"/>
    <s v="NJ"/>
    <n v="45484"/>
    <n v="45484"/>
    <n v="0"/>
    <n v="14000"/>
    <n v="14000"/>
    <n v="0"/>
  </r>
  <r>
    <n v="13367"/>
    <n v="13368"/>
    <x v="1"/>
    <s v="NJ-00033"/>
    <s v="OCEAN VIEW"/>
    <n v="8230"/>
    <s v="CAPE MAY"/>
    <s v="NJ"/>
    <n v="53338"/>
    <n v="53338"/>
    <n v="0"/>
    <n v="28100"/>
    <n v="28100"/>
    <n v="0"/>
  </r>
  <r>
    <n v="13367"/>
    <n v="13368"/>
    <x v="1"/>
    <s v="NJ-00033"/>
    <s v="OCEANGATE"/>
    <n v="8740"/>
    <s v="OCEAN"/>
    <s v="NJ"/>
    <n v="19905"/>
    <n v="0"/>
    <n v="19905"/>
    <n v="0"/>
    <n v="0"/>
    <n v="0"/>
  </r>
  <r>
    <n v="13367"/>
    <n v="13368"/>
    <x v="1"/>
    <s v="NJ-00033"/>
    <s v="OCEANPORT"/>
    <n v="7757"/>
    <s v="MONMOUTH"/>
    <s v="NJ"/>
    <n v="32968724"/>
    <n v="24073834"/>
    <n v="8894890"/>
    <n v="15982900"/>
    <n v="11614400"/>
    <n v="4368500"/>
  </r>
  <r>
    <n v="13367"/>
    <n v="13368"/>
    <x v="1"/>
    <s v="NJ-00033"/>
    <s v="OLD BRIDGE"/>
    <n v="7747"/>
    <s v="MIDDLESEX"/>
    <s v="NJ"/>
    <n v="30055"/>
    <n v="16055"/>
    <n v="14000"/>
    <n v="0"/>
    <n v="0"/>
    <n v="0"/>
  </r>
  <r>
    <n v="13367"/>
    <n v="13368"/>
    <x v="1"/>
    <s v="NJ-00033"/>
    <s v="OLD BRIDGE"/>
    <n v="8857"/>
    <s v="MIDDLESEX"/>
    <s v="NJ"/>
    <n v="1189962"/>
    <n v="957160"/>
    <n v="232802"/>
    <n v="496000"/>
    <n v="377100"/>
    <n v="118900"/>
  </r>
  <r>
    <n v="13367"/>
    <n v="13368"/>
    <x v="1"/>
    <s v="NJ-00033"/>
    <s v="OLD TAPPAN"/>
    <n v="7675"/>
    <s v="BERGEN"/>
    <s v="NJ"/>
    <n v="32031"/>
    <n v="32031"/>
    <n v="0"/>
    <n v="29100"/>
    <n v="29100"/>
    <n v="0"/>
  </r>
  <r>
    <n v="13367"/>
    <n v="13368"/>
    <x v="1"/>
    <s v="NJ-00033"/>
    <s v="ORADELL"/>
    <n v="7649"/>
    <s v="BERGEN"/>
    <s v="NJ"/>
    <n v="19145"/>
    <n v="18620"/>
    <n v="525"/>
    <n v="13900"/>
    <n v="13400"/>
    <n v="500"/>
  </r>
  <r>
    <n v="13367"/>
    <n v="13368"/>
    <x v="1"/>
    <s v="NJ-00033"/>
    <s v="ORANGE"/>
    <n v="7050"/>
    <s v="ESSEX"/>
    <s v="NJ"/>
    <n v="191619"/>
    <n v="156619"/>
    <n v="35000"/>
    <n v="81200"/>
    <n v="66700"/>
    <n v="14500"/>
  </r>
  <r>
    <n v="13367"/>
    <n v="13368"/>
    <x v="1"/>
    <s v="NJ-00033"/>
    <s v="ORTELY BEACH"/>
    <n v="8751"/>
    <s v="OCEAN"/>
    <s v="NJ"/>
    <n v="123582"/>
    <n v="96982"/>
    <n v="26600"/>
    <n v="94700"/>
    <n v="68100"/>
    <n v="26600"/>
  </r>
  <r>
    <n v="13367"/>
    <n v="13368"/>
    <x v="1"/>
    <s v="NJ-00033"/>
    <s v="ORTLEY BEACH"/>
    <n v="7083"/>
    <s v="OCEAN"/>
    <s v="NJ"/>
    <n v="98939"/>
    <n v="62014"/>
    <n v="36925"/>
    <n v="0"/>
    <n v="0"/>
    <n v="0"/>
  </r>
  <r>
    <n v="13367"/>
    <n v="13368"/>
    <x v="1"/>
    <s v="NJ-00033"/>
    <s v="ORTLEY BEACH"/>
    <n v="8735"/>
    <s v="OCEAN"/>
    <s v="NJ"/>
    <n v="91328"/>
    <n v="47528"/>
    <n v="43800"/>
    <n v="0"/>
    <n v="0"/>
    <n v="0"/>
  </r>
  <r>
    <n v="13367"/>
    <n v="13368"/>
    <x v="1"/>
    <s v="NJ-00033"/>
    <s v="ORTLEY BEACH"/>
    <n v="8751"/>
    <s v="BERGEN"/>
    <s v="NJ"/>
    <n v="88169"/>
    <n v="67769"/>
    <n v="20400"/>
    <n v="0"/>
    <n v="0"/>
    <n v="0"/>
  </r>
  <r>
    <n v="13367"/>
    <n v="13368"/>
    <x v="1"/>
    <s v="NJ-00033"/>
    <s v="ORTLEY BEACH"/>
    <n v="8751"/>
    <s v="OCEAN"/>
    <s v="NJ"/>
    <n v="25178610"/>
    <n v="19107961"/>
    <n v="6070649"/>
    <n v="8944600"/>
    <n v="6409000"/>
    <n v="2535600"/>
  </r>
  <r>
    <n v="13367"/>
    <n v="13368"/>
    <x v="1"/>
    <s v="NJ-00033"/>
    <s v="ORTLEY BEACH"/>
    <n v="8751"/>
    <s v="SOMERSET"/>
    <s v="NJ"/>
    <n v="2660"/>
    <n v="0"/>
    <n v="2660"/>
    <n v="0"/>
    <n v="0"/>
    <n v="0"/>
  </r>
  <r>
    <n v="13367"/>
    <n v="13368"/>
    <x v="1"/>
    <s v="NJ-00033"/>
    <s v="ORTLEY BEACH"/>
    <n v="8752"/>
    <s v="OCEAN"/>
    <s v="NJ"/>
    <n v="151322"/>
    <n v="91822"/>
    <n v="59500"/>
    <n v="0"/>
    <n v="0"/>
    <n v="0"/>
  </r>
  <r>
    <n v="13367"/>
    <n v="13368"/>
    <x v="1"/>
    <s v="NJ-00033"/>
    <s v="ORTLEY BEACH"/>
    <n v="8753"/>
    <s v="OCEAN"/>
    <s v="NJ"/>
    <n v="580251"/>
    <n v="465601"/>
    <n v="114650"/>
    <n v="0"/>
    <n v="0"/>
    <n v="0"/>
  </r>
  <r>
    <n v="13367"/>
    <n v="13368"/>
    <x v="1"/>
    <s v="NJ-00033"/>
    <s v="ORTLEY BEACH"/>
    <n v="8901"/>
    <s v="OCEAN"/>
    <s v="NJ"/>
    <n v="41825"/>
    <n v="17325"/>
    <n v="24500"/>
    <n v="0"/>
    <n v="0"/>
    <n v="0"/>
  </r>
  <r>
    <n v="13367"/>
    <n v="13368"/>
    <x v="1"/>
    <s v="NJ-00033"/>
    <s v="ORTLEY BEACH TOMS RVR TWNSHP"/>
    <n v="8751"/>
    <s v="OCEAN"/>
    <s v="NJ"/>
    <n v="119693"/>
    <n v="78383"/>
    <n v="41310"/>
    <n v="0"/>
    <n v="0"/>
    <n v="0"/>
  </r>
  <r>
    <n v="13367"/>
    <n v="13368"/>
    <x v="1"/>
    <s v="NJ-00033"/>
    <s v="ORTLEY BECH"/>
    <n v="8751"/>
    <s v="OCEAN"/>
    <s v="NJ"/>
    <n v="10766"/>
    <n v="2766"/>
    <n v="8000"/>
    <n v="8000"/>
    <n v="0"/>
    <n v="8000"/>
  </r>
  <r>
    <n v="13367"/>
    <n v="13368"/>
    <x v="1"/>
    <s v="NJ-00033"/>
    <s v="ORTLY BEACH"/>
    <n v="8751"/>
    <s v="OCEAN"/>
    <s v="NJ"/>
    <n v="5650"/>
    <n v="0"/>
    <n v="5650"/>
    <n v="0"/>
    <n v="0"/>
    <n v="0"/>
  </r>
  <r>
    <n v="13367"/>
    <n v="13368"/>
    <x v="1"/>
    <s v="NJ-00033"/>
    <s v="OXFORD"/>
    <n v="7863"/>
    <s v="WARREN"/>
    <s v="NJ"/>
    <n v="305764"/>
    <n v="304464"/>
    <n v="1300"/>
    <n v="201300"/>
    <n v="200000"/>
    <n v="1300"/>
  </r>
  <r>
    <n v="13367"/>
    <n v="13368"/>
    <x v="1"/>
    <s v="NJ-00033"/>
    <s v="PALISADES PARK"/>
    <n v="7650"/>
    <s v="OCEAN"/>
    <s v="NJ"/>
    <n v="53779"/>
    <n v="42549"/>
    <n v="11230"/>
    <n v="0"/>
    <n v="0"/>
    <n v="0"/>
  </r>
  <r>
    <n v="13367"/>
    <n v="13368"/>
    <x v="1"/>
    <s v="NJ-00033"/>
    <s v="PARAMUS"/>
    <n v="7652"/>
    <s v="BERGEN"/>
    <s v="NJ"/>
    <n v="66751"/>
    <n v="66251"/>
    <n v="500"/>
    <n v="46800"/>
    <n v="46300"/>
    <n v="500"/>
  </r>
  <r>
    <n v="13367"/>
    <n v="13368"/>
    <x v="1"/>
    <s v="NJ-00033"/>
    <s v="PARK RIDGE"/>
    <n v="7656"/>
    <s v="BERGEN"/>
    <s v="NJ"/>
    <n v="158733"/>
    <n v="130568"/>
    <n v="28165"/>
    <n v="63400"/>
    <n v="38900"/>
    <n v="24500"/>
  </r>
  <r>
    <n v="13367"/>
    <n v="13368"/>
    <x v="1"/>
    <s v="NJ-00033"/>
    <s v="PARLIN"/>
    <n v="8859"/>
    <s v="MIDDLESEX"/>
    <s v="NJ"/>
    <n v="240309"/>
    <n v="178943"/>
    <n v="61366"/>
    <n v="175800"/>
    <n v="146400"/>
    <n v="29400"/>
  </r>
  <r>
    <n v="13367"/>
    <n v="13368"/>
    <x v="1"/>
    <s v="NJ-00033"/>
    <s v="PARSIPPANY"/>
    <n v="7054"/>
    <s v="MORRIS"/>
    <s v="NJ"/>
    <n v="45594"/>
    <n v="43719"/>
    <n v="1875"/>
    <n v="13900"/>
    <n v="12500"/>
    <n v="1400"/>
  </r>
  <r>
    <n v="13367"/>
    <n v="13368"/>
    <x v="1"/>
    <s v="NJ-00033"/>
    <s v="PARSIPPANY-TROY HILLS"/>
    <n v="7954"/>
    <s v="MORRIS"/>
    <s v="NJ"/>
    <n v="48877"/>
    <n v="36357"/>
    <n v="12520"/>
    <n v="0"/>
    <n v="0"/>
    <n v="0"/>
  </r>
  <r>
    <n v="13367"/>
    <n v="13368"/>
    <x v="1"/>
    <s v="NJ-00033"/>
    <s v="PASSAIC"/>
    <n v="7055"/>
    <s v="PASSAIC"/>
    <s v="NJ"/>
    <n v="213723"/>
    <n v="147648"/>
    <n v="66075"/>
    <n v="102100"/>
    <n v="87800"/>
    <n v="14300"/>
  </r>
  <r>
    <n v="13367"/>
    <n v="13368"/>
    <x v="1"/>
    <s v="NJ-00033"/>
    <s v="PATERSON"/>
    <n v="7501"/>
    <s v="PASSAIC"/>
    <s v="NJ"/>
    <n v="79176"/>
    <n v="51426"/>
    <n v="27750"/>
    <n v="27600"/>
    <n v="19500"/>
    <n v="8100"/>
  </r>
  <r>
    <n v="13367"/>
    <n v="13368"/>
    <x v="1"/>
    <s v="NJ-00033"/>
    <s v="PATERSON"/>
    <n v="7502"/>
    <s v="PASSAIC"/>
    <s v="NJ"/>
    <n v="91328"/>
    <n v="90828"/>
    <n v="500"/>
    <n v="32400"/>
    <n v="31900"/>
    <n v="500"/>
  </r>
  <r>
    <n v="13367"/>
    <n v="13368"/>
    <x v="1"/>
    <s v="NJ-00033"/>
    <s v="PATERSON"/>
    <n v="7503"/>
    <s v="PASSAIC"/>
    <s v="NJ"/>
    <n v="4550"/>
    <n v="0"/>
    <n v="4550"/>
    <n v="0"/>
    <n v="0"/>
    <n v="0"/>
  </r>
  <r>
    <n v="13367"/>
    <n v="13368"/>
    <x v="1"/>
    <s v="NJ-00033"/>
    <s v="PATERSON"/>
    <n v="7513"/>
    <s v="PASSAIC"/>
    <s v="NJ"/>
    <n v="58425"/>
    <n v="0"/>
    <n v="58425"/>
    <n v="14000"/>
    <n v="0"/>
    <n v="14000"/>
  </r>
  <r>
    <n v="13367"/>
    <n v="13368"/>
    <x v="1"/>
    <s v="NJ-00033"/>
    <s v="PATERSON"/>
    <n v="7514"/>
    <s v="PASSAIC"/>
    <s v="NJ"/>
    <n v="16697"/>
    <n v="16697"/>
    <n v="0"/>
    <n v="14000"/>
    <n v="14000"/>
    <n v="0"/>
  </r>
  <r>
    <n v="13367"/>
    <n v="13368"/>
    <x v="1"/>
    <s v="NJ-00033"/>
    <s v="PATERSON"/>
    <n v="7522"/>
    <s v="HUDSON"/>
    <s v="NJ"/>
    <n v="4700"/>
    <n v="0"/>
    <n v="4700"/>
    <n v="0"/>
    <n v="0"/>
    <n v="0"/>
  </r>
  <r>
    <n v="13367"/>
    <n v="13368"/>
    <x v="1"/>
    <s v="NJ-00033"/>
    <s v="PATERSON"/>
    <n v="7522"/>
    <s v="PASSAIC"/>
    <s v="NJ"/>
    <n v="109895"/>
    <n v="102275"/>
    <n v="7620"/>
    <n v="39000"/>
    <n v="39000"/>
    <n v="0"/>
  </r>
  <r>
    <n v="13367"/>
    <n v="13368"/>
    <x v="1"/>
    <s v="NJ-00033"/>
    <s v="PATERSON"/>
    <n v="7524"/>
    <s v="PASSAIC"/>
    <s v="NJ"/>
    <n v="219150"/>
    <n v="179050"/>
    <n v="40100"/>
    <n v="12000"/>
    <n v="10200"/>
    <n v="1800"/>
  </r>
  <r>
    <n v="13367"/>
    <n v="13368"/>
    <x v="1"/>
    <s v="NJ-00033"/>
    <s v="PEAHALA PARK"/>
    <n v="8008"/>
    <s v="OCEAN"/>
    <s v="NJ"/>
    <n v="287271"/>
    <n v="221791"/>
    <n v="65480"/>
    <n v="164000"/>
    <n v="124000"/>
    <n v="40000"/>
  </r>
  <r>
    <n v="13367"/>
    <n v="13368"/>
    <x v="1"/>
    <s v="NJ-00033"/>
    <s v="PEAPACK"/>
    <n v="7977"/>
    <s v="SOMERSET"/>
    <s v="NJ"/>
    <n v="87432"/>
    <n v="71432"/>
    <n v="16000"/>
    <n v="50800"/>
    <n v="50800"/>
    <n v="0"/>
  </r>
  <r>
    <n v="13367"/>
    <n v="13368"/>
    <x v="1"/>
    <s v="NJ-00033"/>
    <s v="PELICAN ISLAND"/>
    <n v="8751"/>
    <s v="OCEAN"/>
    <s v="NJ"/>
    <n v="1100768"/>
    <n v="812638"/>
    <n v="288130"/>
    <n v="346500"/>
    <n v="217900"/>
    <n v="128600"/>
  </r>
  <r>
    <n v="13367"/>
    <n v="13368"/>
    <x v="1"/>
    <s v="NJ-00033"/>
    <s v="PEMBERTON"/>
    <n v="8068"/>
    <s v="BURLINGTON"/>
    <s v="NJ"/>
    <n v="24379"/>
    <n v="22439"/>
    <n v="1940"/>
    <n v="22200"/>
    <n v="20300"/>
    <n v="1900"/>
  </r>
  <r>
    <n v="13367"/>
    <n v="13368"/>
    <x v="1"/>
    <s v="NJ-00033"/>
    <s v="PENNINGTON"/>
    <n v="8534"/>
    <s v="MERCER"/>
    <s v="NJ"/>
    <n v="47190"/>
    <n v="42312"/>
    <n v="4878"/>
    <n v="15400"/>
    <n v="15000"/>
    <n v="400"/>
  </r>
  <r>
    <n v="13367"/>
    <n v="13368"/>
    <x v="1"/>
    <s v="NJ-00033"/>
    <s v="PENNS GROVE"/>
    <n v="8069"/>
    <s v="SALEM"/>
    <s v="NJ"/>
    <n v="553463"/>
    <n v="404353"/>
    <n v="149110"/>
    <n v="314400"/>
    <n v="227400"/>
    <n v="87000"/>
  </r>
  <r>
    <n v="13367"/>
    <n v="13368"/>
    <x v="1"/>
    <s v="NJ-00033"/>
    <s v="PENNSAUKEN"/>
    <n v="8109"/>
    <s v="CAMDEN"/>
    <s v="NJ"/>
    <n v="54703"/>
    <n v="51128"/>
    <n v="3575"/>
    <n v="26500"/>
    <n v="23200"/>
    <n v="3300"/>
  </r>
  <r>
    <n v="13367"/>
    <n v="13368"/>
    <x v="1"/>
    <s v="NJ-00033"/>
    <s v="PENNSAUKEN"/>
    <n v="8110"/>
    <s v="CAMDEN"/>
    <s v="NJ"/>
    <n v="50332"/>
    <n v="39057"/>
    <n v="11275"/>
    <n v="45000"/>
    <n v="33800"/>
    <n v="11200"/>
  </r>
  <r>
    <n v="13367"/>
    <n v="13368"/>
    <x v="1"/>
    <s v="NJ-00033"/>
    <s v="PENNSGROVE"/>
    <n v="8069"/>
    <s v="SALEM"/>
    <s v="NJ"/>
    <n v="15250"/>
    <n v="0"/>
    <n v="15250"/>
    <n v="0"/>
    <n v="0"/>
    <n v="0"/>
  </r>
  <r>
    <n v="13367"/>
    <n v="13368"/>
    <x v="1"/>
    <s v="NJ-00033"/>
    <s v="PENNSVILLE"/>
    <n v="8070"/>
    <s v="SALEM"/>
    <s v="NJ"/>
    <n v="261454"/>
    <n v="203073"/>
    <n v="58381"/>
    <n v="51000"/>
    <n v="12500"/>
    <n v="38500"/>
  </r>
  <r>
    <n v="13367"/>
    <n v="13368"/>
    <x v="1"/>
    <s v="NJ-00033"/>
    <s v="PEQUANNOCK"/>
    <n v="7440"/>
    <s v="MORRIS"/>
    <s v="NJ"/>
    <n v="12563"/>
    <n v="12563"/>
    <n v="0"/>
    <n v="0"/>
    <n v="0"/>
    <n v="0"/>
  </r>
  <r>
    <n v="13367"/>
    <n v="13368"/>
    <x v="1"/>
    <s v="NJ-00033"/>
    <s v="PERRINEVILLE"/>
    <n v="8535"/>
    <s v="MONMOUTH"/>
    <s v="NJ"/>
    <n v="41866"/>
    <n v="38966"/>
    <n v="2900"/>
    <n v="28200"/>
    <n v="25300"/>
    <n v="2900"/>
  </r>
  <r>
    <n v="13367"/>
    <n v="13368"/>
    <x v="1"/>
    <s v="NJ-00033"/>
    <s v="PERTH AMBOY"/>
    <n v="8861"/>
    <s v="MIDDLESEX"/>
    <s v="NJ"/>
    <n v="691169"/>
    <n v="501409"/>
    <n v="189760"/>
    <n v="339000"/>
    <n v="227500"/>
    <n v="111500"/>
  </r>
  <r>
    <n v="13367"/>
    <n v="13368"/>
    <x v="1"/>
    <s v="NJ-00033"/>
    <s v="PETERSBURG"/>
    <n v="8270"/>
    <s v="CAPE MAY"/>
    <s v="NJ"/>
    <n v="27611"/>
    <n v="27611"/>
    <n v="0"/>
    <n v="26500"/>
    <n v="26500"/>
    <n v="0"/>
  </r>
  <r>
    <n v="13367"/>
    <n v="13368"/>
    <x v="1"/>
    <s v="NJ-00033"/>
    <s v="PHILLIPSBURG"/>
    <n v="8865"/>
    <s v="WARREN"/>
    <s v="NJ"/>
    <n v="221327"/>
    <n v="197052"/>
    <n v="24275"/>
    <n v="100200"/>
    <n v="77000"/>
    <n v="23200"/>
  </r>
  <r>
    <n v="13367"/>
    <n v="13368"/>
    <x v="1"/>
    <s v="NJ-00033"/>
    <s v="PINE BEACH"/>
    <n v="8741"/>
    <s v="OCEAN"/>
    <s v="NJ"/>
    <n v="1489220"/>
    <n v="1071055"/>
    <n v="418165"/>
    <n v="651100"/>
    <n v="474100"/>
    <n v="177000"/>
  </r>
  <r>
    <n v="13367"/>
    <n v="13368"/>
    <x v="1"/>
    <s v="NJ-00033"/>
    <s v="PINE BROOK"/>
    <n v="7058"/>
    <s v="MORRIS"/>
    <s v="NJ"/>
    <n v="29845"/>
    <n v="29845"/>
    <n v="0"/>
    <n v="27100"/>
    <n v="27100"/>
    <n v="0"/>
  </r>
  <r>
    <n v="13367"/>
    <n v="13368"/>
    <x v="1"/>
    <s v="NJ-00033"/>
    <s v="PISCATAWAY"/>
    <n v="8854"/>
    <s v="MIDDLESEX"/>
    <s v="NJ"/>
    <n v="749021"/>
    <n v="679772"/>
    <n v="69249"/>
    <n v="309800"/>
    <n v="275800"/>
    <n v="34000"/>
  </r>
  <r>
    <n v="13367"/>
    <n v="13368"/>
    <x v="1"/>
    <s v="NJ-00033"/>
    <s v="PITTSTOWN"/>
    <n v="8826"/>
    <s v="HUNTERDON"/>
    <s v="NJ"/>
    <n v="82735"/>
    <n v="72735"/>
    <n v="10000"/>
    <n v="0"/>
    <n v="0"/>
    <n v="0"/>
  </r>
  <r>
    <n v="13367"/>
    <n v="13368"/>
    <x v="1"/>
    <s v="NJ-00033"/>
    <s v="PLAINFIELD"/>
    <n v="7060"/>
    <s v="UNION"/>
    <s v="NJ"/>
    <n v="627811"/>
    <n v="602031"/>
    <n v="25780"/>
    <n v="150000"/>
    <n v="149100"/>
    <n v="900"/>
  </r>
  <r>
    <n v="13367"/>
    <n v="13368"/>
    <x v="1"/>
    <s v="NJ-00033"/>
    <s v="PLAINFIELD"/>
    <n v="7062"/>
    <s v="HUDSON"/>
    <s v="NJ"/>
    <n v="3000"/>
    <n v="0"/>
    <n v="3000"/>
    <n v="0"/>
    <n v="0"/>
    <n v="0"/>
  </r>
  <r>
    <n v="13367"/>
    <n v="13368"/>
    <x v="1"/>
    <s v="NJ-00033"/>
    <s v="PLAINFIELD"/>
    <n v="7062"/>
    <s v="UNION"/>
    <s v="NJ"/>
    <n v="317447"/>
    <n v="301969"/>
    <n v="15478"/>
    <n v="142400"/>
    <n v="136900"/>
    <n v="5500"/>
  </r>
  <r>
    <n v="13367"/>
    <n v="13368"/>
    <x v="1"/>
    <s v="NJ-00033"/>
    <s v="PLAINFIELD"/>
    <n v="7063"/>
    <s v="UNION"/>
    <s v="NJ"/>
    <n v="79357"/>
    <n v="79007"/>
    <n v="350"/>
    <n v="34000"/>
    <n v="33600"/>
    <n v="400"/>
  </r>
  <r>
    <n v="13367"/>
    <n v="13368"/>
    <x v="1"/>
    <s v="NJ-00033"/>
    <s v="PLAINSBORO"/>
    <n v="8536"/>
    <s v="MIDDLESEX"/>
    <s v="NJ"/>
    <n v="25131"/>
    <n v="21431"/>
    <n v="3700"/>
    <n v="17700"/>
    <n v="14000"/>
    <n v="3700"/>
  </r>
  <r>
    <n v="13367"/>
    <n v="13368"/>
    <x v="1"/>
    <s v="NJ-00033"/>
    <s v="PLEASANTVILLE"/>
    <n v="8232"/>
    <s v="ATLANTIC"/>
    <s v="NJ"/>
    <n v="4676235"/>
    <n v="3529711"/>
    <n v="1146524"/>
    <n v="1456700"/>
    <n v="991500"/>
    <n v="465200"/>
  </r>
  <r>
    <n v="13367"/>
    <n v="13368"/>
    <x v="1"/>
    <s v="NJ-00033"/>
    <s v="POINT  PLEASANT"/>
    <n v="8742"/>
    <s v="OCEAN"/>
    <s v="NJ"/>
    <n v="56453"/>
    <n v="56453"/>
    <n v="0"/>
    <n v="18200"/>
    <n v="18200"/>
    <n v="0"/>
  </r>
  <r>
    <n v="13367"/>
    <n v="13368"/>
    <x v="1"/>
    <s v="NJ-00033"/>
    <s v="POINT  PLEASANT BEACH"/>
    <n v="8742"/>
    <s v="OCEAN"/>
    <s v="NJ"/>
    <n v="131351"/>
    <n v="96951"/>
    <n v="34400"/>
    <n v="77600"/>
    <n v="43200"/>
    <n v="34400"/>
  </r>
  <r>
    <n v="13367"/>
    <n v="13368"/>
    <x v="1"/>
    <s v="NJ-00033"/>
    <s v="POINT PLACE"/>
    <n v="8742"/>
    <s v="OCEAN"/>
    <s v="NJ"/>
    <n v="382676"/>
    <n v="326326"/>
    <n v="56350"/>
    <n v="240000"/>
    <n v="200000"/>
    <n v="40000"/>
  </r>
  <r>
    <n v="13367"/>
    <n v="13368"/>
    <x v="1"/>
    <s v="NJ-00033"/>
    <s v="POINT PLEASANT"/>
    <n v="8724"/>
    <s v="OCEAN"/>
    <s v="NJ"/>
    <n v="108821"/>
    <n v="77471"/>
    <n v="31350"/>
    <n v="0"/>
    <n v="0"/>
    <n v="0"/>
  </r>
  <r>
    <n v="13367"/>
    <n v="13368"/>
    <x v="1"/>
    <s v="NJ-00033"/>
    <s v="POINT PLEASANT"/>
    <n v="8742"/>
    <s v="OCEAN"/>
    <s v="NJ"/>
    <n v="19039787"/>
    <n v="13401134"/>
    <n v="5638653"/>
    <n v="7405800"/>
    <n v="5064600"/>
    <n v="2341200"/>
  </r>
  <r>
    <n v="13367"/>
    <n v="13368"/>
    <x v="1"/>
    <s v="NJ-00033"/>
    <s v="POINT PLEASANT  BEACH"/>
    <n v="8742"/>
    <s v="OCEAN"/>
    <s v="NJ"/>
    <n v="109116"/>
    <n v="66741"/>
    <n v="42375"/>
    <n v="30400"/>
    <n v="1600"/>
    <n v="28800"/>
  </r>
  <r>
    <n v="13367"/>
    <n v="13368"/>
    <x v="1"/>
    <s v="NJ-00033"/>
    <s v="POINT PLEASANT BCH"/>
    <n v="8742"/>
    <s v="OCEAN"/>
    <s v="NJ"/>
    <n v="346804"/>
    <n v="243839"/>
    <n v="102965"/>
    <n v="248400"/>
    <n v="168400"/>
    <n v="80000"/>
  </r>
  <r>
    <n v="13367"/>
    <n v="13368"/>
    <x v="1"/>
    <s v="NJ-00033"/>
    <s v="POINT PLEASANT BEACH"/>
    <n v="7842"/>
    <s v="OCEAN"/>
    <s v="NJ"/>
    <n v="279927"/>
    <n v="186377"/>
    <n v="93550"/>
    <n v="40000"/>
    <n v="0"/>
    <n v="40000"/>
  </r>
  <r>
    <n v="13367"/>
    <n v="13368"/>
    <x v="1"/>
    <s v="NJ-00033"/>
    <s v="POINT PLEASANT BEACH"/>
    <n v="8060"/>
    <s v="OCEAN"/>
    <s v="NJ"/>
    <n v="42979"/>
    <n v="7679"/>
    <n v="35300"/>
    <n v="35300"/>
    <n v="0"/>
    <n v="35300"/>
  </r>
  <r>
    <n v="13367"/>
    <n v="13368"/>
    <x v="1"/>
    <s v="NJ-00033"/>
    <s v="POINT PLEASANT BEACH"/>
    <n v="8742"/>
    <s v="MERCER"/>
    <s v="NJ"/>
    <n v="62866"/>
    <n v="62866"/>
    <n v="0"/>
    <n v="62900"/>
    <n v="62900"/>
    <n v="0"/>
  </r>
  <r>
    <n v="13367"/>
    <n v="13368"/>
    <x v="1"/>
    <s v="NJ-00033"/>
    <s v="POINT PLEASANT BEACH"/>
    <n v="8742"/>
    <s v="MONMOUTH"/>
    <s v="NJ"/>
    <n v="230974"/>
    <n v="214999"/>
    <n v="15975"/>
    <n v="200000"/>
    <n v="200000"/>
    <n v="0"/>
  </r>
  <r>
    <n v="13367"/>
    <n v="13368"/>
    <x v="1"/>
    <s v="NJ-00033"/>
    <s v="POINT PLEASANT BEACH"/>
    <n v="8742"/>
    <s v="OCEAN"/>
    <s v="NJ"/>
    <n v="24339914"/>
    <n v="17336663"/>
    <n v="7003251"/>
    <n v="9892600"/>
    <n v="6364900"/>
    <n v="3527700"/>
  </r>
  <r>
    <n v="13367"/>
    <n v="13368"/>
    <x v="1"/>
    <s v="NJ-00033"/>
    <s v="POINT PLEASANT BORO"/>
    <n v="8742"/>
    <s v="OCEAN"/>
    <s v="NJ"/>
    <n v="14057896"/>
    <n v="10295072"/>
    <n v="3762824"/>
    <n v="5529300"/>
    <n v="3962500"/>
    <n v="1566800"/>
  </r>
  <r>
    <n v="13367"/>
    <n v="13368"/>
    <x v="1"/>
    <s v="NJ-00033"/>
    <s v="POINT PLEASANT BOROUGH"/>
    <n v="8742"/>
    <s v="OCEAN"/>
    <s v="NJ"/>
    <n v="179471"/>
    <n v="124541"/>
    <n v="54930"/>
    <n v="129300"/>
    <n v="107700"/>
    <n v="21600"/>
  </r>
  <r>
    <n v="13367"/>
    <n v="13368"/>
    <x v="1"/>
    <s v="NJ-00033"/>
    <s v="POINT PLEASENT BEACH"/>
    <n v="8742"/>
    <s v="OCEAN"/>
    <s v="NJ"/>
    <n v="77586"/>
    <n v="64086"/>
    <n v="13500"/>
    <n v="0"/>
    <n v="0"/>
    <n v="0"/>
  </r>
  <r>
    <n v="13367"/>
    <n v="13368"/>
    <x v="1"/>
    <s v="NJ-00033"/>
    <s v="POINT PLESANT"/>
    <n v="8742"/>
    <s v="OCEAN"/>
    <s v="NJ"/>
    <n v="635972"/>
    <n v="513497"/>
    <n v="122475"/>
    <n v="0"/>
    <n v="0"/>
    <n v="0"/>
  </r>
  <r>
    <n v="13367"/>
    <n v="13368"/>
    <x v="1"/>
    <s v="NJ-00033"/>
    <s v="POMPTON LAKES"/>
    <n v="7442"/>
    <s v="PASSAIC"/>
    <s v="NJ"/>
    <n v="67564"/>
    <n v="62964"/>
    <n v="4600"/>
    <n v="31300"/>
    <n v="31300"/>
    <n v="0"/>
  </r>
  <r>
    <n v="13367"/>
    <n v="13368"/>
    <x v="1"/>
    <s v="NJ-00033"/>
    <s v="POMPTON PLAINS"/>
    <n v="7444"/>
    <s v="MORRIS"/>
    <s v="NJ"/>
    <n v="7407"/>
    <n v="6907"/>
    <n v="500"/>
    <n v="0"/>
    <n v="0"/>
    <n v="0"/>
  </r>
  <r>
    <n v="13367"/>
    <n v="13368"/>
    <x v="1"/>
    <s v="NJ-00033"/>
    <s v="PORT MONMOUTH"/>
    <n v="7748"/>
    <s v="MONMOUTH"/>
    <s v="NJ"/>
    <n v="23155"/>
    <n v="20905"/>
    <n v="2250"/>
    <n v="7300"/>
    <n v="5000"/>
    <n v="2300"/>
  </r>
  <r>
    <n v="13367"/>
    <n v="13368"/>
    <x v="1"/>
    <s v="NJ-00033"/>
    <s v="PORT MONMOUTH"/>
    <n v="7758"/>
    <s v="MIDDLESEX"/>
    <s v="NJ"/>
    <n v="70741"/>
    <n v="54141"/>
    <n v="16600"/>
    <n v="35600"/>
    <n v="19000"/>
    <n v="16600"/>
  </r>
  <r>
    <n v="13367"/>
    <n v="13368"/>
    <x v="1"/>
    <s v="NJ-00033"/>
    <s v="PORT MONMOUTH"/>
    <n v="7758"/>
    <s v="MONMOUTH"/>
    <s v="NJ"/>
    <n v="22840085"/>
    <n v="16281995"/>
    <n v="6558090"/>
    <n v="10557400"/>
    <n v="6699100"/>
    <n v="3849800"/>
  </r>
  <r>
    <n v="13367"/>
    <n v="13368"/>
    <x v="1"/>
    <s v="NJ-00033"/>
    <s v="PORT MONMOUTH"/>
    <n v="7758"/>
    <s v="MORRIS"/>
    <s v="NJ"/>
    <n v="114507"/>
    <n v="99845"/>
    <n v="14662"/>
    <n v="0"/>
    <n v="0"/>
    <n v="0"/>
  </r>
  <r>
    <n v="13367"/>
    <n v="13368"/>
    <x v="1"/>
    <s v="NJ-00033"/>
    <s v="PORT NEWARK"/>
    <n v="7114"/>
    <s v="ESSEX"/>
    <s v="NJ"/>
    <n v="4500"/>
    <n v="0"/>
    <n v="4500"/>
    <n v="4500"/>
    <n v="0"/>
    <n v="4500"/>
  </r>
  <r>
    <n v="13367"/>
    <n v="13368"/>
    <x v="1"/>
    <s v="NJ-00033"/>
    <s v="PORT NORRIS"/>
    <n v="8349"/>
    <s v="CUMBERLAND"/>
    <s v="NJ"/>
    <n v="81146"/>
    <n v="56096"/>
    <n v="25050"/>
    <n v="6200"/>
    <n v="3800"/>
    <n v="2400"/>
  </r>
  <r>
    <n v="13367"/>
    <n v="13368"/>
    <x v="1"/>
    <s v="NJ-00033"/>
    <s v="PORT READING"/>
    <n v="7064"/>
    <s v="MIDDLESEX"/>
    <s v="NJ"/>
    <n v="664897"/>
    <n v="443647"/>
    <n v="221250"/>
    <n v="232300"/>
    <n v="144500"/>
    <n v="87800"/>
  </r>
  <r>
    <n v="13367"/>
    <n v="13368"/>
    <x v="1"/>
    <s v="NJ-00033"/>
    <s v="PORT REPUBLIC"/>
    <n v="8241"/>
    <s v="ATLANTIC"/>
    <s v="NJ"/>
    <n v="798493"/>
    <n v="674768"/>
    <n v="123725"/>
    <n v="286500"/>
    <n v="226500"/>
    <n v="60000"/>
  </r>
  <r>
    <n v="13367"/>
    <n v="13368"/>
    <x v="1"/>
    <s v="NJ-00033"/>
    <s v="PORTREADING"/>
    <n v="7064"/>
    <s v="MIDDLESEX"/>
    <s v="NJ"/>
    <n v="40466"/>
    <n v="32331"/>
    <n v="8135"/>
    <n v="0"/>
    <n v="0"/>
    <n v="0"/>
  </r>
  <r>
    <n v="13367"/>
    <n v="13368"/>
    <x v="1"/>
    <s v="NJ-00033"/>
    <s v="PPB"/>
    <n v="8742"/>
    <s v="OCEAN"/>
    <s v="NJ"/>
    <n v="10300"/>
    <n v="0"/>
    <n v="10300"/>
    <n v="10300"/>
    <n v="0"/>
    <n v="10300"/>
  </r>
  <r>
    <n v="13367"/>
    <n v="13368"/>
    <x v="1"/>
    <s v="NJ-00033"/>
    <s v="PRINCETON"/>
    <n v="8540"/>
    <s v="MERCER"/>
    <s v="NJ"/>
    <n v="205948"/>
    <n v="175353"/>
    <n v="30595"/>
    <n v="82200"/>
    <n v="61200"/>
    <n v="21000"/>
  </r>
  <r>
    <n v="13367"/>
    <n v="13368"/>
    <x v="1"/>
    <s v="NJ-00033"/>
    <s v="PRINCETON JUNCTION"/>
    <n v="8550"/>
    <s v="MERCER"/>
    <s v="NJ"/>
    <n v="244622"/>
    <n v="236897"/>
    <n v="7725"/>
    <n v="135200"/>
    <n v="127500"/>
    <n v="7700"/>
  </r>
  <r>
    <n v="13367"/>
    <n v="13368"/>
    <x v="1"/>
    <s v="NJ-00033"/>
    <s v="PROSPECT PARK"/>
    <n v="7508"/>
    <s v="PASSAIC"/>
    <s v="NJ"/>
    <n v="97578"/>
    <n v="87178"/>
    <n v="10400"/>
    <n v="0"/>
    <n v="0"/>
    <n v="0"/>
  </r>
  <r>
    <n v="13367"/>
    <n v="13368"/>
    <x v="1"/>
    <s v="NJ-00033"/>
    <s v="PT PLEAS BCH"/>
    <n v="8742"/>
    <s v="OCEAN"/>
    <s v="NJ"/>
    <n v="87019"/>
    <n v="72769"/>
    <n v="14250"/>
    <n v="0"/>
    <n v="0"/>
    <n v="0"/>
  </r>
  <r>
    <n v="13367"/>
    <n v="13368"/>
    <x v="1"/>
    <s v="NJ-00033"/>
    <s v="PT PLEASANT"/>
    <n v="8742"/>
    <s v="OCEAN"/>
    <s v="NJ"/>
    <n v="2441616"/>
    <n v="1727956"/>
    <n v="713660"/>
    <n v="889100"/>
    <n v="599800"/>
    <n v="289300"/>
  </r>
  <r>
    <n v="13367"/>
    <n v="13368"/>
    <x v="1"/>
    <s v="NJ-00033"/>
    <s v="PT PLEASANT BCH"/>
    <n v="8742"/>
    <s v="OCEAN"/>
    <s v="NJ"/>
    <n v="62277"/>
    <n v="48277"/>
    <n v="14000"/>
    <n v="42500"/>
    <n v="29100"/>
    <n v="13400"/>
  </r>
  <r>
    <n v="13367"/>
    <n v="13368"/>
    <x v="1"/>
    <s v="NJ-00033"/>
    <s v="PT PLEASANT BEACH"/>
    <n v="8742"/>
    <s v="OCEAN"/>
    <s v="NJ"/>
    <n v="2682594"/>
    <n v="1943178"/>
    <n v="739416"/>
    <n v="1058000"/>
    <n v="721500"/>
    <n v="336500"/>
  </r>
  <r>
    <n v="13367"/>
    <n v="13368"/>
    <x v="1"/>
    <s v="NJ-00033"/>
    <s v="PT PLEASANT BORO"/>
    <n v="8742"/>
    <s v="OCEAN"/>
    <s v="NJ"/>
    <n v="152886"/>
    <n v="114536"/>
    <n v="38350"/>
    <n v="0"/>
    <n v="0"/>
    <n v="0"/>
  </r>
  <r>
    <n v="13367"/>
    <n v="13368"/>
    <x v="1"/>
    <s v="NJ-00033"/>
    <s v="PT. PLEASANT"/>
    <n v="8742"/>
    <s v="OCEAN"/>
    <s v="NJ"/>
    <n v="119231"/>
    <n v="78501"/>
    <n v="40730"/>
    <n v="33600"/>
    <n v="17800"/>
    <n v="15800"/>
  </r>
  <r>
    <n v="13367"/>
    <n v="13368"/>
    <x v="1"/>
    <s v="NJ-00033"/>
    <s v="PT. PLEASANT BCH"/>
    <n v="8472"/>
    <s v="OCEAN"/>
    <s v="NJ"/>
    <n v="31649"/>
    <n v="31649"/>
    <n v="0"/>
    <n v="0"/>
    <n v="0"/>
    <n v="0"/>
  </r>
  <r>
    <n v="13367"/>
    <n v="13368"/>
    <x v="1"/>
    <s v="NJ-00033"/>
    <s v="PT. PLEASANT BCH"/>
    <n v="8742"/>
    <s v="OCEAN"/>
    <s v="NJ"/>
    <n v="118427"/>
    <n v="72577"/>
    <n v="45850"/>
    <n v="0"/>
    <n v="0"/>
    <n v="0"/>
  </r>
  <r>
    <n v="13367"/>
    <n v="13368"/>
    <x v="1"/>
    <s v="NJ-00033"/>
    <s v="PT. PLEASANT BCH."/>
    <n v="8742"/>
    <s v="OCEAN"/>
    <s v="NJ"/>
    <n v="19997"/>
    <n v="17297"/>
    <n v="2700"/>
    <n v="0"/>
    <n v="0"/>
    <n v="0"/>
  </r>
  <r>
    <n v="13367"/>
    <n v="13368"/>
    <x v="1"/>
    <s v="NJ-00033"/>
    <s v="PT. PLEASANT BEACH"/>
    <n v="8742"/>
    <s v="OCEAN"/>
    <s v="NJ"/>
    <n v="201118"/>
    <n v="142623"/>
    <n v="58495"/>
    <n v="22700"/>
    <n v="0"/>
    <n v="22700"/>
  </r>
  <r>
    <n v="13367"/>
    <n v="13368"/>
    <x v="1"/>
    <s v="NJ-00033"/>
    <s v="PT.PLEASANT BEACH"/>
    <n v="8742"/>
    <s v="OCEAN"/>
    <s v="NJ"/>
    <n v="177561"/>
    <n v="132511"/>
    <n v="45050"/>
    <n v="0"/>
    <n v="0"/>
    <n v="0"/>
  </r>
  <r>
    <n v="13367"/>
    <n v="13368"/>
    <x v="1"/>
    <s v="NJ-00033"/>
    <s v="RAHWAY"/>
    <n v="7065"/>
    <s v="SOMERSET"/>
    <s v="NJ"/>
    <n v="9650"/>
    <n v="0"/>
    <n v="9650"/>
    <n v="0"/>
    <n v="0"/>
    <n v="0"/>
  </r>
  <r>
    <n v="13367"/>
    <n v="13368"/>
    <x v="1"/>
    <s v="NJ-00033"/>
    <s v="RAHWAY"/>
    <n v="7065"/>
    <s v="UNION"/>
    <s v="NJ"/>
    <n v="1019782"/>
    <n v="704032"/>
    <n v="315750"/>
    <n v="424200"/>
    <n v="276900"/>
    <n v="147300"/>
  </r>
  <r>
    <n v="13367"/>
    <n v="13368"/>
    <x v="1"/>
    <s v="NJ-00033"/>
    <s v="RAMSEY"/>
    <n v="7446"/>
    <s v="BERGEN"/>
    <s v="NJ"/>
    <n v="36360"/>
    <n v="36360"/>
    <n v="0"/>
    <n v="21100"/>
    <n v="21100"/>
    <n v="0"/>
  </r>
  <r>
    <n v="13367"/>
    <n v="13368"/>
    <x v="1"/>
    <s v="NJ-00033"/>
    <s v="RANDOLPH"/>
    <n v="7869"/>
    <s v="MORRIS"/>
    <s v="NJ"/>
    <n v="477572"/>
    <n v="430247"/>
    <n v="47325"/>
    <n v="312300"/>
    <n v="268100"/>
    <n v="44200"/>
  </r>
  <r>
    <n v="13367"/>
    <n v="13368"/>
    <x v="1"/>
    <s v="NJ-00033"/>
    <s v="RARITAN"/>
    <n v="8869"/>
    <s v="SOMERSET"/>
    <s v="NJ"/>
    <n v="104337"/>
    <n v="96957"/>
    <n v="7380"/>
    <n v="81500"/>
    <n v="77000"/>
    <n v="4500"/>
  </r>
  <r>
    <n v="13367"/>
    <n v="13368"/>
    <x v="1"/>
    <s v="NJ-00033"/>
    <s v="RED BANK"/>
    <n v="7701"/>
    <s v="MONMOUTH"/>
    <s v="NJ"/>
    <n v="606263"/>
    <n v="514818"/>
    <n v="91445"/>
    <n v="249000"/>
    <n v="212400"/>
    <n v="36600"/>
  </r>
  <r>
    <n v="13367"/>
    <n v="13368"/>
    <x v="1"/>
    <s v="NJ-00033"/>
    <s v="REEDS BEACH"/>
    <n v="8210"/>
    <s v="CAPE MAY"/>
    <s v="NJ"/>
    <n v="101444"/>
    <n v="95944"/>
    <n v="5500"/>
    <n v="0"/>
    <n v="0"/>
    <n v="0"/>
  </r>
  <r>
    <n v="13367"/>
    <n v="13368"/>
    <x v="1"/>
    <s v="NJ-00033"/>
    <s v="RIDGEFIEJD PARK"/>
    <n v="7660"/>
    <s v="BERGEN"/>
    <s v="NJ"/>
    <n v="42162"/>
    <n v="36322"/>
    <n v="5840"/>
    <n v="0"/>
    <n v="0"/>
    <n v="0"/>
  </r>
  <r>
    <n v="13367"/>
    <n v="13368"/>
    <x v="1"/>
    <s v="NJ-00033"/>
    <s v="RIDGEFIELD"/>
    <n v="7657"/>
    <s v="BERGEN"/>
    <s v="NJ"/>
    <n v="17147"/>
    <n v="12622"/>
    <n v="4525"/>
    <n v="0"/>
    <n v="0"/>
    <n v="0"/>
  </r>
  <r>
    <n v="13367"/>
    <n v="13368"/>
    <x v="1"/>
    <s v="NJ-00033"/>
    <s v="RIDGEFIELD PARK"/>
    <n v="7660"/>
    <s v="BERGEN"/>
    <s v="NJ"/>
    <n v="870911"/>
    <n v="511601"/>
    <n v="359310"/>
    <n v="408900"/>
    <n v="224100"/>
    <n v="184800"/>
  </r>
  <r>
    <n v="13367"/>
    <n v="13368"/>
    <x v="1"/>
    <s v="NJ-00033"/>
    <s v="RIDGEWOOD"/>
    <n v="7450"/>
    <s v="BERGEN"/>
    <s v="NJ"/>
    <n v="355359"/>
    <n v="268734"/>
    <n v="86625"/>
    <n v="85100"/>
    <n v="70700"/>
    <n v="14400"/>
  </r>
  <r>
    <n v="13367"/>
    <n v="13368"/>
    <x v="1"/>
    <s v="NJ-00033"/>
    <s v="RINGOES"/>
    <n v="8551"/>
    <s v="HUNTERDON"/>
    <s v="NJ"/>
    <n v="153823"/>
    <n v="124248"/>
    <n v="29575"/>
    <n v="0"/>
    <n v="0"/>
    <n v="0"/>
  </r>
  <r>
    <n v="13367"/>
    <n v="13368"/>
    <x v="1"/>
    <s v="NJ-00033"/>
    <s v="RIO GRANDE"/>
    <n v="8242"/>
    <s v="CAPE MAY"/>
    <s v="NJ"/>
    <n v="101264"/>
    <n v="99100"/>
    <n v="2164"/>
    <n v="79300"/>
    <n v="77100"/>
    <n v="2200"/>
  </r>
  <r>
    <n v="13367"/>
    <n v="13368"/>
    <x v="1"/>
    <s v="NJ-00033"/>
    <s v="RIVER EDGE"/>
    <n v="7661"/>
    <s v="BERGEN"/>
    <s v="NJ"/>
    <n v="159975"/>
    <n v="132608"/>
    <n v="27367"/>
    <n v="25600"/>
    <n v="6500"/>
    <n v="19100"/>
  </r>
  <r>
    <n v="13367"/>
    <n v="13368"/>
    <x v="1"/>
    <s v="NJ-00033"/>
    <s v="RIVER VALE"/>
    <n v="7675"/>
    <s v="BERGEN"/>
    <s v="NJ"/>
    <n v="29763"/>
    <n v="29763"/>
    <n v="0"/>
    <n v="10900"/>
    <n v="10900"/>
    <n v="0"/>
  </r>
  <r>
    <n v="13367"/>
    <n v="13368"/>
    <x v="1"/>
    <s v="NJ-00033"/>
    <s v="RIVERSIDE"/>
    <n v="8075"/>
    <s v="BURLINGTON"/>
    <s v="NJ"/>
    <n v="114796"/>
    <n v="85141"/>
    <n v="29655"/>
    <n v="43000"/>
    <n v="37200"/>
    <n v="5800"/>
  </r>
  <r>
    <n v="13367"/>
    <n v="13368"/>
    <x v="1"/>
    <s v="NJ-00033"/>
    <s v="ROBBINSVILLE"/>
    <n v="8691"/>
    <s v="MERCER"/>
    <s v="NJ"/>
    <n v="119268"/>
    <n v="114760"/>
    <n v="4508"/>
    <n v="14000"/>
    <n v="14000"/>
    <n v="0"/>
  </r>
  <r>
    <n v="13367"/>
    <n v="13368"/>
    <x v="1"/>
    <s v="NJ-00033"/>
    <s v="ROCHELLE PARK"/>
    <n v="7662"/>
    <s v="BERGEN"/>
    <s v="NJ"/>
    <n v="49222"/>
    <n v="48722"/>
    <n v="500"/>
    <n v="24100"/>
    <n v="24100"/>
    <n v="0"/>
  </r>
  <r>
    <n v="13367"/>
    <n v="13368"/>
    <x v="1"/>
    <s v="NJ-00033"/>
    <s v="ROCKAWAY"/>
    <n v="7866"/>
    <s v="MORRIS"/>
    <s v="NJ"/>
    <n v="197841"/>
    <n v="183724"/>
    <n v="14117"/>
    <n v="155400"/>
    <n v="152000"/>
    <n v="3400"/>
  </r>
  <r>
    <n v="13367"/>
    <n v="13368"/>
    <x v="1"/>
    <s v="NJ-00033"/>
    <s v="ROCKY HILL"/>
    <n v="8553"/>
    <s v="SOMERSET"/>
    <s v="NJ"/>
    <n v="5843"/>
    <n v="5543"/>
    <n v="300"/>
    <n v="0"/>
    <n v="0"/>
    <n v="0"/>
  </r>
  <r>
    <n v="13367"/>
    <n v="13368"/>
    <x v="1"/>
    <s v="NJ-00033"/>
    <s v="ROOSEVELT"/>
    <n v="8555"/>
    <s v="MONMOUTH"/>
    <s v="NJ"/>
    <n v="66229"/>
    <n v="61429"/>
    <n v="4800"/>
    <n v="12200"/>
    <n v="12200"/>
    <n v="0"/>
  </r>
  <r>
    <n v="13367"/>
    <n v="13368"/>
    <x v="1"/>
    <s v="NJ-00033"/>
    <s v="ROSELAND"/>
    <n v="7068"/>
    <s v="ESSEX"/>
    <s v="NJ"/>
    <n v="152310"/>
    <n v="147110"/>
    <n v="5200"/>
    <n v="138400"/>
    <n v="133200"/>
    <n v="5200"/>
  </r>
  <r>
    <n v="13367"/>
    <n v="13368"/>
    <x v="1"/>
    <s v="NJ-00033"/>
    <s v="ROSELL"/>
    <n v="7203"/>
    <s v="UNION"/>
    <s v="NJ"/>
    <n v="43774"/>
    <n v="40274"/>
    <n v="3500"/>
    <n v="0"/>
    <n v="0"/>
    <n v="0"/>
  </r>
  <r>
    <n v="13367"/>
    <n v="13368"/>
    <x v="1"/>
    <s v="NJ-00033"/>
    <s v="ROSELLE"/>
    <n v="7203"/>
    <s v="UNION"/>
    <s v="NJ"/>
    <n v="309419"/>
    <n v="291869"/>
    <n v="17550"/>
    <n v="122300"/>
    <n v="111700"/>
    <n v="10600"/>
  </r>
  <r>
    <n v="13367"/>
    <n v="13368"/>
    <x v="1"/>
    <s v="NJ-00033"/>
    <s v="ROSELLE PARK"/>
    <n v="7204"/>
    <s v="HUDSON"/>
    <s v="NJ"/>
    <n v="13600"/>
    <n v="0"/>
    <n v="13600"/>
    <n v="0"/>
    <n v="0"/>
    <n v="0"/>
  </r>
  <r>
    <n v="13367"/>
    <n v="13368"/>
    <x v="1"/>
    <s v="NJ-00033"/>
    <s v="ROSELLE PARK"/>
    <n v="7204"/>
    <s v="UNION"/>
    <s v="NJ"/>
    <n v="139960"/>
    <n v="120585"/>
    <n v="19375"/>
    <n v="86500"/>
    <n v="77600"/>
    <n v="8900"/>
  </r>
  <r>
    <n v="13367"/>
    <n v="13368"/>
    <x v="1"/>
    <s v="NJ-00033"/>
    <s v="RUMSON"/>
    <n v="7760"/>
    <s v="MONMOUTH"/>
    <s v="NJ"/>
    <n v="27212369"/>
    <n v="21446183"/>
    <n v="5766186"/>
    <n v="12002600"/>
    <n v="8935400"/>
    <n v="2677000"/>
  </r>
  <r>
    <n v="13367"/>
    <n v="13368"/>
    <x v="1"/>
    <s v="NJ-00033"/>
    <s v="RUTHERFORD"/>
    <n v="7070"/>
    <s v="BERGEN"/>
    <s v="NJ"/>
    <n v="1224574"/>
    <n v="992709"/>
    <n v="231865"/>
    <n v="192300"/>
    <n v="159900"/>
    <n v="32400"/>
  </r>
  <r>
    <n v="13367"/>
    <n v="13368"/>
    <x v="1"/>
    <s v="NJ-00033"/>
    <s v="S SEASIDE PARK"/>
    <n v="8752"/>
    <s v="OCEAN"/>
    <s v="NJ"/>
    <n v="22267"/>
    <n v="12342"/>
    <n v="9925"/>
    <n v="0"/>
    <n v="0"/>
    <n v="0"/>
  </r>
  <r>
    <n v="13367"/>
    <n v="13368"/>
    <x v="1"/>
    <s v="NJ-00033"/>
    <s v="S. MANTOLOKING"/>
    <n v="8738"/>
    <s v="OCEAN"/>
    <s v="NJ"/>
    <n v="11275"/>
    <n v="0"/>
    <n v="11275"/>
    <n v="0"/>
    <n v="0"/>
    <n v="0"/>
  </r>
  <r>
    <n v="13367"/>
    <n v="13368"/>
    <x v="1"/>
    <s v="NJ-00033"/>
    <s v="S. SEASIDE PARK"/>
    <n v="8752"/>
    <s v="OCEAN"/>
    <s v="NJ"/>
    <n v="150989"/>
    <n v="102689"/>
    <n v="48300"/>
    <n v="0"/>
    <n v="0"/>
    <n v="0"/>
  </r>
  <r>
    <n v="13367"/>
    <n v="13368"/>
    <x v="1"/>
    <s v="NJ-00033"/>
    <s v="SADDLE BROOK"/>
    <n v="7663"/>
    <s v="BERGEN"/>
    <s v="NJ"/>
    <n v="13577"/>
    <n v="2667"/>
    <n v="10910"/>
    <n v="0"/>
    <n v="0"/>
    <n v="0"/>
  </r>
  <r>
    <n v="13367"/>
    <n v="13368"/>
    <x v="1"/>
    <s v="NJ-00033"/>
    <s v="SADDLE RIVER"/>
    <n v="7458"/>
    <s v="BERGEN"/>
    <s v="NJ"/>
    <n v="31922"/>
    <n v="31922"/>
    <n v="0"/>
    <n v="0"/>
    <n v="0"/>
    <n v="0"/>
  </r>
  <r>
    <n v="13367"/>
    <n v="13368"/>
    <x v="1"/>
    <s v="NJ-00033"/>
    <s v="SALEM"/>
    <n v="8079"/>
    <s v="SALEM"/>
    <s v="NJ"/>
    <n v="167196"/>
    <n v="157646"/>
    <n v="9550"/>
    <n v="138000"/>
    <n v="134000"/>
    <n v="4000"/>
  </r>
  <r>
    <n v="13367"/>
    <n v="13368"/>
    <x v="1"/>
    <s v="NJ-00033"/>
    <s v="SANDYSTON"/>
    <n v="7826"/>
    <s v="SUSSEX"/>
    <s v="NJ"/>
    <n v="11172"/>
    <n v="11172"/>
    <n v="0"/>
    <n v="0"/>
    <n v="0"/>
    <n v="0"/>
  </r>
  <r>
    <n v="13367"/>
    <n v="13368"/>
    <x v="1"/>
    <s v="NJ-00033"/>
    <s v="SANDYSTON"/>
    <n v="7851"/>
    <s v="SUSSEX"/>
    <s v="NJ"/>
    <n v="24286"/>
    <n v="23586"/>
    <n v="700"/>
    <n v="14800"/>
    <n v="14600"/>
    <n v="200"/>
  </r>
  <r>
    <n v="13367"/>
    <n v="13368"/>
    <x v="1"/>
    <s v="NJ-00033"/>
    <s v="SAYERVILLE"/>
    <n v="8872"/>
    <s v="MIDDLESEX"/>
    <s v="NJ"/>
    <n v="101972"/>
    <n v="60847"/>
    <n v="41125"/>
    <n v="97800"/>
    <n v="57800"/>
    <n v="40000"/>
  </r>
  <r>
    <n v="13367"/>
    <n v="13368"/>
    <x v="1"/>
    <s v="NJ-00033"/>
    <s v="SAYREVILLE"/>
    <n v="8872"/>
    <s v="MIDDLESEX"/>
    <s v="NJ"/>
    <n v="18599542"/>
    <n v="12918612"/>
    <n v="5680930"/>
    <n v="8741600"/>
    <n v="6134900"/>
    <n v="2606700"/>
  </r>
  <r>
    <n v="13367"/>
    <n v="13368"/>
    <x v="1"/>
    <s v="NJ-00033"/>
    <s v="SCOTCH PLAINS"/>
    <n v="7076"/>
    <s v="UNION"/>
    <s v="NJ"/>
    <n v="413583"/>
    <n v="409208"/>
    <n v="4375"/>
    <n v="158200"/>
    <n v="154200"/>
    <n v="4000"/>
  </r>
  <r>
    <n v="13367"/>
    <n v="13368"/>
    <x v="1"/>
    <s v="NJ-00033"/>
    <s v="SEA  BRIGHT"/>
    <n v="7760"/>
    <s v="MONMOUTH"/>
    <s v="NJ"/>
    <n v="214844"/>
    <n v="172694"/>
    <n v="42150"/>
    <n v="0"/>
    <n v="0"/>
    <n v="0"/>
  </r>
  <r>
    <n v="13367"/>
    <n v="13368"/>
    <x v="1"/>
    <s v="NJ-00033"/>
    <s v="SEA BRIGHT"/>
    <n v="7716"/>
    <s v="MONMOUTH"/>
    <s v="NJ"/>
    <n v="41718"/>
    <n v="15268"/>
    <n v="26450"/>
    <n v="0"/>
    <n v="0"/>
    <n v="0"/>
  </r>
  <r>
    <n v="13367"/>
    <n v="13368"/>
    <x v="1"/>
    <s v="NJ-00033"/>
    <s v="SEA BRIGHT"/>
    <n v="7748"/>
    <s v="MONMOUTH"/>
    <s v="NJ"/>
    <n v="170606"/>
    <n v="134056"/>
    <n v="36550"/>
    <n v="107600"/>
    <n v="71000"/>
    <n v="36600"/>
  </r>
  <r>
    <n v="13367"/>
    <n v="13368"/>
    <x v="1"/>
    <s v="NJ-00033"/>
    <s v="SEA BRIGHT"/>
    <n v="7760"/>
    <s v="BERGEN"/>
    <s v="NJ"/>
    <n v="42541"/>
    <n v="42541"/>
    <n v="0"/>
    <n v="42600"/>
    <n v="42600"/>
    <n v="0"/>
  </r>
  <r>
    <n v="13367"/>
    <n v="13368"/>
    <x v="1"/>
    <s v="NJ-00033"/>
    <s v="SEA BRIGHT"/>
    <n v="7760"/>
    <s v="MONMOUTH"/>
    <s v="NJ"/>
    <n v="18577162"/>
    <n v="12699169"/>
    <n v="5877993"/>
    <n v="7085000"/>
    <n v="4547600"/>
    <n v="2537400"/>
  </r>
  <r>
    <n v="13367"/>
    <n v="13368"/>
    <x v="1"/>
    <s v="NJ-00033"/>
    <s v="SEA BRIGHT"/>
    <n v="7760"/>
    <s v="OCEAN"/>
    <s v="NJ"/>
    <n v="40693"/>
    <n v="12643"/>
    <n v="28050"/>
    <n v="0"/>
    <n v="0"/>
    <n v="0"/>
  </r>
  <r>
    <n v="13367"/>
    <n v="13368"/>
    <x v="1"/>
    <s v="NJ-00033"/>
    <s v="SEA GIRT"/>
    <n v="8750"/>
    <s v="MONMOUTH"/>
    <s v="NJ"/>
    <n v="794379"/>
    <n v="680418"/>
    <n v="113961"/>
    <n v="486600"/>
    <n v="410600"/>
    <n v="76000"/>
  </r>
  <r>
    <n v="13367"/>
    <n v="13368"/>
    <x v="1"/>
    <s v="NJ-00033"/>
    <s v="SEA ISLE CITY"/>
    <n v="8243"/>
    <s v="ATLANTIC"/>
    <s v="NJ"/>
    <n v="25975"/>
    <n v="22275"/>
    <n v="3700"/>
    <n v="17700"/>
    <n v="14000"/>
    <n v="3700"/>
  </r>
  <r>
    <n v="13367"/>
    <n v="13368"/>
    <x v="1"/>
    <s v="NJ-00033"/>
    <s v="SEA ISLE CITY"/>
    <n v="8243"/>
    <s v="CAPE MAY"/>
    <s v="NJ"/>
    <n v="1711013"/>
    <n v="1207002"/>
    <n v="504011"/>
    <n v="536500"/>
    <n v="251900"/>
    <n v="284600"/>
  </r>
  <r>
    <n v="13367"/>
    <n v="13368"/>
    <x v="1"/>
    <s v="NJ-00033"/>
    <s v="SEA ISLE CITY"/>
    <n v="8243"/>
    <s v="OCEAN"/>
    <s v="NJ"/>
    <n v="108054"/>
    <n v="72854"/>
    <n v="35200"/>
    <n v="0"/>
    <n v="0"/>
    <n v="0"/>
  </r>
  <r>
    <n v="13367"/>
    <n v="13368"/>
    <x v="1"/>
    <s v="NJ-00033"/>
    <s v="SEA SIDE HEIGHTS"/>
    <n v="8751"/>
    <s v="OCEAN"/>
    <s v="NJ"/>
    <n v="76173"/>
    <n v="0"/>
    <n v="76173"/>
    <n v="28200"/>
    <n v="0"/>
    <n v="28200"/>
  </r>
  <r>
    <n v="13367"/>
    <n v="13368"/>
    <x v="1"/>
    <s v="NJ-00033"/>
    <s v="SEABRIGHT"/>
    <n v="7724"/>
    <s v="MONMOUTH"/>
    <s v="NJ"/>
    <n v="36077"/>
    <n v="36077"/>
    <n v="0"/>
    <n v="0"/>
    <n v="0"/>
    <n v="0"/>
  </r>
  <r>
    <n v="13367"/>
    <n v="13368"/>
    <x v="1"/>
    <s v="NJ-00033"/>
    <s v="SEABRIGHT"/>
    <n v="7738"/>
    <s v="MONMOUTH"/>
    <s v="NJ"/>
    <n v="40565"/>
    <n v="0"/>
    <n v="40565"/>
    <n v="40000"/>
    <n v="0"/>
    <n v="40000"/>
  </r>
  <r>
    <n v="13367"/>
    <n v="13368"/>
    <x v="1"/>
    <s v="NJ-00033"/>
    <s v="SEABRIGHT"/>
    <n v="7760"/>
    <s v="MONMOUTH"/>
    <s v="NJ"/>
    <n v="894688"/>
    <n v="572073"/>
    <n v="322615"/>
    <n v="410300"/>
    <n v="204500"/>
    <n v="205800"/>
  </r>
  <r>
    <n v="13367"/>
    <n v="13368"/>
    <x v="1"/>
    <s v="NJ-00033"/>
    <s v="SEASIDE"/>
    <n v="8751"/>
    <s v="OCEAN"/>
    <s v="NJ"/>
    <n v="303885"/>
    <n v="224735"/>
    <n v="79150"/>
    <n v="136300"/>
    <n v="96300"/>
    <n v="40000"/>
  </r>
  <r>
    <n v="13367"/>
    <n v="13368"/>
    <x v="1"/>
    <s v="NJ-00033"/>
    <s v="SEASIDE"/>
    <n v="8752"/>
    <s v="OCEAN"/>
    <s v="NJ"/>
    <n v="376429"/>
    <n v="296879"/>
    <n v="79550"/>
    <n v="126000"/>
    <n v="97300"/>
    <n v="28700"/>
  </r>
  <r>
    <n v="13367"/>
    <n v="13368"/>
    <x v="1"/>
    <s v="NJ-00033"/>
    <s v="SEASIDE  HEIGHTS"/>
    <n v="8751"/>
    <s v="OCEAN"/>
    <s v="NJ"/>
    <n v="10975"/>
    <n v="0"/>
    <n v="10975"/>
    <n v="11000"/>
    <n v="0"/>
    <n v="11000"/>
  </r>
  <r>
    <n v="13367"/>
    <n v="13368"/>
    <x v="1"/>
    <s v="NJ-00033"/>
    <s v="SEASIDE HEIGHT"/>
    <n v="8751"/>
    <s v="OCEAN"/>
    <s v="NJ"/>
    <n v="88602"/>
    <n v="48327"/>
    <n v="40275"/>
    <n v="0"/>
    <n v="0"/>
    <n v="0"/>
  </r>
  <r>
    <n v="13367"/>
    <n v="13368"/>
    <x v="1"/>
    <s v="NJ-00033"/>
    <s v="SEASIDE HEIGHTS"/>
    <n v="8751"/>
    <s v="OCEAN"/>
    <s v="NJ"/>
    <n v="42068562"/>
    <n v="29816045"/>
    <n v="12252517"/>
    <n v="12533600"/>
    <n v="8280600"/>
    <n v="4253000"/>
  </r>
  <r>
    <n v="13367"/>
    <n v="13368"/>
    <x v="1"/>
    <s v="NJ-00033"/>
    <s v="SEASIDE HEIGHTS"/>
    <n v="8751"/>
    <s v="UNION"/>
    <s v="NJ"/>
    <n v="121990"/>
    <n v="111340"/>
    <n v="10650"/>
    <n v="0"/>
    <n v="0"/>
    <n v="0"/>
  </r>
  <r>
    <n v="13367"/>
    <n v="13368"/>
    <x v="1"/>
    <s v="NJ-00033"/>
    <s v="SEASIDE HEIGHTS"/>
    <n v="8757"/>
    <s v="OCEAN"/>
    <s v="NJ"/>
    <n v="9760"/>
    <n v="0"/>
    <n v="9760"/>
    <n v="9800"/>
    <n v="0"/>
    <n v="9800"/>
  </r>
  <r>
    <n v="13367"/>
    <n v="13368"/>
    <x v="1"/>
    <s v="NJ-00033"/>
    <s v="SEASIDE HEIGHTS"/>
    <n v="8765"/>
    <s v="OCEAN"/>
    <s v="NJ"/>
    <n v="83222"/>
    <n v="49197"/>
    <n v="34025"/>
    <n v="0"/>
    <n v="0"/>
    <n v="0"/>
  </r>
  <r>
    <n v="13367"/>
    <n v="13368"/>
    <x v="1"/>
    <s v="NJ-00033"/>
    <s v="SEASIDE HEIGHTS (ORTLEY BEACH)"/>
    <n v="8751"/>
    <s v="OCEAN"/>
    <s v="NJ"/>
    <n v="116005"/>
    <n v="89205"/>
    <n v="26800"/>
    <n v="0"/>
    <n v="0"/>
    <n v="0"/>
  </r>
  <r>
    <n v="13367"/>
    <n v="13368"/>
    <x v="1"/>
    <s v="NJ-00033"/>
    <s v="SEASIDE HIGHTS"/>
    <n v="8751"/>
    <s v="OCEAN"/>
    <s v="NJ"/>
    <n v="22050"/>
    <n v="0"/>
    <n v="22050"/>
    <n v="0"/>
    <n v="0"/>
    <n v="0"/>
  </r>
  <r>
    <n v="13367"/>
    <n v="13368"/>
    <x v="1"/>
    <s v="NJ-00033"/>
    <s v="SEASIDE HTS"/>
    <n v="8501"/>
    <s v="OCEAN"/>
    <s v="NJ"/>
    <n v="10100"/>
    <n v="0"/>
    <n v="10100"/>
    <n v="0"/>
    <n v="0"/>
    <n v="0"/>
  </r>
  <r>
    <n v="13367"/>
    <n v="13368"/>
    <x v="1"/>
    <s v="NJ-00033"/>
    <s v="SEASIDE HTS"/>
    <n v="8751"/>
    <s v="OCEAN"/>
    <s v="NJ"/>
    <n v="187164"/>
    <n v="139999"/>
    <n v="47165"/>
    <n v="31300"/>
    <n v="10200"/>
    <n v="21100"/>
  </r>
  <r>
    <n v="13367"/>
    <n v="13368"/>
    <x v="1"/>
    <s v="NJ-00033"/>
    <s v="SEASIDE HTS."/>
    <n v="8751"/>
    <s v="OCEAN"/>
    <s v="NJ"/>
    <n v="111919"/>
    <n v="84219"/>
    <n v="27700"/>
    <n v="0"/>
    <n v="0"/>
    <n v="0"/>
  </r>
  <r>
    <n v="13367"/>
    <n v="13368"/>
    <x v="1"/>
    <s v="NJ-00033"/>
    <s v="SEASIDE PARK"/>
    <n v="7081"/>
    <s v="OCEAN"/>
    <s v="NJ"/>
    <n v="38613"/>
    <n v="34473"/>
    <n v="4140"/>
    <n v="0"/>
    <n v="0"/>
    <n v="0"/>
  </r>
  <r>
    <n v="13367"/>
    <n v="13368"/>
    <x v="1"/>
    <s v="NJ-00033"/>
    <s v="SEASIDE PARK"/>
    <n v="7852"/>
    <s v="OCEAN"/>
    <s v="NJ"/>
    <n v="15157"/>
    <n v="9987"/>
    <n v="5170"/>
    <n v="0"/>
    <n v="0"/>
    <n v="0"/>
  </r>
  <r>
    <n v="13367"/>
    <n v="13368"/>
    <x v="1"/>
    <s v="NJ-00033"/>
    <s v="SEASIDE PARK"/>
    <n v="8732"/>
    <s v="OCEAN"/>
    <s v="NJ"/>
    <n v="62140"/>
    <n v="62140"/>
    <n v="0"/>
    <n v="62200"/>
    <n v="62200"/>
    <n v="0"/>
  </r>
  <r>
    <n v="13367"/>
    <n v="13368"/>
    <x v="1"/>
    <s v="NJ-00033"/>
    <s v="SEASIDE PARK"/>
    <n v="8734"/>
    <s v="OCEAN"/>
    <s v="NJ"/>
    <n v="168693"/>
    <n v="163043"/>
    <n v="5650"/>
    <n v="0"/>
    <n v="0"/>
    <n v="0"/>
  </r>
  <r>
    <n v="13367"/>
    <n v="13368"/>
    <x v="1"/>
    <s v="NJ-00033"/>
    <s v="SEASIDE PARK"/>
    <n v="8752"/>
    <s v="ESSEX"/>
    <s v="NJ"/>
    <n v="36848"/>
    <n v="29448"/>
    <n v="7400"/>
    <n v="0"/>
    <n v="0"/>
    <n v="0"/>
  </r>
  <r>
    <n v="13367"/>
    <n v="13368"/>
    <x v="1"/>
    <s v="NJ-00033"/>
    <s v="SEASIDE PARK"/>
    <n v="8752"/>
    <s v="OCEAN"/>
    <s v="NJ"/>
    <n v="18847337"/>
    <n v="13538620"/>
    <n v="5308717"/>
    <n v="6962700"/>
    <n v="4707600"/>
    <n v="2255100"/>
  </r>
  <r>
    <n v="13367"/>
    <n v="13368"/>
    <x v="1"/>
    <s v="NJ-00033"/>
    <s v="SEASIDE PARK"/>
    <n v="8753"/>
    <s v="OCEAN"/>
    <s v="NJ"/>
    <n v="174689"/>
    <n v="81689"/>
    <n v="93000"/>
    <n v="68300"/>
    <n v="40100"/>
    <n v="28200"/>
  </r>
  <r>
    <n v="13367"/>
    <n v="13368"/>
    <x v="1"/>
    <s v="NJ-00033"/>
    <s v="SEASIDEHEIGHTS"/>
    <n v="8752"/>
    <s v="OCEAN"/>
    <s v="NJ"/>
    <n v="400"/>
    <n v="0"/>
    <n v="400"/>
    <n v="0"/>
    <n v="0"/>
    <n v="0"/>
  </r>
  <r>
    <n v="13367"/>
    <n v="13368"/>
    <x v="1"/>
    <s v="NJ-00033"/>
    <s v="SECAUCUA"/>
    <n v="7094"/>
    <s v="HUDSON"/>
    <s v="NJ"/>
    <n v="7200"/>
    <n v="0"/>
    <n v="7200"/>
    <n v="0"/>
    <n v="0"/>
    <n v="0"/>
  </r>
  <r>
    <n v="13367"/>
    <n v="13368"/>
    <x v="1"/>
    <s v="NJ-00033"/>
    <s v="SECAUCUS"/>
    <n v="7094"/>
    <s v="HUDSON"/>
    <s v="NJ"/>
    <n v="1902339"/>
    <n v="1128374"/>
    <n v="773965"/>
    <n v="729700"/>
    <n v="392000"/>
    <n v="337700"/>
  </r>
  <r>
    <n v="13367"/>
    <n v="13368"/>
    <x v="1"/>
    <s v="NJ-00033"/>
    <s v="SEWAREN"/>
    <n v="7077"/>
    <s v="MIDDLESEX"/>
    <s v="NJ"/>
    <n v="1286333"/>
    <n v="911922"/>
    <n v="374411"/>
    <n v="497600"/>
    <n v="318900"/>
    <n v="178700"/>
  </r>
  <r>
    <n v="13367"/>
    <n v="13368"/>
    <x v="1"/>
    <s v="NJ-00033"/>
    <s v="SEWAREN"/>
    <n v="7707"/>
    <s v="MIDDLESEX"/>
    <s v="NJ"/>
    <n v="69676"/>
    <n v="58726"/>
    <n v="10950"/>
    <n v="0"/>
    <n v="0"/>
    <n v="0"/>
  </r>
  <r>
    <n v="13367"/>
    <n v="13368"/>
    <x v="1"/>
    <s v="NJ-00033"/>
    <s v="SEWELL"/>
    <n v="8080"/>
    <s v="GLOUCESTER"/>
    <s v="NJ"/>
    <n v="89668"/>
    <n v="88718"/>
    <n v="950"/>
    <n v="47200"/>
    <n v="47200"/>
    <n v="0"/>
  </r>
  <r>
    <n v="13367"/>
    <n v="13368"/>
    <x v="1"/>
    <s v="NJ-00033"/>
    <s v="SHAMONG"/>
    <n v="8088"/>
    <s v="BURLINGTON"/>
    <s v="NJ"/>
    <n v="28822"/>
    <n v="28822"/>
    <n v="0"/>
    <n v="13700"/>
    <n v="13700"/>
    <n v="0"/>
  </r>
  <r>
    <n v="13367"/>
    <n v="13368"/>
    <x v="1"/>
    <s v="NJ-00033"/>
    <s v="SHIP BOTTOM"/>
    <n v="8008"/>
    <s v="OCEAN"/>
    <s v="NJ"/>
    <n v="13356524"/>
    <n v="8949786"/>
    <n v="4406738"/>
    <n v="5295000"/>
    <n v="3438300"/>
    <n v="1856700"/>
  </r>
  <r>
    <n v="13367"/>
    <n v="13368"/>
    <x v="1"/>
    <s v="NJ-00033"/>
    <s v="SHIPBOTTOM"/>
    <n v="8008"/>
    <s v="OCEAN"/>
    <s v="NJ"/>
    <n v="194156"/>
    <n v="96866"/>
    <n v="97290"/>
    <n v="14000"/>
    <n v="14000"/>
    <n v="0"/>
  </r>
  <r>
    <n v="13367"/>
    <n v="13368"/>
    <x v="1"/>
    <s v="NJ-00033"/>
    <s v="SHORT HILLS"/>
    <n v="7078"/>
    <s v="ESSEX"/>
    <s v="NJ"/>
    <n v="67302"/>
    <n v="65862"/>
    <n v="1440"/>
    <n v="35800"/>
    <n v="35300"/>
    <n v="500"/>
  </r>
  <r>
    <n v="13367"/>
    <n v="13368"/>
    <x v="1"/>
    <s v="NJ-00033"/>
    <s v="SHORTHILLS"/>
    <n v="7078"/>
    <s v="ESSEX"/>
    <s v="NJ"/>
    <n v="46516"/>
    <n v="43241"/>
    <n v="3275"/>
    <n v="0"/>
    <n v="0"/>
    <n v="0"/>
  </r>
  <r>
    <n v="13367"/>
    <n v="13368"/>
    <x v="1"/>
    <s v="NJ-00033"/>
    <s v="SHREWSBURY"/>
    <n v="7702"/>
    <s v="MONMOUTH"/>
    <s v="NJ"/>
    <n v="119890"/>
    <n v="92815"/>
    <n v="27075"/>
    <n v="0"/>
    <n v="0"/>
    <n v="0"/>
  </r>
  <r>
    <n v="13367"/>
    <n v="13368"/>
    <x v="1"/>
    <s v="NJ-00033"/>
    <s v="SICKLERVILLE"/>
    <n v="8081"/>
    <s v="CAMDEN"/>
    <s v="NJ"/>
    <n v="7950"/>
    <n v="7950"/>
    <n v="0"/>
    <n v="8000"/>
    <n v="8000"/>
    <n v="0"/>
  </r>
  <r>
    <n v="13367"/>
    <n v="13368"/>
    <x v="1"/>
    <s v="NJ-00033"/>
    <s v="SILVER BEACH DOVER TOWNSHIP"/>
    <n v="8739"/>
    <s v="OCEAN"/>
    <s v="NJ"/>
    <n v="136401"/>
    <n v="110701"/>
    <n v="25700"/>
    <n v="130800"/>
    <n v="105100"/>
    <n v="25700"/>
  </r>
  <r>
    <n v="13367"/>
    <n v="13368"/>
    <x v="1"/>
    <s v="NJ-00033"/>
    <s v="SO.PLAINFIELD"/>
    <n v="7080"/>
    <s v="MORRIS"/>
    <s v="NJ"/>
    <n v="10865"/>
    <n v="10865"/>
    <n v="0"/>
    <n v="0"/>
    <n v="0"/>
    <n v="0"/>
  </r>
  <r>
    <n v="13367"/>
    <n v="13368"/>
    <x v="1"/>
    <s v="NJ-00033"/>
    <s v="SOMERDALE"/>
    <n v="8083"/>
    <s v="CAMDEN"/>
    <s v="NJ"/>
    <n v="38084"/>
    <n v="24304"/>
    <n v="13780"/>
    <n v="7700"/>
    <n v="5700"/>
    <n v="2000"/>
  </r>
  <r>
    <n v="13367"/>
    <n v="13368"/>
    <x v="1"/>
    <s v="NJ-00033"/>
    <s v="SOMERS POINT"/>
    <n v="8244"/>
    <s v="ATLANTIC"/>
    <s v="NJ"/>
    <n v="1529751"/>
    <n v="1232951"/>
    <n v="296800"/>
    <n v="424900"/>
    <n v="330800"/>
    <n v="94100"/>
  </r>
  <r>
    <n v="13367"/>
    <n v="13368"/>
    <x v="1"/>
    <s v="NJ-00033"/>
    <s v="SOMERSET"/>
    <n v="8873"/>
    <s v="SOMERSET"/>
    <s v="NJ"/>
    <n v="305480"/>
    <n v="287755"/>
    <n v="17725"/>
    <n v="167500"/>
    <n v="157400"/>
    <n v="10100"/>
  </r>
  <r>
    <n v="13367"/>
    <n v="13368"/>
    <x v="1"/>
    <s v="NJ-00033"/>
    <s v="SOMERVILLE"/>
    <n v="8876"/>
    <s v="SOMERSET"/>
    <s v="NJ"/>
    <n v="164670"/>
    <n v="146045"/>
    <n v="18625"/>
    <n v="49100"/>
    <n v="43400"/>
    <n v="5700"/>
  </r>
  <r>
    <n v="13367"/>
    <n v="13368"/>
    <x v="1"/>
    <s v="NJ-00033"/>
    <s v="SOUTH  RIVER"/>
    <n v="8882"/>
    <s v="MIDDLESEX"/>
    <s v="NJ"/>
    <n v="29525"/>
    <n v="27775"/>
    <n v="1750"/>
    <n v="0"/>
    <n v="0"/>
    <n v="0"/>
  </r>
  <r>
    <n v="13367"/>
    <n v="13368"/>
    <x v="1"/>
    <s v="NJ-00033"/>
    <s v="SOUTH AMBOY"/>
    <n v="8879"/>
    <s v="MIDDLESEX"/>
    <s v="NJ"/>
    <n v="2442393"/>
    <n v="1767411"/>
    <n v="674982"/>
    <n v="1180700"/>
    <n v="821000"/>
    <n v="359700"/>
  </r>
  <r>
    <n v="13367"/>
    <n v="13368"/>
    <x v="1"/>
    <s v="NJ-00033"/>
    <s v="SOUTH BOUND BROOK"/>
    <n v="8880"/>
    <s v="SOMERSET"/>
    <s v="NJ"/>
    <n v="26070"/>
    <n v="25545"/>
    <n v="525"/>
    <n v="17700"/>
    <n v="17200"/>
    <n v="500"/>
  </r>
  <r>
    <n v="13367"/>
    <n v="13368"/>
    <x v="1"/>
    <s v="NJ-00033"/>
    <s v="SOUTH MANTOLOKINE"/>
    <n v="8738"/>
    <s v="OCEAN"/>
    <s v="NJ"/>
    <n v="87615"/>
    <n v="87615"/>
    <n v="0"/>
    <n v="0"/>
    <n v="0"/>
    <n v="0"/>
  </r>
  <r>
    <n v="13367"/>
    <n v="13368"/>
    <x v="1"/>
    <s v="NJ-00033"/>
    <s v="SOUTH MANTOLOKING"/>
    <n v="8738"/>
    <s v="OCEAN"/>
    <s v="NJ"/>
    <n v="401479"/>
    <n v="311404"/>
    <n v="90075"/>
    <n v="0"/>
    <n v="0"/>
    <n v="0"/>
  </r>
  <r>
    <n v="13367"/>
    <n v="13368"/>
    <x v="1"/>
    <s v="NJ-00033"/>
    <s v="SOUTH ORANGE"/>
    <n v="7079"/>
    <s v="ESSEX"/>
    <s v="NJ"/>
    <n v="224009"/>
    <n v="186839"/>
    <n v="37170"/>
    <n v="112000"/>
    <n v="89300"/>
    <n v="22700"/>
  </r>
  <r>
    <n v="13367"/>
    <n v="13368"/>
    <x v="1"/>
    <s v="NJ-00033"/>
    <s v="SOUTH PLAINFIELD"/>
    <n v="7080"/>
    <s v="MIDDLESEX"/>
    <s v="NJ"/>
    <n v="132659"/>
    <n v="125584"/>
    <n v="7075"/>
    <n v="65000"/>
    <n v="57900"/>
    <n v="7100"/>
  </r>
  <r>
    <n v="13367"/>
    <n v="13368"/>
    <x v="1"/>
    <s v="NJ-00033"/>
    <s v="SOUTH RIVER"/>
    <n v="8882"/>
    <s v="MIDDLESEX"/>
    <s v="NJ"/>
    <n v="4376613"/>
    <n v="3260044"/>
    <n v="1116569"/>
    <n v="1729400"/>
    <n v="1209300"/>
    <n v="520100"/>
  </r>
  <r>
    <n v="13367"/>
    <n v="13368"/>
    <x v="1"/>
    <s v="NJ-00033"/>
    <s v="SOUTH SEASIDE PARK"/>
    <n v="8752"/>
    <s v="OCEAN"/>
    <s v="NJ"/>
    <n v="992625"/>
    <n v="746318"/>
    <n v="246307"/>
    <n v="567000"/>
    <n v="415200"/>
    <n v="151800"/>
  </r>
  <r>
    <n v="13367"/>
    <n v="13368"/>
    <x v="1"/>
    <s v="NJ-00033"/>
    <s v="SOUTH TOMS RIVER"/>
    <n v="8757"/>
    <s v="OCEAN"/>
    <s v="NJ"/>
    <n v="250"/>
    <n v="0"/>
    <n v="250"/>
    <n v="0"/>
    <n v="0"/>
    <n v="0"/>
  </r>
  <r>
    <n v="13367"/>
    <n v="13368"/>
    <x v="1"/>
    <s v="NJ-00033"/>
    <s v="SOUTHRIVER"/>
    <n v="8882"/>
    <s v="MIDDLESEX"/>
    <s v="NJ"/>
    <n v="117521"/>
    <n v="93836"/>
    <n v="23685"/>
    <n v="0"/>
    <n v="0"/>
    <n v="0"/>
  </r>
  <r>
    <n v="13367"/>
    <n v="13368"/>
    <x v="1"/>
    <s v="NJ-00033"/>
    <s v="SPARTA"/>
    <n v="7871"/>
    <s v="SUSSEX"/>
    <s v="NJ"/>
    <n v="1333187"/>
    <n v="1237119"/>
    <n v="96068"/>
    <n v="822100"/>
    <n v="765200"/>
    <n v="56900"/>
  </r>
  <r>
    <n v="13367"/>
    <n v="13368"/>
    <x v="1"/>
    <s v="NJ-00033"/>
    <s v="SPOTSWOOD"/>
    <n v="8884"/>
    <s v="MIDDLESEX"/>
    <s v="NJ"/>
    <n v="52203"/>
    <n v="49203"/>
    <n v="3000"/>
    <n v="14000"/>
    <n v="12200"/>
    <n v="1800"/>
  </r>
  <r>
    <n v="13367"/>
    <n v="13368"/>
    <x v="1"/>
    <s v="NJ-00033"/>
    <s v="SPOTSWWOD"/>
    <n v="8884"/>
    <s v="MIDDLESEX"/>
    <s v="NJ"/>
    <n v="4875"/>
    <n v="2270"/>
    <n v="2605"/>
    <n v="0"/>
    <n v="0"/>
    <n v="0"/>
  </r>
  <r>
    <n v="13367"/>
    <n v="13368"/>
    <x v="1"/>
    <s v="NJ-00033"/>
    <s v="SPRAY BEACH"/>
    <n v="8008"/>
    <s v="OCEAN"/>
    <s v="NJ"/>
    <n v="171469"/>
    <n v="100294"/>
    <n v="71175"/>
    <n v="49600"/>
    <n v="41600"/>
    <n v="8000"/>
  </r>
  <r>
    <n v="13367"/>
    <n v="13368"/>
    <x v="1"/>
    <s v="NJ-00033"/>
    <s v="SPRING LAKE"/>
    <n v="7762"/>
    <s v="MONMOUTH"/>
    <s v="NJ"/>
    <n v="3811711"/>
    <n v="2986118"/>
    <n v="825593"/>
    <n v="1592300"/>
    <n v="1168000"/>
    <n v="406900"/>
  </r>
  <r>
    <n v="13367"/>
    <n v="13368"/>
    <x v="1"/>
    <s v="NJ-00033"/>
    <s v="SPRING LAKE HEIGHTS"/>
    <n v="7762"/>
    <s v="MONMOUTH"/>
    <s v="NJ"/>
    <n v="140833"/>
    <n v="96283"/>
    <n v="44550"/>
    <n v="54200"/>
    <n v="33600"/>
    <n v="20600"/>
  </r>
  <r>
    <n v="13367"/>
    <n v="13368"/>
    <x v="1"/>
    <s v="NJ-00033"/>
    <s v="SPRING LAKE HTS"/>
    <n v="7762"/>
    <s v="MONMOUTH"/>
    <s v="NJ"/>
    <n v="14683"/>
    <n v="14683"/>
    <n v="0"/>
    <n v="8200"/>
    <n v="8200"/>
    <n v="0"/>
  </r>
  <r>
    <n v="13367"/>
    <n v="13368"/>
    <x v="1"/>
    <s v="NJ-00033"/>
    <s v="SPRINGFIELD"/>
    <n v="7081"/>
    <s v="UNION"/>
    <s v="NJ"/>
    <n v="117070"/>
    <n v="91670"/>
    <n v="25400"/>
    <n v="51500"/>
    <n v="27900"/>
    <n v="23600"/>
  </r>
  <r>
    <n v="13367"/>
    <n v="13368"/>
    <x v="1"/>
    <s v="NJ-00033"/>
    <s v="SPRINGLAKE"/>
    <n v="7762"/>
    <s v="MONMOUTH"/>
    <s v="NJ"/>
    <n v="105935"/>
    <n v="62055"/>
    <n v="43880"/>
    <n v="40000"/>
    <n v="0"/>
    <n v="40000"/>
  </r>
  <r>
    <n v="13367"/>
    <n v="13368"/>
    <x v="1"/>
    <s v="NJ-00033"/>
    <s v="STAFFORD TOWNSHIP"/>
    <n v="8050"/>
    <s v="OCEAN"/>
    <s v="NJ"/>
    <n v="221058"/>
    <n v="148958"/>
    <n v="72100"/>
    <n v="48100"/>
    <n v="8100"/>
    <n v="40000"/>
  </r>
  <r>
    <n v="13367"/>
    <n v="13368"/>
    <x v="1"/>
    <s v="NJ-00033"/>
    <s v="STAFFORD TWP"/>
    <n v="8050"/>
    <s v="OCEAN"/>
    <s v="NJ"/>
    <n v="177689"/>
    <n v="125289"/>
    <n v="52400"/>
    <n v="0"/>
    <n v="0"/>
    <n v="0"/>
  </r>
  <r>
    <n v="13367"/>
    <n v="13368"/>
    <x v="1"/>
    <s v="NJ-00033"/>
    <s v="STANHOPE"/>
    <n v="7874"/>
    <s v="SUSSEX"/>
    <s v="NJ"/>
    <n v="318739"/>
    <n v="274929"/>
    <n v="43810"/>
    <n v="280200"/>
    <n v="249800"/>
    <n v="30400"/>
  </r>
  <r>
    <n v="13367"/>
    <n v="13368"/>
    <x v="1"/>
    <s v="NJ-00033"/>
    <s v="STANTON"/>
    <n v="8822"/>
    <s v="HUNTERDON"/>
    <s v="NJ"/>
    <n v="52525"/>
    <n v="48525"/>
    <n v="4000"/>
    <n v="0"/>
    <n v="0"/>
    <n v="0"/>
  </r>
  <r>
    <n v="13367"/>
    <n v="13368"/>
    <x v="1"/>
    <s v="NJ-00033"/>
    <s v="STOCKTON"/>
    <n v="8559"/>
    <s v="HUNTERDON"/>
    <s v="NJ"/>
    <n v="138135"/>
    <n v="121410"/>
    <n v="16725"/>
    <n v="26200"/>
    <n v="25000"/>
    <n v="1200"/>
  </r>
  <r>
    <n v="13367"/>
    <n v="13368"/>
    <x v="1"/>
    <s v="NJ-00033"/>
    <s v="STONE HARBOR"/>
    <n v="8247"/>
    <s v="CAPE MAY"/>
    <s v="NJ"/>
    <n v="351508"/>
    <n v="293798"/>
    <n v="57710"/>
    <n v="266800"/>
    <n v="215100"/>
    <n v="51700"/>
  </r>
  <r>
    <n v="13367"/>
    <n v="13368"/>
    <x v="1"/>
    <s v="NJ-00033"/>
    <s v="STRATHMERE"/>
    <n v="8248"/>
    <s v="CAPE MAY"/>
    <s v="NJ"/>
    <n v="587523"/>
    <n v="459435"/>
    <n v="128088"/>
    <n v="99800"/>
    <n v="73400"/>
    <n v="26400"/>
  </r>
  <r>
    <n v="13367"/>
    <n v="13368"/>
    <x v="1"/>
    <s v="NJ-00033"/>
    <s v="STRATHMORE"/>
    <n v="8248"/>
    <s v="CAPE MAY"/>
    <s v="NJ"/>
    <n v="63820"/>
    <n v="50720"/>
    <n v="13100"/>
    <n v="0"/>
    <n v="0"/>
    <n v="0"/>
  </r>
  <r>
    <n v="13367"/>
    <n v="13368"/>
    <x v="1"/>
    <s v="NJ-00033"/>
    <s v="SUCCASUNNA"/>
    <n v="7876"/>
    <s v="MORRIS"/>
    <s v="NJ"/>
    <n v="124621"/>
    <n v="124121"/>
    <n v="500"/>
    <n v="100700"/>
    <n v="100200"/>
    <n v="500"/>
  </r>
  <r>
    <n v="13367"/>
    <n v="13368"/>
    <x v="1"/>
    <s v="NJ-00033"/>
    <s v="SUMMIT"/>
    <n v="7901"/>
    <s v="UNION"/>
    <s v="NJ"/>
    <n v="985232"/>
    <n v="871332"/>
    <n v="113900"/>
    <n v="289800"/>
    <n v="249400"/>
    <n v="40400"/>
  </r>
  <r>
    <n v="13367"/>
    <n v="13368"/>
    <x v="1"/>
    <s v="NJ-00033"/>
    <s v="SURF CITY"/>
    <n v="8008"/>
    <s v="OCEAN"/>
    <s v="NJ"/>
    <n v="4225060"/>
    <n v="3033560"/>
    <n v="1191500"/>
    <n v="1231600"/>
    <n v="828200"/>
    <n v="403400"/>
  </r>
  <r>
    <n v="13367"/>
    <n v="13368"/>
    <x v="1"/>
    <s v="NJ-00033"/>
    <s v="SUSSEX"/>
    <n v="7461"/>
    <s v="SUSSEX"/>
    <s v="NJ"/>
    <n v="128323"/>
    <n v="127073"/>
    <n v="1250"/>
    <n v="33600"/>
    <n v="33600"/>
    <n v="0"/>
  </r>
  <r>
    <n v="13367"/>
    <n v="13368"/>
    <x v="1"/>
    <s v="NJ-00033"/>
    <s v="SWEETWATER"/>
    <n v="8037"/>
    <s v="ATLANTIC"/>
    <s v="NJ"/>
    <n v="603236"/>
    <n v="473216"/>
    <n v="130020"/>
    <n v="230300"/>
    <n v="160000"/>
    <n v="70300"/>
  </r>
  <r>
    <n v="13367"/>
    <n v="13368"/>
    <x v="1"/>
    <s v="NJ-00033"/>
    <s v="TEANECK"/>
    <n v="7666"/>
    <s v="BERGEN"/>
    <s v="NJ"/>
    <n v="316769"/>
    <n v="268974"/>
    <n v="47795"/>
    <n v="128900"/>
    <n v="121600"/>
    <n v="7300"/>
  </r>
  <r>
    <n v="13367"/>
    <n v="13368"/>
    <x v="1"/>
    <s v="NJ-00033"/>
    <s v="TENAFLY"/>
    <n v="7670"/>
    <s v="BERGEN"/>
    <s v="NJ"/>
    <n v="54432"/>
    <n v="52432"/>
    <n v="2000"/>
    <n v="19400"/>
    <n v="19400"/>
    <n v="0"/>
  </r>
  <r>
    <n v="13367"/>
    <n v="13368"/>
    <x v="1"/>
    <s v="NJ-00033"/>
    <s v="TENAFLY"/>
    <n v="7670"/>
    <s v="OCEAN"/>
    <s v="NJ"/>
    <n v="151688"/>
    <n v="113938"/>
    <n v="37750"/>
    <n v="0"/>
    <n v="0"/>
    <n v="0"/>
  </r>
  <r>
    <n v="13367"/>
    <n v="13368"/>
    <x v="1"/>
    <s v="NJ-00033"/>
    <s v="TETERBORO"/>
    <n v="7608"/>
    <s v="BERGEN"/>
    <s v="NJ"/>
    <n v="3500"/>
    <n v="0"/>
    <n v="3500"/>
    <n v="0"/>
    <n v="0"/>
    <n v="0"/>
  </r>
  <r>
    <n v="13367"/>
    <n v="13368"/>
    <x v="1"/>
    <s v="NJ-00033"/>
    <s v="TINTON FALLS"/>
    <n v="7724"/>
    <s v="MONMOUTH"/>
    <s v="NJ"/>
    <n v="172081"/>
    <n v="142924"/>
    <n v="29157"/>
    <n v="44600"/>
    <n v="34000"/>
    <n v="10600"/>
  </r>
  <r>
    <n v="13367"/>
    <n v="13368"/>
    <x v="1"/>
    <s v="NJ-00033"/>
    <s v="TINTON FALLS"/>
    <n v="7753"/>
    <s v="MONMOUTH"/>
    <s v="NJ"/>
    <n v="4034"/>
    <n v="3434"/>
    <n v="600"/>
    <n v="3000"/>
    <n v="2400"/>
    <n v="600"/>
  </r>
  <r>
    <n v="13367"/>
    <n v="13368"/>
    <x v="1"/>
    <s v="NJ-00033"/>
    <s v="TITUSVILLE"/>
    <n v="8560"/>
    <s v="MERCER"/>
    <s v="NJ"/>
    <n v="66782"/>
    <n v="52857"/>
    <n v="13925"/>
    <n v="0"/>
    <n v="0"/>
    <n v="0"/>
  </r>
  <r>
    <n v="13367"/>
    <n v="13368"/>
    <x v="1"/>
    <s v="NJ-00033"/>
    <s v="TOM RIVER"/>
    <n v="8753"/>
    <s v="OCEAN"/>
    <s v="NJ"/>
    <n v="150762"/>
    <n v="113062"/>
    <n v="37700"/>
    <n v="93600"/>
    <n v="79700"/>
    <n v="13900"/>
  </r>
  <r>
    <n v="13367"/>
    <n v="13368"/>
    <x v="1"/>
    <s v="NJ-00033"/>
    <s v="TOM RIVERS"/>
    <n v="8742"/>
    <s v="OCEAN"/>
    <s v="NJ"/>
    <n v="18615"/>
    <n v="18215"/>
    <n v="400"/>
    <n v="0"/>
    <n v="0"/>
    <n v="0"/>
  </r>
  <r>
    <n v="13367"/>
    <n v="13368"/>
    <x v="1"/>
    <s v="NJ-00033"/>
    <s v="TOMS RIEVRS"/>
    <n v="8753"/>
    <s v="OCEAN"/>
    <s v="NJ"/>
    <n v="160012"/>
    <n v="120461"/>
    <n v="39551"/>
    <n v="0"/>
    <n v="0"/>
    <n v="0"/>
  </r>
  <r>
    <n v="13367"/>
    <n v="13368"/>
    <x v="1"/>
    <s v="NJ-00033"/>
    <s v="TOMS RIVER"/>
    <n v="7652"/>
    <s v="OCEAN"/>
    <s v="NJ"/>
    <n v="193488"/>
    <n v="138588"/>
    <n v="54900"/>
    <n v="0"/>
    <n v="0"/>
    <n v="0"/>
  </r>
  <r>
    <n v="13367"/>
    <n v="13368"/>
    <x v="1"/>
    <s v="NJ-00033"/>
    <s v="TOMS RIVER"/>
    <n v="7803"/>
    <s v="MORRIS"/>
    <s v="NJ"/>
    <n v="122441"/>
    <n v="96166"/>
    <n v="26275"/>
    <n v="0"/>
    <n v="0"/>
    <n v="0"/>
  </r>
  <r>
    <n v="13367"/>
    <n v="13368"/>
    <x v="1"/>
    <s v="NJ-00033"/>
    <s v="TOMS RIVER"/>
    <n v="8527"/>
    <s v="OCEAN"/>
    <s v="NJ"/>
    <n v="95613"/>
    <n v="76948"/>
    <n v="18665"/>
    <n v="0"/>
    <n v="0"/>
    <n v="0"/>
  </r>
  <r>
    <n v="13367"/>
    <n v="13368"/>
    <x v="1"/>
    <s v="NJ-00033"/>
    <s v="TOMS RIVER"/>
    <n v="8723"/>
    <s v="OCEAN"/>
    <s v="NJ"/>
    <n v="27100"/>
    <n v="0"/>
    <n v="27100"/>
    <n v="0"/>
    <n v="0"/>
    <n v="0"/>
  </r>
  <r>
    <n v="13367"/>
    <n v="13368"/>
    <x v="1"/>
    <s v="NJ-00033"/>
    <s v="TOMS RIVER"/>
    <n v="8725"/>
    <s v="OCEAN"/>
    <s v="NJ"/>
    <n v="99297"/>
    <n v="0"/>
    <n v="99297"/>
    <n v="0"/>
    <n v="0"/>
    <n v="0"/>
  </r>
  <r>
    <n v="13367"/>
    <n v="13368"/>
    <x v="1"/>
    <s v="NJ-00033"/>
    <s v="TOMS RIVER"/>
    <n v="8735"/>
    <s v="OCEAN"/>
    <s v="NJ"/>
    <n v="702541"/>
    <n v="494261"/>
    <n v="208280"/>
    <n v="228600"/>
    <n v="136300"/>
    <n v="92300"/>
  </r>
  <r>
    <n v="13367"/>
    <n v="13368"/>
    <x v="1"/>
    <s v="NJ-00033"/>
    <s v="TOMS RIVER"/>
    <n v="8739"/>
    <s v="OCEAN"/>
    <s v="NJ"/>
    <n v="321688"/>
    <n v="234918"/>
    <n v="86770"/>
    <n v="165400"/>
    <n v="120300"/>
    <n v="45100"/>
  </r>
  <r>
    <n v="13367"/>
    <n v="13368"/>
    <x v="1"/>
    <s v="NJ-00033"/>
    <s v="TOMS RIVER"/>
    <n v="8742"/>
    <s v="OCEAN"/>
    <s v="NJ"/>
    <n v="77464"/>
    <n v="18964"/>
    <n v="58500"/>
    <n v="0"/>
    <n v="0"/>
    <n v="0"/>
  </r>
  <r>
    <n v="13367"/>
    <n v="13368"/>
    <x v="1"/>
    <s v="NJ-00033"/>
    <s v="TOMS RIVER"/>
    <n v="8751"/>
    <s v="OCEAN"/>
    <s v="NJ"/>
    <n v="847886"/>
    <n v="579411"/>
    <n v="268475"/>
    <n v="543800"/>
    <n v="377100"/>
    <n v="166700"/>
  </r>
  <r>
    <n v="13367"/>
    <n v="13368"/>
    <x v="1"/>
    <s v="NJ-00033"/>
    <s v="TOMS RIVER"/>
    <n v="8752"/>
    <s v="OCEAN"/>
    <s v="NJ"/>
    <n v="379846"/>
    <n v="251082"/>
    <n v="128764"/>
    <n v="114100"/>
    <n v="88500"/>
    <n v="25600"/>
  </r>
  <r>
    <n v="13367"/>
    <n v="13368"/>
    <x v="1"/>
    <s v="NJ-00033"/>
    <s v="TOMS RIVER"/>
    <n v="8753"/>
    <s v="MORRIS"/>
    <s v="NJ"/>
    <n v="61794"/>
    <n v="42569"/>
    <n v="19225"/>
    <n v="0"/>
    <n v="0"/>
    <n v="0"/>
  </r>
  <r>
    <n v="13367"/>
    <n v="13368"/>
    <x v="1"/>
    <s v="NJ-00033"/>
    <s v="TOMS RIVER"/>
    <n v="8753"/>
    <s v="OCEAN"/>
    <s v="NJ"/>
    <n v="164153499"/>
    <n v="116835666"/>
    <n v="47317833"/>
    <n v="65610100"/>
    <n v="45082600"/>
    <n v="20527500"/>
  </r>
  <r>
    <n v="13367"/>
    <n v="13368"/>
    <x v="1"/>
    <s v="NJ-00033"/>
    <s v="TOMS RIVER"/>
    <n v="8753"/>
    <s v="SALEM"/>
    <s v="NJ"/>
    <n v="108138"/>
    <n v="84738"/>
    <n v="23400"/>
    <n v="87100"/>
    <n v="63700"/>
    <n v="23400"/>
  </r>
  <r>
    <n v="13367"/>
    <n v="13368"/>
    <x v="1"/>
    <s v="NJ-00033"/>
    <s v="TOMS RIVER"/>
    <n v="8755"/>
    <s v="OCEAN"/>
    <s v="NJ"/>
    <n v="654921"/>
    <n v="565021"/>
    <n v="89900"/>
    <n v="216600"/>
    <n v="196300"/>
    <n v="20300"/>
  </r>
  <r>
    <n v="13367"/>
    <n v="13368"/>
    <x v="1"/>
    <s v="NJ-00033"/>
    <s v="TOMS RIVER"/>
    <n v="8757"/>
    <s v="OCEAN"/>
    <s v="NJ"/>
    <n v="184875"/>
    <n v="145595"/>
    <n v="39280"/>
    <n v="64900"/>
    <n v="36900"/>
    <n v="28000"/>
  </r>
  <r>
    <n v="13367"/>
    <n v="13368"/>
    <x v="1"/>
    <s v="NJ-00033"/>
    <s v="TOMS RIVER"/>
    <n v="8759"/>
    <s v="OCEAN"/>
    <s v="NJ"/>
    <n v="134070"/>
    <n v="89670"/>
    <n v="44400"/>
    <n v="12400"/>
    <n v="9000"/>
    <n v="3400"/>
  </r>
  <r>
    <n v="13367"/>
    <n v="13368"/>
    <x v="1"/>
    <s v="NJ-00033"/>
    <s v="TOM'S RIVER"/>
    <n v="8753"/>
    <s v="OCEAN"/>
    <s v="NJ"/>
    <n v="35888"/>
    <n v="33638"/>
    <n v="2250"/>
    <n v="0"/>
    <n v="0"/>
    <n v="0"/>
  </r>
  <r>
    <n v="13367"/>
    <n v="13368"/>
    <x v="1"/>
    <s v="NJ-00033"/>
    <s v="TOMS RIVER TOWNSHIP"/>
    <n v="8735"/>
    <s v="OCEAN"/>
    <s v="NJ"/>
    <n v="48561"/>
    <n v="48561"/>
    <n v="0"/>
    <n v="0"/>
    <n v="0"/>
    <n v="0"/>
  </r>
  <r>
    <n v="13367"/>
    <n v="13368"/>
    <x v="1"/>
    <s v="NJ-00033"/>
    <s v="TOMS RIVER TOWNSHIP"/>
    <n v="8751"/>
    <s v="OCEAN"/>
    <s v="NJ"/>
    <n v="250190"/>
    <n v="203990"/>
    <n v="46200"/>
    <n v="0"/>
    <n v="0"/>
    <n v="0"/>
  </r>
  <r>
    <n v="13367"/>
    <n v="13368"/>
    <x v="1"/>
    <s v="NJ-00033"/>
    <s v="TOMS RIVER TWP"/>
    <n v="8751"/>
    <s v="OCEAN"/>
    <s v="NJ"/>
    <n v="161294"/>
    <n v="119594"/>
    <n v="41700"/>
    <n v="0"/>
    <n v="0"/>
    <n v="0"/>
  </r>
  <r>
    <n v="13367"/>
    <n v="13368"/>
    <x v="1"/>
    <s v="NJ-00033"/>
    <s v="TOMS RIVERS"/>
    <n v="8753"/>
    <s v="OCEAN"/>
    <s v="NJ"/>
    <n v="356487"/>
    <n v="230742"/>
    <n v="125745"/>
    <n v="140100"/>
    <n v="100100"/>
    <n v="40000"/>
  </r>
  <r>
    <n v="13367"/>
    <n v="13368"/>
    <x v="1"/>
    <s v="NJ-00033"/>
    <s v="TOMSRIVER"/>
    <n v="8735"/>
    <s v="OCEAN"/>
    <s v="NJ"/>
    <n v="95142"/>
    <n v="65267"/>
    <n v="29875"/>
    <n v="0"/>
    <n v="0"/>
    <n v="0"/>
  </r>
  <r>
    <n v="13367"/>
    <n v="13368"/>
    <x v="1"/>
    <s v="NJ-00033"/>
    <s v="TOMSRIVER"/>
    <n v="8753"/>
    <s v="OCEAN"/>
    <s v="NJ"/>
    <n v="41822"/>
    <n v="37222"/>
    <n v="4600"/>
    <n v="38200"/>
    <n v="33600"/>
    <n v="4600"/>
  </r>
  <r>
    <n v="13367"/>
    <n v="13368"/>
    <x v="1"/>
    <s v="NJ-00033"/>
    <s v="TOTOWA"/>
    <n v="7512"/>
    <s v="PASSAIC"/>
    <s v="NJ"/>
    <n v="23492"/>
    <n v="22242"/>
    <n v="1250"/>
    <n v="0"/>
    <n v="0"/>
    <n v="0"/>
  </r>
  <r>
    <n v="13367"/>
    <n v="13368"/>
    <x v="1"/>
    <s v="NJ-00033"/>
    <s v="TOWACO"/>
    <n v="7082"/>
    <s v="MORRIS"/>
    <s v="NJ"/>
    <n v="31949"/>
    <n v="29999"/>
    <n v="1950"/>
    <n v="0"/>
    <n v="0"/>
    <n v="0"/>
  </r>
  <r>
    <n v="13367"/>
    <n v="13368"/>
    <x v="1"/>
    <s v="NJ-00033"/>
    <s v="TOWNSHIP OF BRICK"/>
    <n v="8738"/>
    <s v="OCEAN"/>
    <s v="NJ"/>
    <n v="711567"/>
    <n v="662367"/>
    <n v="49200"/>
    <n v="240000"/>
    <n v="200000"/>
    <n v="40000"/>
  </r>
  <r>
    <n v="13367"/>
    <n v="13368"/>
    <x v="1"/>
    <s v="NJ-00033"/>
    <s v="TRENTON"/>
    <n v="8609"/>
    <s v="MERCER"/>
    <s v="NJ"/>
    <n v="13542"/>
    <n v="10862"/>
    <n v="2680"/>
    <n v="13600"/>
    <n v="10900"/>
    <n v="2700"/>
  </r>
  <r>
    <n v="13367"/>
    <n v="13368"/>
    <x v="1"/>
    <s v="NJ-00033"/>
    <s v="TRENTON"/>
    <n v="8610"/>
    <s v="MERCER"/>
    <s v="NJ"/>
    <n v="11006"/>
    <n v="11006"/>
    <n v="0"/>
    <n v="9400"/>
    <n v="9400"/>
    <n v="0"/>
  </r>
  <r>
    <n v="13367"/>
    <n v="13368"/>
    <x v="1"/>
    <s v="NJ-00033"/>
    <s v="TRENTON"/>
    <n v="8611"/>
    <s v="MERCER"/>
    <s v="NJ"/>
    <n v="24786"/>
    <n v="22586"/>
    <n v="2200"/>
    <n v="14000"/>
    <n v="11800"/>
    <n v="2200"/>
  </r>
  <r>
    <n v="13367"/>
    <n v="13368"/>
    <x v="1"/>
    <s v="NJ-00033"/>
    <s v="TRENTON"/>
    <n v="8618"/>
    <s v="MERCER"/>
    <s v="NJ"/>
    <n v="48131"/>
    <n v="32756"/>
    <n v="15375"/>
    <n v="7200"/>
    <n v="6500"/>
    <n v="700"/>
  </r>
  <r>
    <n v="13367"/>
    <n v="13368"/>
    <x v="1"/>
    <s v="NJ-00033"/>
    <s v="TRENTON"/>
    <n v="8619"/>
    <s v="MERCER"/>
    <s v="NJ"/>
    <n v="12655"/>
    <n v="12655"/>
    <n v="0"/>
    <n v="0"/>
    <n v="0"/>
    <n v="0"/>
  </r>
  <r>
    <n v="13367"/>
    <n v="13368"/>
    <x v="1"/>
    <s v="NJ-00033"/>
    <s v="TRENTON"/>
    <n v="8629"/>
    <s v="MERCER"/>
    <s v="NJ"/>
    <n v="31993"/>
    <n v="31313"/>
    <n v="680"/>
    <n v="16600"/>
    <n v="15900"/>
    <n v="700"/>
  </r>
  <r>
    <n v="13367"/>
    <n v="13368"/>
    <x v="1"/>
    <s v="NJ-00033"/>
    <s v="TRENTON"/>
    <n v="8638"/>
    <s v="MERCER"/>
    <s v="NJ"/>
    <n v="3755"/>
    <n v="3755"/>
    <n v="0"/>
    <n v="0"/>
    <n v="0"/>
    <n v="0"/>
  </r>
  <r>
    <n v="13367"/>
    <n v="13368"/>
    <x v="1"/>
    <s v="NJ-00033"/>
    <s v="TUCKAHOE"/>
    <n v="8250"/>
    <s v="CAPE MAY"/>
    <s v="NJ"/>
    <n v="6368"/>
    <n v="2043"/>
    <n v="4325"/>
    <n v="0"/>
    <n v="0"/>
    <n v="0"/>
  </r>
  <r>
    <n v="13367"/>
    <n v="13368"/>
    <x v="1"/>
    <s v="NJ-00033"/>
    <s v="TUCKERTON"/>
    <n v="8087"/>
    <s v="BURLINGTON"/>
    <s v="NJ"/>
    <n v="384140"/>
    <n v="316990"/>
    <n v="67150"/>
    <n v="209100"/>
    <n v="157500"/>
    <n v="51600"/>
  </r>
  <r>
    <n v="13367"/>
    <n v="13368"/>
    <x v="1"/>
    <s v="NJ-00033"/>
    <s v="TUCKERTON"/>
    <n v="8087"/>
    <s v="OCEAN"/>
    <s v="NJ"/>
    <n v="12247506"/>
    <n v="9496951"/>
    <n v="2750555"/>
    <n v="3934500"/>
    <n v="2944300"/>
    <n v="990200"/>
  </r>
  <r>
    <n v="13367"/>
    <n v="13368"/>
    <x v="1"/>
    <s v="NJ-00033"/>
    <s v="TUCKERTON"/>
    <n v="8224"/>
    <s v="BURLINGTON"/>
    <s v="NJ"/>
    <n v="192113"/>
    <n v="145588"/>
    <n v="46525"/>
    <n v="160100"/>
    <n v="120100"/>
    <n v="40000"/>
  </r>
  <r>
    <n v="13367"/>
    <n v="13368"/>
    <x v="1"/>
    <s v="NJ-00033"/>
    <s v="TUCKERTON BEACH"/>
    <n v="8087"/>
    <s v="OCEAN"/>
    <s v="NJ"/>
    <n v="26549"/>
    <n v="0"/>
    <n v="26549"/>
    <n v="26600"/>
    <n v="0"/>
    <n v="26600"/>
  </r>
  <r>
    <n v="13367"/>
    <n v="13368"/>
    <x v="1"/>
    <s v="NJ-00033"/>
    <s v="UNION"/>
    <n v="7083"/>
    <s v="UNION"/>
    <s v="NJ"/>
    <n v="847868"/>
    <n v="750806"/>
    <n v="97062"/>
    <n v="269400"/>
    <n v="225200"/>
    <n v="44200"/>
  </r>
  <r>
    <n v="13367"/>
    <n v="13368"/>
    <x v="1"/>
    <s v="NJ-00033"/>
    <s v="UNION"/>
    <n v="7735"/>
    <s v="MONMOUTH"/>
    <s v="NJ"/>
    <n v="72470"/>
    <n v="63080"/>
    <n v="9390"/>
    <n v="0"/>
    <n v="0"/>
    <n v="0"/>
  </r>
  <r>
    <n v="13367"/>
    <n v="13368"/>
    <x v="1"/>
    <s v="NJ-00033"/>
    <s v="UNION BEACH"/>
    <n v="7728"/>
    <s v="MONMOUTH"/>
    <s v="NJ"/>
    <n v="230542"/>
    <n v="180442"/>
    <n v="50100"/>
    <n v="203200"/>
    <n v="163200"/>
    <n v="40000"/>
  </r>
  <r>
    <n v="13367"/>
    <n v="13368"/>
    <x v="1"/>
    <s v="NJ-00033"/>
    <s v="UNION BEACH"/>
    <n v="7735"/>
    <s v="MONMOUTH"/>
    <s v="NJ"/>
    <n v="63400662"/>
    <n v="46830266"/>
    <n v="16570396"/>
    <n v="27409900"/>
    <n v="18903500"/>
    <n v="8306400"/>
  </r>
  <r>
    <n v="13367"/>
    <n v="13368"/>
    <x v="1"/>
    <s v="NJ-00033"/>
    <s v="UNION BEACH, NJ"/>
    <n v="7735"/>
    <s v="MONMOUTH"/>
    <s v="NJ"/>
    <n v="45817"/>
    <n v="36367"/>
    <n v="9450"/>
    <n v="28400"/>
    <n v="18900"/>
    <n v="9500"/>
  </r>
  <r>
    <n v="13367"/>
    <n v="13368"/>
    <x v="1"/>
    <s v="NJ-00033"/>
    <s v="UNION BRACH"/>
    <n v="7735"/>
    <s v="MONMOUTH"/>
    <s v="NJ"/>
    <n v="10493"/>
    <n v="5193"/>
    <n v="5300"/>
    <n v="10500"/>
    <n v="5200"/>
    <n v="5300"/>
  </r>
  <r>
    <n v="13367"/>
    <n v="13368"/>
    <x v="1"/>
    <s v="NJ-00033"/>
    <s v="UNION CITY"/>
    <n v="7087"/>
    <s v="HUDSON"/>
    <s v="NJ"/>
    <n v="42401"/>
    <n v="25926"/>
    <n v="16475"/>
    <n v="18400"/>
    <n v="8300"/>
    <n v="10100"/>
  </r>
  <r>
    <n v="13367"/>
    <n v="13368"/>
    <x v="1"/>
    <s v="NJ-00033"/>
    <s v="UNION CITY"/>
    <n v="7735"/>
    <s v="MONMOUTH"/>
    <s v="NJ"/>
    <n v="289052"/>
    <n v="162452"/>
    <n v="126600"/>
    <n v="0"/>
    <n v="0"/>
    <n v="0"/>
  </r>
  <r>
    <n v="13367"/>
    <n v="13368"/>
    <x v="1"/>
    <s v="NJ-00033"/>
    <s v="UPPER FREEHOLD"/>
    <n v="8501"/>
    <s v="MONMOUTH"/>
    <s v="NJ"/>
    <n v="31791"/>
    <n v="31791"/>
    <n v="0"/>
    <n v="31800"/>
    <n v="31800"/>
    <n v="0"/>
  </r>
  <r>
    <n v="13367"/>
    <n v="13368"/>
    <x v="1"/>
    <s v="NJ-00033"/>
    <s v="UPPER MONTCLAIR"/>
    <n v="7043"/>
    <s v="ESSEX"/>
    <s v="NJ"/>
    <n v="210495"/>
    <n v="210495"/>
    <n v="0"/>
    <n v="170600"/>
    <n v="170600"/>
    <n v="0"/>
  </r>
  <r>
    <n v="13367"/>
    <n v="13368"/>
    <x v="1"/>
    <s v="NJ-00033"/>
    <s v="UPPER SADDLE RIVER"/>
    <n v="7458"/>
    <s v="BERGEN"/>
    <s v="NJ"/>
    <n v="38795"/>
    <n v="38195"/>
    <n v="600"/>
    <n v="36600"/>
    <n v="36000"/>
    <n v="600"/>
  </r>
  <r>
    <n v="13367"/>
    <n v="13368"/>
    <x v="1"/>
    <s v="NJ-00033"/>
    <s v="UPPERSADDLE RIVER"/>
    <n v="7458"/>
    <s v="BERGEN"/>
    <s v="NJ"/>
    <n v="155188"/>
    <n v="100488"/>
    <n v="54700"/>
    <n v="0"/>
    <n v="0"/>
    <n v="0"/>
  </r>
  <r>
    <n v="13367"/>
    <n v="13368"/>
    <x v="1"/>
    <s v="NJ-00033"/>
    <s v="VAUXHALL"/>
    <n v="7088"/>
    <s v="UNION"/>
    <s v="NJ"/>
    <n v="92189"/>
    <n v="81964"/>
    <n v="10225"/>
    <n v="38700"/>
    <n v="36800"/>
    <n v="1900"/>
  </r>
  <r>
    <n v="13367"/>
    <n v="13368"/>
    <x v="1"/>
    <s v="NJ-00033"/>
    <s v="VENTNOR"/>
    <n v="8203"/>
    <s v="ATLANTIC"/>
    <s v="NJ"/>
    <n v="17975"/>
    <n v="0"/>
    <n v="17975"/>
    <n v="0"/>
    <n v="0"/>
    <n v="0"/>
  </r>
  <r>
    <n v="13367"/>
    <n v="13368"/>
    <x v="1"/>
    <s v="NJ-00033"/>
    <s v="VENTNOR"/>
    <n v="8330"/>
    <s v="ATLANTIC"/>
    <s v="NJ"/>
    <n v="12535"/>
    <n v="0"/>
    <n v="12535"/>
    <n v="0"/>
    <n v="0"/>
    <n v="0"/>
  </r>
  <r>
    <n v="13367"/>
    <n v="13368"/>
    <x v="1"/>
    <s v="NJ-00033"/>
    <s v="VENTNOR"/>
    <n v="8406"/>
    <s v="ATLANTIC"/>
    <s v="NJ"/>
    <n v="8761814"/>
    <n v="6722509"/>
    <n v="2039305"/>
    <n v="3050400"/>
    <n v="2286500"/>
    <n v="763900"/>
  </r>
  <r>
    <n v="13367"/>
    <n v="13368"/>
    <x v="1"/>
    <s v="NJ-00033"/>
    <s v="VENTNOR"/>
    <n v="8506"/>
    <s v="ATLANTIC"/>
    <s v="NJ"/>
    <n v="94105"/>
    <n v="80775"/>
    <n v="13330"/>
    <n v="0"/>
    <n v="0"/>
    <n v="0"/>
  </r>
  <r>
    <n v="13367"/>
    <n v="13368"/>
    <x v="1"/>
    <s v="NJ-00033"/>
    <s v="VENTNOR AVE"/>
    <n v="8406"/>
    <s v="ATLANTIC"/>
    <s v="NJ"/>
    <n v="35587"/>
    <n v="32937"/>
    <n v="2650"/>
    <n v="0"/>
    <n v="0"/>
    <n v="0"/>
  </r>
  <r>
    <n v="13367"/>
    <n v="13368"/>
    <x v="1"/>
    <s v="NJ-00033"/>
    <s v="VENTNOR CITY"/>
    <n v="8406"/>
    <s v="ATLANTIC"/>
    <s v="NJ"/>
    <n v="11893022"/>
    <n v="8359192"/>
    <n v="3533830"/>
    <n v="4426500"/>
    <n v="2938700"/>
    <n v="1487800"/>
  </r>
  <r>
    <n v="13367"/>
    <n v="13368"/>
    <x v="1"/>
    <s v="NJ-00033"/>
    <s v="VENTNOR HEIGHTS"/>
    <n v="8406"/>
    <s v="ATLANTIC"/>
    <s v="NJ"/>
    <n v="32582"/>
    <n v="7166"/>
    <n v="25416"/>
    <n v="0"/>
    <n v="0"/>
    <n v="0"/>
  </r>
  <r>
    <n v="13367"/>
    <n v="13368"/>
    <x v="1"/>
    <s v="NJ-00033"/>
    <s v="VENTOR"/>
    <n v="8406"/>
    <s v="ATLANTIC"/>
    <s v="NJ"/>
    <n v="77737"/>
    <n v="62637"/>
    <n v="15100"/>
    <n v="6800"/>
    <n v="0"/>
    <n v="6800"/>
  </r>
  <r>
    <n v="13367"/>
    <n v="13368"/>
    <x v="1"/>
    <s v="NJ-00033"/>
    <s v="VERONA"/>
    <n v="7044"/>
    <s v="ESSEX"/>
    <s v="NJ"/>
    <n v="22514"/>
    <n v="22264"/>
    <n v="250"/>
    <n v="21600"/>
    <n v="21300"/>
    <n v="300"/>
  </r>
  <r>
    <n v="13367"/>
    <n v="13368"/>
    <x v="1"/>
    <s v="NJ-00033"/>
    <s v="VETNOR"/>
    <n v="8046"/>
    <s v="ATLANTIC"/>
    <s v="NJ"/>
    <n v="16392"/>
    <n v="0"/>
    <n v="16392"/>
    <n v="0"/>
    <n v="0"/>
    <n v="0"/>
  </r>
  <r>
    <n v="13367"/>
    <n v="13368"/>
    <x v="1"/>
    <s v="NJ-00033"/>
    <s v="VETNOR"/>
    <n v="8406"/>
    <s v="ATLANTIC"/>
    <s v="NJ"/>
    <n v="31430"/>
    <n v="28930"/>
    <n v="2500"/>
    <n v="0"/>
    <n v="0"/>
    <n v="0"/>
  </r>
  <r>
    <n v="13367"/>
    <n v="13368"/>
    <x v="1"/>
    <s v="NJ-00033"/>
    <s v="VILLAS"/>
    <n v="8251"/>
    <s v="CAPE MAY"/>
    <s v="NJ"/>
    <n v="333083"/>
    <n v="310713"/>
    <n v="22370"/>
    <n v="165900"/>
    <n v="143500"/>
    <n v="22400"/>
  </r>
  <r>
    <n v="13367"/>
    <n v="13368"/>
    <x v="1"/>
    <s v="NJ-00033"/>
    <s v="VINELAND"/>
    <n v="8360"/>
    <s v="CUMBERLAND"/>
    <s v="NJ"/>
    <n v="60549"/>
    <n v="59049"/>
    <n v="1500"/>
    <n v="19600"/>
    <n v="19600"/>
    <n v="0"/>
  </r>
  <r>
    <n v="13367"/>
    <n v="13368"/>
    <x v="1"/>
    <s v="NJ-00033"/>
    <s v="VINELAND"/>
    <n v="8361"/>
    <s v="CUMBERLAND"/>
    <s v="NJ"/>
    <n v="8806"/>
    <n v="8806"/>
    <n v="0"/>
    <n v="4900"/>
    <n v="4900"/>
    <n v="0"/>
  </r>
  <r>
    <n v="13367"/>
    <n v="13368"/>
    <x v="1"/>
    <s v="NJ-00033"/>
    <s v="W ATLANTIC CITY"/>
    <n v="8232"/>
    <s v="ATLANTIC"/>
    <s v="NJ"/>
    <n v="142098"/>
    <n v="116798"/>
    <n v="25300"/>
    <n v="52200"/>
    <n v="37600"/>
    <n v="14600"/>
  </r>
  <r>
    <n v="13367"/>
    <n v="13368"/>
    <x v="1"/>
    <s v="NJ-00033"/>
    <s v="W KEANSBURG"/>
    <n v="7734"/>
    <s v="MONMOUTH"/>
    <s v="NJ"/>
    <n v="25964"/>
    <n v="23764"/>
    <n v="2200"/>
    <n v="0"/>
    <n v="0"/>
    <n v="0"/>
  </r>
  <r>
    <n v="13367"/>
    <n v="13368"/>
    <x v="1"/>
    <s v="NJ-00033"/>
    <s v="W WILDWOOD"/>
    <n v="8260"/>
    <s v="CAPE MAY"/>
    <s v="NJ"/>
    <n v="170040"/>
    <n v="106180"/>
    <n v="63860"/>
    <n v="87000"/>
    <n v="58800"/>
    <n v="28200"/>
  </r>
  <r>
    <n v="13367"/>
    <n v="13368"/>
    <x v="1"/>
    <s v="NJ-00033"/>
    <s v="W. WILDWOOD"/>
    <n v="8260"/>
    <s v="CAPE MAY"/>
    <s v="NJ"/>
    <n v="18587"/>
    <n v="16612"/>
    <n v="1975"/>
    <n v="18600"/>
    <n v="16700"/>
    <n v="1900"/>
  </r>
  <r>
    <n v="13367"/>
    <n v="13368"/>
    <x v="1"/>
    <s v="NJ-00033"/>
    <s v="W.WILDWOOD"/>
    <n v="8260"/>
    <s v="CAPE MAY"/>
    <s v="NJ"/>
    <n v="2981"/>
    <n v="1061"/>
    <n v="1920"/>
    <n v="0"/>
    <n v="0"/>
    <n v="0"/>
  </r>
  <r>
    <n v="13367"/>
    <n v="13368"/>
    <x v="1"/>
    <s v="NJ-00033"/>
    <s v="WALDWICK"/>
    <n v="7463"/>
    <s v="BERGEN"/>
    <s v="NJ"/>
    <n v="128170"/>
    <n v="115670"/>
    <n v="12500"/>
    <n v="47500"/>
    <n v="46600"/>
    <n v="900"/>
  </r>
  <r>
    <n v="13367"/>
    <n v="13368"/>
    <x v="1"/>
    <s v="NJ-00033"/>
    <s v="WALL"/>
    <n v="7719"/>
    <s v="MONMOUTH"/>
    <s v="NJ"/>
    <n v="541319"/>
    <n v="432444"/>
    <n v="108875"/>
    <n v="375300"/>
    <n v="281900"/>
    <n v="93400"/>
  </r>
  <r>
    <n v="13367"/>
    <n v="13368"/>
    <x v="1"/>
    <s v="NJ-00033"/>
    <s v="WALL TOWNSHIP"/>
    <n v="7719"/>
    <s v="MONMOUTH"/>
    <s v="NJ"/>
    <n v="407041"/>
    <n v="388416"/>
    <n v="18625"/>
    <n v="110200"/>
    <n v="110100"/>
    <n v="100"/>
  </r>
  <r>
    <n v="13367"/>
    <n v="13368"/>
    <x v="1"/>
    <s v="NJ-00033"/>
    <s v="WALL TOWNSHIP"/>
    <n v="7753"/>
    <s v="MONMOUTH"/>
    <s v="NJ"/>
    <n v="27365"/>
    <n v="27365"/>
    <n v="0"/>
    <n v="8000"/>
    <n v="8000"/>
    <n v="0"/>
  </r>
  <r>
    <n v="13367"/>
    <n v="13368"/>
    <x v="1"/>
    <s v="NJ-00033"/>
    <s v="WALL TWP"/>
    <n v="7753"/>
    <s v="MONMOUTH"/>
    <s v="NJ"/>
    <n v="54088"/>
    <n v="41963"/>
    <n v="12125"/>
    <n v="0"/>
    <n v="0"/>
    <n v="0"/>
  </r>
  <r>
    <n v="13367"/>
    <n v="13368"/>
    <x v="1"/>
    <s v="NJ-00033"/>
    <s v="WALLINGTON"/>
    <n v="7057"/>
    <s v="BERGEN"/>
    <s v="NJ"/>
    <n v="69047"/>
    <n v="35887"/>
    <n v="33160"/>
    <n v="41000"/>
    <n v="15600"/>
    <n v="25400"/>
  </r>
  <r>
    <n v="13367"/>
    <n v="13368"/>
    <x v="1"/>
    <s v="NJ-00033"/>
    <s v="WANAQUE"/>
    <n v="7465"/>
    <s v="PASSAIC"/>
    <s v="NJ"/>
    <n v="41534"/>
    <n v="39334"/>
    <n v="2200"/>
    <n v="36100"/>
    <n v="33900"/>
    <n v="2200"/>
  </r>
  <r>
    <n v="13367"/>
    <n v="13368"/>
    <x v="1"/>
    <s v="NJ-00033"/>
    <s v="WANTAGE"/>
    <n v="7461"/>
    <s v="SUSSEX"/>
    <s v="NJ"/>
    <n v="46113"/>
    <n v="45563"/>
    <n v="550"/>
    <n v="0"/>
    <n v="0"/>
    <n v="0"/>
  </r>
  <r>
    <n v="13367"/>
    <n v="13368"/>
    <x v="1"/>
    <s v="NJ-00033"/>
    <s v="WARETOWN"/>
    <n v="8758"/>
    <s v="ATLANTIC"/>
    <s v="NJ"/>
    <n v="24400"/>
    <n v="0"/>
    <n v="24400"/>
    <n v="0"/>
    <n v="0"/>
    <n v="0"/>
  </r>
  <r>
    <n v="13367"/>
    <n v="13368"/>
    <x v="1"/>
    <s v="NJ-00033"/>
    <s v="WARETOWN"/>
    <n v="8758"/>
    <s v="OCEAN"/>
    <s v="NJ"/>
    <n v="9421511"/>
    <n v="7128226"/>
    <n v="2293285"/>
    <n v="3983000"/>
    <n v="2842000"/>
    <n v="1141000"/>
  </r>
  <r>
    <n v="13367"/>
    <n v="13368"/>
    <x v="1"/>
    <s v="NJ-00033"/>
    <s v="WARREN"/>
    <n v="7059"/>
    <s v="SOMERSET"/>
    <s v="NJ"/>
    <n v="97459"/>
    <n v="79809"/>
    <n v="17650"/>
    <n v="73300"/>
    <n v="63500"/>
    <n v="9800"/>
  </r>
  <r>
    <n v="13367"/>
    <n v="13368"/>
    <x v="1"/>
    <s v="NJ-00033"/>
    <s v="WASHINGTON"/>
    <n v="7882"/>
    <s v="WARREN"/>
    <s v="NJ"/>
    <n v="173359"/>
    <n v="145494"/>
    <n v="27865"/>
    <n v="137400"/>
    <n v="110000"/>
    <n v="27400"/>
  </r>
  <r>
    <n v="13367"/>
    <n v="13368"/>
    <x v="1"/>
    <s v="NJ-00033"/>
    <s v="WATCHUNG"/>
    <n v="7069"/>
    <s v="SOMERSET"/>
    <s v="NJ"/>
    <n v="400939"/>
    <n v="392749"/>
    <n v="8190"/>
    <n v="226000"/>
    <n v="218800"/>
    <n v="7200"/>
  </r>
  <r>
    <n v="13367"/>
    <n v="13368"/>
    <x v="1"/>
    <s v="NJ-00033"/>
    <s v="WAYNE"/>
    <n v="7470"/>
    <s v="PASSAIC"/>
    <s v="NJ"/>
    <n v="909423"/>
    <n v="766338"/>
    <n v="143085"/>
    <n v="347500"/>
    <n v="318900"/>
    <n v="28600"/>
  </r>
  <r>
    <n v="13367"/>
    <n v="13368"/>
    <x v="1"/>
    <s v="NJ-00033"/>
    <s v="WEEHAWKEN"/>
    <n v="7086"/>
    <s v="HUDSON"/>
    <s v="NJ"/>
    <n v="1714371"/>
    <n v="1057732"/>
    <n v="656639"/>
    <n v="696400"/>
    <n v="378400"/>
    <n v="318000"/>
  </r>
  <r>
    <n v="13367"/>
    <n v="13368"/>
    <x v="1"/>
    <s v="NJ-00033"/>
    <s v="WEST ATLANTIC"/>
    <n v="8232"/>
    <s v="ATLANTIC"/>
    <s v="NJ"/>
    <n v="174770"/>
    <n v="140270"/>
    <n v="34500"/>
    <n v="0"/>
    <n v="0"/>
    <n v="0"/>
  </r>
  <r>
    <n v="13367"/>
    <n v="13368"/>
    <x v="1"/>
    <s v="NJ-00033"/>
    <s v="WEST ATLANTIC CITY"/>
    <n v="8232"/>
    <s v="ATLANTIC"/>
    <s v="NJ"/>
    <n v="125634"/>
    <n v="84034"/>
    <n v="41600"/>
    <n v="45800"/>
    <n v="32700"/>
    <n v="13100"/>
  </r>
  <r>
    <n v="13367"/>
    <n v="13368"/>
    <x v="1"/>
    <s v="NJ-00033"/>
    <s v="WEST BELMAR"/>
    <n v="7719"/>
    <s v="MONMOUTH"/>
    <s v="NJ"/>
    <n v="15055"/>
    <n v="15055"/>
    <n v="0"/>
    <n v="0"/>
    <n v="0"/>
    <n v="0"/>
  </r>
  <r>
    <n v="13367"/>
    <n v="13368"/>
    <x v="1"/>
    <s v="NJ-00033"/>
    <s v="WEST CALDWELL"/>
    <n v="7006"/>
    <s v="ESSEX"/>
    <s v="NJ"/>
    <n v="81135"/>
    <n v="75060"/>
    <n v="6075"/>
    <n v="17800"/>
    <n v="17800"/>
    <n v="0"/>
  </r>
  <r>
    <n v="13367"/>
    <n v="13368"/>
    <x v="1"/>
    <s v="NJ-00033"/>
    <s v="WEST CAPE MAY"/>
    <n v="8204"/>
    <s v="CAPE MAY"/>
    <s v="NJ"/>
    <n v="50638"/>
    <n v="49738"/>
    <n v="900"/>
    <n v="26100"/>
    <n v="25200"/>
    <n v="900"/>
  </r>
  <r>
    <n v="13367"/>
    <n v="13368"/>
    <x v="1"/>
    <s v="NJ-00033"/>
    <s v="WEST CREEK"/>
    <n v="8092"/>
    <s v="OCEAN"/>
    <s v="NJ"/>
    <n v="2898976"/>
    <n v="2145742"/>
    <n v="753234"/>
    <n v="983500"/>
    <n v="634400"/>
    <n v="309000"/>
  </r>
  <r>
    <n v="13367"/>
    <n v="13368"/>
    <x v="1"/>
    <s v="NJ-00033"/>
    <s v="WEST LONG BRANCH"/>
    <n v="7764"/>
    <s v="MONMOUTH"/>
    <s v="NJ"/>
    <n v="240288"/>
    <n v="228888"/>
    <n v="11400"/>
    <n v="130200"/>
    <n v="118800"/>
    <n v="11400"/>
  </r>
  <r>
    <n v="13367"/>
    <n v="13368"/>
    <x v="1"/>
    <s v="NJ-00033"/>
    <s v="WEST LONGBRANCH"/>
    <n v="7764"/>
    <s v="MONMOUTH"/>
    <s v="NJ"/>
    <n v="7983"/>
    <n v="6783"/>
    <n v="1200"/>
    <n v="0"/>
    <n v="0"/>
    <n v="0"/>
  </r>
  <r>
    <n v="13367"/>
    <n v="13368"/>
    <x v="1"/>
    <s v="NJ-00033"/>
    <s v="WEST MILFORD"/>
    <n v="7480"/>
    <s v="PASSAIC"/>
    <s v="NJ"/>
    <n v="130365"/>
    <n v="120840"/>
    <n v="9525"/>
    <n v="104200"/>
    <n v="94600"/>
    <n v="9600"/>
  </r>
  <r>
    <n v="13367"/>
    <n v="13368"/>
    <x v="1"/>
    <s v="NJ-00033"/>
    <s v="WEST NEW YORK"/>
    <n v="7093"/>
    <s v="HUDSON"/>
    <s v="NJ"/>
    <n v="59424"/>
    <n v="40724"/>
    <n v="18700"/>
    <n v="48900"/>
    <n v="33600"/>
    <n v="15300"/>
  </r>
  <r>
    <n v="13367"/>
    <n v="13368"/>
    <x v="1"/>
    <s v="NJ-00033"/>
    <s v="WEST ORANGE"/>
    <n v="7052"/>
    <s v="ESSEX"/>
    <s v="NJ"/>
    <n v="321405"/>
    <n v="298485"/>
    <n v="22920"/>
    <n v="88000"/>
    <n v="84900"/>
    <n v="3100"/>
  </r>
  <r>
    <n v="13367"/>
    <n v="13368"/>
    <x v="1"/>
    <s v="NJ-00033"/>
    <s v="WEST WILDWOOD"/>
    <n v="8260"/>
    <s v="CAPE MAY"/>
    <s v="NJ"/>
    <n v="1466719"/>
    <n v="1125649"/>
    <n v="341070"/>
    <n v="459200"/>
    <n v="313200"/>
    <n v="146000"/>
  </r>
  <r>
    <n v="13367"/>
    <n v="13368"/>
    <x v="1"/>
    <s v="NJ-00033"/>
    <s v="WEST WINDSOR"/>
    <n v="8550"/>
    <s v="MERCER"/>
    <s v="NJ"/>
    <n v="42305"/>
    <n v="42165"/>
    <n v="140"/>
    <n v="29200"/>
    <n v="29200"/>
    <n v="0"/>
  </r>
  <r>
    <n v="13367"/>
    <n v="13368"/>
    <x v="1"/>
    <s v="NJ-00033"/>
    <s v="WESTCREEK"/>
    <n v="8092"/>
    <s v="OCEAN"/>
    <s v="NJ"/>
    <n v="114074"/>
    <n v="52224"/>
    <n v="61850"/>
    <n v="38600"/>
    <n v="32000"/>
    <n v="6600"/>
  </r>
  <r>
    <n v="13367"/>
    <n v="13368"/>
    <x v="1"/>
    <s v="NJ-00033"/>
    <s v="WESTFIELD"/>
    <n v="7090"/>
    <s v="UNION"/>
    <s v="NJ"/>
    <n v="578926"/>
    <n v="545580"/>
    <n v="33346"/>
    <n v="378900"/>
    <n v="352700"/>
    <n v="26200"/>
  </r>
  <r>
    <n v="13367"/>
    <n v="13368"/>
    <x v="1"/>
    <s v="NJ-00033"/>
    <s v="WESTWOOD"/>
    <n v="7675"/>
    <s v="BERGEN"/>
    <s v="NJ"/>
    <n v="50441"/>
    <n v="41353"/>
    <n v="9088"/>
    <n v="19300"/>
    <n v="10200"/>
    <n v="9100"/>
  </r>
  <r>
    <n v="13367"/>
    <n v="13368"/>
    <x v="1"/>
    <s v="NJ-00033"/>
    <s v="WHARTON"/>
    <n v="7885"/>
    <s v="MORRIS"/>
    <s v="NJ"/>
    <n v="230583"/>
    <n v="209748"/>
    <n v="20835"/>
    <n v="77300"/>
    <n v="68300"/>
    <n v="9000"/>
  </r>
  <r>
    <n v="13367"/>
    <n v="13368"/>
    <x v="1"/>
    <s v="NJ-00033"/>
    <s v="WHITEHOUSE STATION"/>
    <n v="8889"/>
    <s v="HUNTERDON"/>
    <s v="NJ"/>
    <n v="313436"/>
    <n v="295236"/>
    <n v="18200"/>
    <n v="0"/>
    <n v="0"/>
    <n v="0"/>
  </r>
  <r>
    <n v="13367"/>
    <n v="13368"/>
    <x v="1"/>
    <s v="NJ-00033"/>
    <s v="WHITING"/>
    <n v="8759"/>
    <s v="OCEAN"/>
    <s v="NJ"/>
    <n v="10125"/>
    <n v="0"/>
    <n v="10125"/>
    <n v="4000"/>
    <n v="0"/>
    <n v="4000"/>
  </r>
  <r>
    <n v="13367"/>
    <n v="13368"/>
    <x v="1"/>
    <s v="NJ-00033"/>
    <s v="WILDWOOD"/>
    <n v="8260"/>
    <s v="CAPE MAY"/>
    <s v="NJ"/>
    <n v="2465081"/>
    <n v="1891569"/>
    <n v="573512"/>
    <n v="835000"/>
    <n v="609900"/>
    <n v="225100"/>
  </r>
  <r>
    <n v="13367"/>
    <n v="13368"/>
    <x v="1"/>
    <s v="NJ-00033"/>
    <s v="WILDWOOD CREST"/>
    <n v="8260"/>
    <s v="CAPE MAY"/>
    <s v="NJ"/>
    <n v="134398"/>
    <n v="130948"/>
    <n v="3450"/>
    <n v="19000"/>
    <n v="17100"/>
    <n v="1900"/>
  </r>
  <r>
    <n v="13367"/>
    <n v="13368"/>
    <x v="1"/>
    <s v="NJ-00033"/>
    <s v="WILLIAMSTOWN"/>
    <n v="8094"/>
    <s v="GLOUCESTER"/>
    <s v="NJ"/>
    <n v="96099"/>
    <n v="77874"/>
    <n v="18225"/>
    <n v="0"/>
    <n v="0"/>
    <n v="0"/>
  </r>
  <r>
    <n v="13367"/>
    <n v="13368"/>
    <x v="1"/>
    <s v="NJ-00033"/>
    <s v="WILLINGBORO"/>
    <n v="8046"/>
    <s v="BURLINGTON"/>
    <s v="NJ"/>
    <n v="48557"/>
    <n v="41457"/>
    <n v="7100"/>
    <n v="37900"/>
    <n v="30800"/>
    <n v="7100"/>
  </r>
  <r>
    <n v="13367"/>
    <n v="13368"/>
    <x v="1"/>
    <s v="NJ-00033"/>
    <s v="WILLLIAMSTOWN"/>
    <n v="8094"/>
    <s v="GLOUCESTER"/>
    <s v="NJ"/>
    <n v="34132"/>
    <n v="34132"/>
    <n v="0"/>
    <n v="31300"/>
    <n v="31300"/>
    <n v="0"/>
  </r>
  <r>
    <n v="13367"/>
    <n v="13368"/>
    <x v="1"/>
    <s v="NJ-00033"/>
    <s v="WINFIELD PARK"/>
    <n v="7036"/>
    <s v="UNION"/>
    <s v="NJ"/>
    <n v="20500"/>
    <n v="0"/>
    <n v="20500"/>
    <n v="10500"/>
    <n v="0"/>
    <n v="10500"/>
  </r>
  <r>
    <n v="13367"/>
    <n v="13368"/>
    <x v="1"/>
    <s v="NJ-00033"/>
    <s v="WODBRIDGE"/>
    <n v="7095"/>
    <s v="MIDDLESEX"/>
    <s v="NJ"/>
    <n v="64615"/>
    <n v="54340"/>
    <n v="10275"/>
    <n v="0"/>
    <n v="0"/>
    <n v="0"/>
  </r>
  <r>
    <n v="13367"/>
    <n v="13368"/>
    <x v="1"/>
    <s v="NJ-00033"/>
    <s v="WOOD RIDGE"/>
    <n v="7075"/>
    <s v="BERGEN"/>
    <s v="NJ"/>
    <n v="68285"/>
    <n v="38725"/>
    <n v="29560"/>
    <n v="50700"/>
    <n v="21100"/>
    <n v="29600"/>
  </r>
  <r>
    <n v="13367"/>
    <n v="13368"/>
    <x v="1"/>
    <s v="NJ-00033"/>
    <s v="WOODBINE"/>
    <n v="8270"/>
    <s v="CAPE MAY"/>
    <s v="NJ"/>
    <n v="94752"/>
    <n v="70952"/>
    <n v="23800"/>
    <n v="1300"/>
    <n v="1300"/>
    <n v="0"/>
  </r>
  <r>
    <n v="13367"/>
    <n v="13368"/>
    <x v="1"/>
    <s v="NJ-00033"/>
    <s v="WOODBRIDGE"/>
    <n v="7095"/>
    <s v="MIDDLESEX"/>
    <s v="NJ"/>
    <n v="2531674"/>
    <n v="1936199"/>
    <n v="595475"/>
    <n v="990100"/>
    <n v="634000"/>
    <n v="356100"/>
  </r>
  <r>
    <n v="13367"/>
    <n v="13368"/>
    <x v="1"/>
    <s v="NJ-00033"/>
    <s v="WOODBURY"/>
    <n v="8096"/>
    <s v="GLOUCESTER"/>
    <s v="NJ"/>
    <n v="104259"/>
    <n v="97009"/>
    <n v="7250"/>
    <n v="0"/>
    <n v="0"/>
    <n v="0"/>
  </r>
  <r>
    <n v="13367"/>
    <n v="13368"/>
    <x v="1"/>
    <s v="NJ-00033"/>
    <s v="WOODCLIFF LAKE"/>
    <n v="7677"/>
    <s v="BERGEN"/>
    <s v="NJ"/>
    <n v="143917"/>
    <n v="128622"/>
    <n v="15295"/>
    <n v="0"/>
    <n v="0"/>
    <n v="0"/>
  </r>
  <r>
    <n v="13367"/>
    <n v="13368"/>
    <x v="1"/>
    <s v="NJ-00033"/>
    <s v="WOODLAND PARK"/>
    <n v="7424"/>
    <s v="PASSAIC"/>
    <s v="NJ"/>
    <n v="1100"/>
    <n v="0"/>
    <n v="1100"/>
    <n v="1100"/>
    <n v="0"/>
    <n v="1100"/>
  </r>
  <r>
    <n v="13367"/>
    <n v="13368"/>
    <x v="1"/>
    <s v="NJ-00033"/>
    <s v="WOODSTOWN"/>
    <n v="8098"/>
    <s v="SALEM"/>
    <s v="NJ"/>
    <n v="11633"/>
    <n v="11633"/>
    <n v="0"/>
    <n v="0"/>
    <n v="0"/>
    <n v="0"/>
  </r>
  <r>
    <n v="13367"/>
    <n v="13368"/>
    <x v="1"/>
    <s v="NJ-00033"/>
    <s v="WRIGHTSTOWN"/>
    <n v="8562"/>
    <s v="BURLINGTON"/>
    <s v="NJ"/>
    <n v="35854"/>
    <n v="35854"/>
    <n v="0"/>
    <n v="23700"/>
    <n v="23700"/>
    <n v="0"/>
  </r>
  <r>
    <n v="13367"/>
    <n v="13368"/>
    <x v="1"/>
    <s v="NJ-00033"/>
    <s v="WYCKOFF"/>
    <n v="7481"/>
    <s v="BERGEN"/>
    <s v="NJ"/>
    <n v="430816"/>
    <n v="373641"/>
    <n v="57175"/>
    <n v="242600"/>
    <n v="197400"/>
    <n v="45200"/>
  </r>
  <r>
    <n v="13369"/>
    <n v="13370"/>
    <x v="2"/>
    <s v="CT-00028"/>
    <s v="ANSONIA"/>
    <n v="6401"/>
    <s v="NEW HAVEN"/>
    <s v="CT"/>
    <n v="35968"/>
    <n v="35968"/>
    <n v="0"/>
    <n v="13000"/>
    <n v="13000"/>
    <n v="0"/>
  </r>
  <r>
    <n v="13369"/>
    <n v="13370"/>
    <x v="2"/>
    <s v="CT-00028"/>
    <s v="BETHANY"/>
    <n v="6524"/>
    <s v="NEW HAVEN"/>
    <s v="CT"/>
    <n v="44085"/>
    <n v="40315"/>
    <n v="3770"/>
    <n v="42400"/>
    <n v="38600"/>
    <n v="3800"/>
  </r>
  <r>
    <n v="13369"/>
    <n v="13370"/>
    <x v="2"/>
    <s v="CT-00028"/>
    <s v="BRANFORD"/>
    <n v="6405"/>
    <s v="NEW HAVEN"/>
    <s v="CT"/>
    <n v="866439"/>
    <n v="700649"/>
    <n v="165790"/>
    <n v="323900"/>
    <n v="222100"/>
    <n v="101800"/>
  </r>
  <r>
    <n v="13369"/>
    <n v="13370"/>
    <x v="2"/>
    <s v="CT-00028"/>
    <s v="BRIDGEPORT"/>
    <n v="6604"/>
    <s v="FAIRFIELD"/>
    <s v="CT"/>
    <n v="686000"/>
    <n v="417030"/>
    <n v="268970"/>
    <n v="211400"/>
    <n v="93300"/>
    <n v="118100"/>
  </r>
  <r>
    <n v="13369"/>
    <n v="13370"/>
    <x v="2"/>
    <s v="CT-00028"/>
    <s v="BRIDGEPORT"/>
    <n v="6605"/>
    <s v="FAIRFIELD"/>
    <s v="CT"/>
    <n v="655607"/>
    <n v="522307"/>
    <n v="133300"/>
    <n v="211100"/>
    <n v="147000"/>
    <n v="64100"/>
  </r>
  <r>
    <n v="13369"/>
    <n v="13370"/>
    <x v="2"/>
    <s v="CT-00028"/>
    <s v="BRIDGEPORT"/>
    <n v="6606"/>
    <s v="FAIRFIELD"/>
    <s v="CT"/>
    <n v="245254"/>
    <n v="198889"/>
    <n v="46365"/>
    <n v="41500"/>
    <n v="38700"/>
    <n v="2800"/>
  </r>
  <r>
    <n v="13369"/>
    <n v="13370"/>
    <x v="2"/>
    <s v="CT-00028"/>
    <s v="BRIDGEPORT"/>
    <n v="6607"/>
    <s v="FAIRFIELD"/>
    <s v="CT"/>
    <n v="162271"/>
    <n v="138156"/>
    <n v="24115"/>
    <n v="56000"/>
    <n v="42400"/>
    <n v="13600"/>
  </r>
  <r>
    <n v="13369"/>
    <n v="13370"/>
    <x v="2"/>
    <s v="CT-00028"/>
    <s v="BRIDGEPORT"/>
    <n v="6610"/>
    <s v="FAIRFIELD"/>
    <s v="CT"/>
    <n v="106390"/>
    <n v="105290"/>
    <n v="1100"/>
    <n v="14000"/>
    <n v="12900"/>
    <n v="1100"/>
  </r>
  <r>
    <n v="13369"/>
    <n v="13370"/>
    <x v="2"/>
    <s v="CT-00028"/>
    <s v="BROOKFIELD"/>
    <n v="6804"/>
    <s v="FAIRFIELD"/>
    <s v="CT"/>
    <n v="23639"/>
    <n v="23639"/>
    <n v="0"/>
    <n v="0"/>
    <n v="0"/>
    <n v="0"/>
  </r>
  <r>
    <n v="13369"/>
    <n v="13370"/>
    <x v="2"/>
    <s v="CT-00028"/>
    <s v="CLINTON"/>
    <n v="6413"/>
    <s v="MIDDLESEX"/>
    <s v="CT"/>
    <n v="806096"/>
    <n v="575716"/>
    <n v="230380"/>
    <n v="413900"/>
    <n v="262800"/>
    <n v="151100"/>
  </r>
  <r>
    <n v="13369"/>
    <n v="13370"/>
    <x v="2"/>
    <s v="CT-00028"/>
    <s v="COS COB"/>
    <n v="6807"/>
    <s v="FAIRFIELD"/>
    <s v="CT"/>
    <n v="128492"/>
    <n v="99347"/>
    <n v="29145"/>
    <n v="52500"/>
    <n v="37000"/>
    <n v="15500"/>
  </r>
  <r>
    <n v="13369"/>
    <n v="13370"/>
    <x v="2"/>
    <s v="CT-00028"/>
    <s v="DANBURY"/>
    <n v="6810"/>
    <s v="FAIRFIELD"/>
    <s v="CT"/>
    <n v="171178"/>
    <n v="140828"/>
    <n v="30350"/>
    <n v="65500"/>
    <n v="45000"/>
    <n v="20500"/>
  </r>
  <r>
    <n v="13369"/>
    <n v="13370"/>
    <x v="2"/>
    <s v="CT-00028"/>
    <s v="DANBURY"/>
    <n v="6811"/>
    <s v="FAIRFIELD"/>
    <s v="CT"/>
    <n v="226234"/>
    <n v="176834"/>
    <n v="49400"/>
    <n v="14000"/>
    <n v="14000"/>
    <n v="0"/>
  </r>
  <r>
    <n v="13369"/>
    <n v="13370"/>
    <x v="2"/>
    <s v="CT-00028"/>
    <s v="DARIEN"/>
    <n v="6820"/>
    <s v="FAIRFIELD"/>
    <s v="CT"/>
    <n v="4118832"/>
    <n v="3475912"/>
    <n v="642920"/>
    <n v="1759000"/>
    <n v="1421500"/>
    <n v="337500"/>
  </r>
  <r>
    <n v="13369"/>
    <n v="13370"/>
    <x v="2"/>
    <s v="CT-00028"/>
    <s v="DERBY"/>
    <n v="6418"/>
    <s v="NEW HAVEN"/>
    <s v="CT"/>
    <n v="26080"/>
    <n v="26080"/>
    <n v="0"/>
    <n v="17600"/>
    <n v="17600"/>
    <n v="0"/>
  </r>
  <r>
    <n v="13369"/>
    <n v="13370"/>
    <x v="2"/>
    <s v="CT-00028"/>
    <s v="EAST HAVEN"/>
    <n v="6511"/>
    <s v="NEW HAVEN"/>
    <s v="CT"/>
    <n v="1640"/>
    <n v="0"/>
    <n v="1640"/>
    <n v="1700"/>
    <n v="0"/>
    <n v="1700"/>
  </r>
  <r>
    <n v="13369"/>
    <n v="13370"/>
    <x v="2"/>
    <s v="CT-00028"/>
    <s v="EAST HAVEN"/>
    <n v="6512"/>
    <s v="NEW HAVEN"/>
    <s v="CT"/>
    <n v="2613884"/>
    <n v="2061059"/>
    <n v="552825"/>
    <n v="1491500"/>
    <n v="1208900"/>
    <n v="282600"/>
  </r>
  <r>
    <n v="13369"/>
    <n v="13370"/>
    <x v="2"/>
    <s v="CT-00028"/>
    <s v="EASTON"/>
    <n v="6612"/>
    <s v="FAIRFIELD"/>
    <s v="CT"/>
    <n v="219782"/>
    <n v="206615"/>
    <n v="13167"/>
    <n v="219900"/>
    <n v="206700"/>
    <n v="13200"/>
  </r>
  <r>
    <n v="13369"/>
    <n v="13370"/>
    <x v="2"/>
    <s v="CT-00028"/>
    <s v="FAIFIELD"/>
    <n v="6824"/>
    <s v="FAIRFIELD"/>
    <s v="CT"/>
    <n v="82819"/>
    <n v="69759"/>
    <n v="13060"/>
    <n v="0"/>
    <n v="0"/>
    <n v="0"/>
  </r>
  <r>
    <n v="13369"/>
    <n v="13370"/>
    <x v="2"/>
    <s v="CT-00028"/>
    <s v="FAIRFIELD"/>
    <n v="6824"/>
    <s v="FAIRFIELD"/>
    <s v="CT"/>
    <n v="21173508"/>
    <n v="15932806"/>
    <n v="5240702"/>
    <n v="12043500"/>
    <n v="8678400"/>
    <n v="3365100"/>
  </r>
  <r>
    <n v="13369"/>
    <n v="13370"/>
    <x v="2"/>
    <s v="CT-00028"/>
    <s v="FAIRFIELD"/>
    <n v="6825"/>
    <s v="FAIRFIELD"/>
    <s v="CT"/>
    <n v="151695"/>
    <n v="120580"/>
    <n v="31115"/>
    <n v="8400"/>
    <n v="6500"/>
    <n v="1900"/>
  </r>
  <r>
    <n v="13369"/>
    <n v="13370"/>
    <x v="2"/>
    <s v="CT-00028"/>
    <s v="GREENWICH"/>
    <n v="6830"/>
    <s v="FAIRFIELD"/>
    <s v="CT"/>
    <n v="303859"/>
    <n v="277204"/>
    <n v="26655"/>
    <n v="163900"/>
    <n v="156200"/>
    <n v="7700"/>
  </r>
  <r>
    <n v="13369"/>
    <n v="13370"/>
    <x v="2"/>
    <s v="CT-00028"/>
    <s v="GREENWICH"/>
    <n v="6831"/>
    <s v="FAIRFIELD"/>
    <s v="CT"/>
    <n v="361651"/>
    <n v="343661"/>
    <n v="17990"/>
    <n v="900"/>
    <n v="0"/>
    <n v="900"/>
  </r>
  <r>
    <n v="13369"/>
    <n v="13370"/>
    <x v="2"/>
    <s v="CT-00028"/>
    <s v="GRISWOLD"/>
    <n v="6351"/>
    <s v="NEW LONDON"/>
    <s v="CT"/>
    <n v="98319"/>
    <n v="84819"/>
    <n v="13500"/>
    <n v="53100"/>
    <n v="39600"/>
    <n v="13500"/>
  </r>
  <r>
    <n v="13369"/>
    <n v="13370"/>
    <x v="2"/>
    <s v="CT-00028"/>
    <s v="GROTON"/>
    <n v="6340"/>
    <s v="NEW LONDON"/>
    <s v="CT"/>
    <n v="469765"/>
    <n v="340465"/>
    <n v="129300"/>
    <n v="250600"/>
    <n v="168700"/>
    <n v="81900"/>
  </r>
  <r>
    <n v="13369"/>
    <n v="13370"/>
    <x v="2"/>
    <s v="CT-00028"/>
    <s v="GROTON"/>
    <n v="6430"/>
    <s v="NEW LONDON"/>
    <s v="CT"/>
    <n v="32714"/>
    <n v="32714"/>
    <n v="0"/>
    <n v="0"/>
    <n v="0"/>
    <n v="0"/>
  </r>
  <r>
    <n v="13369"/>
    <n v="13370"/>
    <x v="2"/>
    <s v="CT-00028"/>
    <s v="GUILFORD"/>
    <n v="6437"/>
    <s v="NEW HAVEN"/>
    <s v="CT"/>
    <n v="419381"/>
    <n v="320316"/>
    <n v="99065"/>
    <n v="182300"/>
    <n v="131600"/>
    <n v="50700"/>
  </r>
  <r>
    <n v="13369"/>
    <n v="13370"/>
    <x v="2"/>
    <s v="CT-00028"/>
    <s v="HAMDEN"/>
    <n v="6514"/>
    <s v="NEW HAVEN"/>
    <s v="CT"/>
    <n v="391074"/>
    <n v="324724"/>
    <n v="66350"/>
    <n v="256800"/>
    <n v="216800"/>
    <n v="40000"/>
  </r>
  <r>
    <n v="13369"/>
    <n v="13370"/>
    <x v="2"/>
    <s v="CT-00028"/>
    <s v="HAMDEN"/>
    <n v="6517"/>
    <s v="NEW HAVEN"/>
    <s v="CT"/>
    <n v="18000"/>
    <n v="18000"/>
    <n v="0"/>
    <n v="13700"/>
    <n v="13700"/>
    <n v="0"/>
  </r>
  <r>
    <n v="13369"/>
    <n v="13370"/>
    <x v="2"/>
    <s v="CT-00028"/>
    <s v="LEDYARD"/>
    <n v="6339"/>
    <s v="NEW LONDON"/>
    <s v="CT"/>
    <n v="70092"/>
    <n v="70092"/>
    <n v="0"/>
    <n v="70100"/>
    <n v="70100"/>
    <n v="0"/>
  </r>
  <r>
    <n v="13369"/>
    <n v="13370"/>
    <x v="2"/>
    <s v="CT-00028"/>
    <s v="MADISON"/>
    <n v="6443"/>
    <s v="NEW HAVEN"/>
    <s v="CT"/>
    <n v="79174"/>
    <n v="78674"/>
    <n v="500"/>
    <n v="500"/>
    <n v="0"/>
    <n v="500"/>
  </r>
  <r>
    <n v="13369"/>
    <n v="13370"/>
    <x v="2"/>
    <s v="CT-00028"/>
    <s v="MERIDEN"/>
    <n v="6450"/>
    <s v="NEW HAVEN"/>
    <s v="CT"/>
    <n v="27183"/>
    <n v="0"/>
    <n v="27183"/>
    <n v="0"/>
    <n v="0"/>
    <n v="0"/>
  </r>
  <r>
    <n v="13369"/>
    <n v="13370"/>
    <x v="2"/>
    <s v="CT-00028"/>
    <s v="MIDDLETOWN"/>
    <n v="6457"/>
    <s v="MIDDLESEX"/>
    <s v="CT"/>
    <n v="14773"/>
    <n v="14773"/>
    <n v="0"/>
    <n v="9900"/>
    <n v="9900"/>
    <n v="0"/>
  </r>
  <r>
    <n v="13369"/>
    <n v="13370"/>
    <x v="2"/>
    <s v="CT-00028"/>
    <s v="MIFORD"/>
    <n v="6460"/>
    <s v="NEW HAVEN"/>
    <s v="CT"/>
    <n v="42748"/>
    <n v="38578"/>
    <n v="4170"/>
    <n v="37400"/>
    <n v="33600"/>
    <n v="3800"/>
  </r>
  <r>
    <n v="13369"/>
    <n v="13370"/>
    <x v="2"/>
    <s v="CT-00028"/>
    <s v="MILFORD"/>
    <n v="6460"/>
    <s v="FAIRFIELD"/>
    <s v="CT"/>
    <n v="105021"/>
    <n v="83781"/>
    <n v="21240"/>
    <n v="0"/>
    <n v="0"/>
    <n v="0"/>
  </r>
  <r>
    <n v="13369"/>
    <n v="13370"/>
    <x v="2"/>
    <s v="CT-00028"/>
    <s v="MILFORD"/>
    <n v="6460"/>
    <s v="NEW HAVEN"/>
    <s v="CT"/>
    <n v="14317671"/>
    <n v="10683567"/>
    <n v="3634104"/>
    <n v="6221000"/>
    <n v="4309700"/>
    <n v="1824000"/>
  </r>
  <r>
    <n v="13369"/>
    <n v="13370"/>
    <x v="2"/>
    <s v="CT-00028"/>
    <s v="MILFORD"/>
    <n v="6461"/>
    <s v="NEW HAVEN"/>
    <s v="CT"/>
    <n v="29249"/>
    <n v="28449"/>
    <n v="800"/>
    <n v="13400"/>
    <n v="12600"/>
    <n v="800"/>
  </r>
  <r>
    <n v="13369"/>
    <n v="13370"/>
    <x v="2"/>
    <s v="CT-00028"/>
    <s v="MONROE"/>
    <n v="6468"/>
    <s v="FAIRFIELD"/>
    <s v="CT"/>
    <n v="87997"/>
    <n v="78077"/>
    <n v="9920"/>
    <n v="0"/>
    <n v="0"/>
    <n v="0"/>
  </r>
  <r>
    <n v="13369"/>
    <n v="13370"/>
    <x v="2"/>
    <s v="CT-00028"/>
    <s v="MYSTIC"/>
    <n v="6355"/>
    <s v="NEW LONDON"/>
    <s v="CT"/>
    <n v="278033"/>
    <n v="211613"/>
    <n v="66420"/>
    <n v="70300"/>
    <n v="49900"/>
    <n v="20400"/>
  </r>
  <r>
    <n v="13369"/>
    <n v="13370"/>
    <x v="2"/>
    <s v="CT-00028"/>
    <s v="MYSTIC"/>
    <n v="6388"/>
    <s v="NEW LONDON"/>
    <s v="CT"/>
    <n v="41221"/>
    <n v="29396"/>
    <n v="11825"/>
    <n v="0"/>
    <n v="0"/>
    <n v="0"/>
  </r>
  <r>
    <n v="13369"/>
    <n v="13370"/>
    <x v="2"/>
    <s v="CT-00028"/>
    <s v="N. STONINGTON"/>
    <n v="6359"/>
    <s v="NEW LONDON"/>
    <s v="CT"/>
    <n v="16604"/>
    <n v="16604"/>
    <n v="0"/>
    <n v="6400"/>
    <n v="6400"/>
    <n v="0"/>
  </r>
  <r>
    <n v="13369"/>
    <n v="13370"/>
    <x v="2"/>
    <s v="CT-00028"/>
    <s v="NEW CANAAN"/>
    <n v="6840"/>
    <s v="FAIRFIELD"/>
    <s v="CT"/>
    <n v="47063"/>
    <n v="45013"/>
    <n v="2050"/>
    <n v="0"/>
    <n v="0"/>
    <n v="0"/>
  </r>
  <r>
    <n v="13369"/>
    <n v="13370"/>
    <x v="2"/>
    <s v="CT-00028"/>
    <s v="NEW FAIRFIELD"/>
    <n v="6812"/>
    <s v="FAIRFIELD"/>
    <s v="CT"/>
    <n v="3813"/>
    <n v="3813"/>
    <n v="0"/>
    <n v="3900"/>
    <n v="3900"/>
    <n v="0"/>
  </r>
  <r>
    <n v="13369"/>
    <n v="13370"/>
    <x v="2"/>
    <s v="CT-00028"/>
    <s v="NEW HAVEN"/>
    <n v="6511"/>
    <s v="NEW HAVEN"/>
    <s v="CT"/>
    <n v="77546"/>
    <n v="72746"/>
    <n v="4800"/>
    <n v="1800"/>
    <n v="1800"/>
    <n v="0"/>
  </r>
  <r>
    <n v="13369"/>
    <n v="13370"/>
    <x v="2"/>
    <s v="CT-00028"/>
    <s v="NEW HAVEN"/>
    <n v="6512"/>
    <s v="NEW HAVEN"/>
    <s v="CT"/>
    <n v="9300"/>
    <n v="9150"/>
    <n v="150"/>
    <n v="8400"/>
    <n v="8300"/>
    <n v="100"/>
  </r>
  <r>
    <n v="13369"/>
    <n v="13370"/>
    <x v="2"/>
    <s v="CT-00028"/>
    <s v="NEW HAVEN"/>
    <n v="6513"/>
    <s v="NEW HAVEN"/>
    <s v="CT"/>
    <n v="41300"/>
    <n v="29995"/>
    <n v="11305"/>
    <n v="33200"/>
    <n v="21900"/>
    <n v="11300"/>
  </r>
  <r>
    <n v="13369"/>
    <n v="13370"/>
    <x v="2"/>
    <s v="CT-00028"/>
    <s v="NEW HAVEN"/>
    <n v="6515"/>
    <s v="NEW HAVEN"/>
    <s v="CT"/>
    <n v="82537"/>
    <n v="71187"/>
    <n v="11350"/>
    <n v="12100"/>
    <n v="12100"/>
    <n v="0"/>
  </r>
  <r>
    <n v="13369"/>
    <n v="13370"/>
    <x v="2"/>
    <s v="CT-00028"/>
    <s v="NEW HAVEN"/>
    <n v="6519"/>
    <s v="NEW HAVEN"/>
    <s v="CT"/>
    <n v="22676"/>
    <n v="22426"/>
    <n v="250"/>
    <n v="19700"/>
    <n v="19400"/>
    <n v="300"/>
  </r>
  <r>
    <n v="13369"/>
    <n v="13370"/>
    <x v="2"/>
    <s v="CT-00028"/>
    <s v="NEW LONDON"/>
    <n v="6320"/>
    <s v="NEW LONDON"/>
    <s v="CT"/>
    <n v="388747"/>
    <n v="330954"/>
    <n v="57793"/>
    <n v="325200"/>
    <n v="270700"/>
    <n v="54500"/>
  </r>
  <r>
    <n v="13369"/>
    <n v="13370"/>
    <x v="2"/>
    <s v="CT-00028"/>
    <s v="NIANTIC"/>
    <n v="6357"/>
    <s v="NEW LONDON"/>
    <s v="CT"/>
    <n v="859033"/>
    <n v="642080"/>
    <n v="216953"/>
    <n v="533600"/>
    <n v="402000"/>
    <n v="131600"/>
  </r>
  <r>
    <n v="13369"/>
    <n v="13370"/>
    <x v="2"/>
    <s v="CT-00028"/>
    <s v="NORTH STONINGTON"/>
    <n v="6359"/>
    <s v="NEW LONDON"/>
    <s v="CT"/>
    <n v="11306"/>
    <n v="10806"/>
    <n v="500"/>
    <n v="8500"/>
    <n v="8000"/>
    <n v="500"/>
  </r>
  <r>
    <n v="13369"/>
    <n v="13370"/>
    <x v="2"/>
    <s v="CT-00028"/>
    <s v="NORTHFORD"/>
    <n v="6472"/>
    <s v="NEW HAVEN"/>
    <s v="CT"/>
    <n v="2700"/>
    <n v="0"/>
    <n v="2700"/>
    <n v="2700"/>
    <n v="0"/>
    <n v="2700"/>
  </r>
  <r>
    <n v="13369"/>
    <n v="13370"/>
    <x v="2"/>
    <s v="CT-00028"/>
    <s v="NORWAL"/>
    <n v="6850"/>
    <s v="FAIRFIELD"/>
    <s v="CT"/>
    <n v="7568"/>
    <n v="7568"/>
    <n v="0"/>
    <n v="0"/>
    <n v="0"/>
    <n v="0"/>
  </r>
  <r>
    <n v="13369"/>
    <n v="13370"/>
    <x v="2"/>
    <s v="CT-00028"/>
    <s v="NORWALK"/>
    <n v="6850"/>
    <s v="FAIRFIELD"/>
    <s v="CT"/>
    <n v="227117"/>
    <n v="222167"/>
    <n v="4950"/>
    <n v="151700"/>
    <n v="149600"/>
    <n v="2100"/>
  </r>
  <r>
    <n v="13369"/>
    <n v="13370"/>
    <x v="2"/>
    <s v="CT-00028"/>
    <s v="NORWALK"/>
    <n v="6851"/>
    <s v="FAIRFIELD"/>
    <s v="CT"/>
    <n v="316401"/>
    <n v="273436"/>
    <n v="42965"/>
    <n v="91600"/>
    <n v="89000"/>
    <n v="2600"/>
  </r>
  <r>
    <n v="13369"/>
    <n v="13370"/>
    <x v="2"/>
    <s v="CT-00028"/>
    <s v="NORWALK"/>
    <n v="6853"/>
    <s v="FAIRFIELD"/>
    <s v="CT"/>
    <n v="2092165"/>
    <n v="1649050"/>
    <n v="443115"/>
    <n v="1037100"/>
    <n v="796300"/>
    <n v="240800"/>
  </r>
  <r>
    <n v="13369"/>
    <n v="13370"/>
    <x v="2"/>
    <s v="CT-00028"/>
    <s v="NORWALK"/>
    <n v="6854"/>
    <s v="FAIRFIELD"/>
    <s v="CT"/>
    <n v="4586225"/>
    <n v="3530870"/>
    <n v="1055355"/>
    <n v="2068600"/>
    <n v="1489600"/>
    <n v="579000"/>
  </r>
  <r>
    <n v="13369"/>
    <n v="13370"/>
    <x v="2"/>
    <s v="CT-00028"/>
    <s v="NORWALK"/>
    <n v="6855"/>
    <s v="FAIRFIELD"/>
    <s v="CT"/>
    <n v="1720646"/>
    <n v="1287736"/>
    <n v="432910"/>
    <n v="1054700"/>
    <n v="780000"/>
    <n v="274700"/>
  </r>
  <r>
    <n v="13369"/>
    <n v="13370"/>
    <x v="2"/>
    <s v="CT-00028"/>
    <s v="NORWALK"/>
    <n v="6859"/>
    <s v="FAIRFIELD"/>
    <s v="CT"/>
    <n v="170361"/>
    <n v="118066"/>
    <n v="52295"/>
    <n v="74800"/>
    <n v="59500"/>
    <n v="15300"/>
  </r>
  <r>
    <n v="13369"/>
    <n v="13370"/>
    <x v="2"/>
    <s v="CT-00028"/>
    <s v="NORWALK"/>
    <n v="6951"/>
    <s v="FAIRFIELD"/>
    <s v="CT"/>
    <n v="17798"/>
    <n v="17798"/>
    <n v="0"/>
    <n v="0"/>
    <n v="0"/>
    <n v="0"/>
  </r>
  <r>
    <n v="13369"/>
    <n v="13370"/>
    <x v="2"/>
    <s v="CT-00028"/>
    <s v="NORWICH"/>
    <n v="6360"/>
    <s v="NEW LONDON"/>
    <s v="CT"/>
    <n v="122972"/>
    <n v="107872"/>
    <n v="15100"/>
    <n v="32900"/>
    <n v="19600"/>
    <n v="13300"/>
  </r>
  <r>
    <n v="13369"/>
    <n v="13370"/>
    <x v="2"/>
    <s v="CT-00028"/>
    <s v="NORWICH CT"/>
    <n v="6360"/>
    <s v="NEW LONDON"/>
    <s v="CT"/>
    <n v="10077"/>
    <n v="10077"/>
    <n v="0"/>
    <n v="8600"/>
    <n v="8600"/>
    <n v="0"/>
  </r>
  <r>
    <n v="13369"/>
    <n v="13370"/>
    <x v="2"/>
    <s v="CT-00028"/>
    <s v="OAKDALE"/>
    <n v="6370"/>
    <s v="NEW LONDON"/>
    <s v="CT"/>
    <n v="29331"/>
    <n v="23006"/>
    <n v="6325"/>
    <n v="16300"/>
    <n v="11100"/>
    <n v="5200"/>
  </r>
  <r>
    <n v="13369"/>
    <n v="13370"/>
    <x v="2"/>
    <s v="CT-00028"/>
    <s v="OLD GREENWICH"/>
    <n v="6870"/>
    <s v="FAIRFIELD"/>
    <s v="CT"/>
    <n v="5172177"/>
    <n v="3764357"/>
    <n v="1407820"/>
    <n v="2391700"/>
    <n v="1738900"/>
    <n v="652800"/>
  </r>
  <r>
    <n v="13369"/>
    <n v="13370"/>
    <x v="2"/>
    <s v="CT-00028"/>
    <s v="OLD LYME"/>
    <n v="6371"/>
    <s v="MIDDLESEX"/>
    <s v="CT"/>
    <n v="129259"/>
    <n v="85884"/>
    <n v="43375"/>
    <n v="0"/>
    <n v="0"/>
    <n v="0"/>
  </r>
  <r>
    <n v="13369"/>
    <n v="13370"/>
    <x v="2"/>
    <s v="CT-00028"/>
    <s v="OLD LYME"/>
    <n v="6371"/>
    <s v="NEW LONDON"/>
    <s v="CT"/>
    <n v="1136477"/>
    <n v="934042"/>
    <n v="202435"/>
    <n v="245000"/>
    <n v="179900"/>
    <n v="65100"/>
  </r>
  <r>
    <n v="13369"/>
    <n v="13370"/>
    <x v="2"/>
    <s v="CT-00028"/>
    <s v="OLD SAYBROOK"/>
    <n v="6475"/>
    <s v="MIDDLESEX"/>
    <s v="CT"/>
    <n v="1339480"/>
    <n v="987632"/>
    <n v="351848"/>
    <n v="493500"/>
    <n v="335300"/>
    <n v="158200"/>
  </r>
  <r>
    <n v="13369"/>
    <n v="13370"/>
    <x v="2"/>
    <s v="CT-00028"/>
    <s v="ORANGE"/>
    <n v="6477"/>
    <s v="NEW HAVEN"/>
    <s v="CT"/>
    <n v="63235"/>
    <n v="59535"/>
    <n v="3700"/>
    <n v="40700"/>
    <n v="40200"/>
    <n v="500"/>
  </r>
  <r>
    <n v="13369"/>
    <n v="13370"/>
    <x v="2"/>
    <s v="CT-00028"/>
    <s v="PAWCATUCK"/>
    <n v="6379"/>
    <s v="NEW LONDON"/>
    <s v="CT"/>
    <n v="57043"/>
    <n v="56293"/>
    <n v="750"/>
    <n v="31200"/>
    <n v="30400"/>
    <n v="800"/>
  </r>
  <r>
    <n v="13369"/>
    <n v="13370"/>
    <x v="2"/>
    <s v="CT-00028"/>
    <s v="PRESTON"/>
    <n v="6365"/>
    <s v="NEW LONDON"/>
    <s v="CT"/>
    <n v="12995"/>
    <n v="12495"/>
    <n v="500"/>
    <n v="0"/>
    <n v="0"/>
    <n v="0"/>
  </r>
  <r>
    <n v="13369"/>
    <n v="13370"/>
    <x v="2"/>
    <s v="CT-00028"/>
    <s v="REDDING"/>
    <n v="6896"/>
    <s v="FAIRFIELD"/>
    <s v="CT"/>
    <n v="14518"/>
    <n v="14518"/>
    <n v="0"/>
    <n v="14000"/>
    <n v="14000"/>
    <n v="0"/>
  </r>
  <r>
    <n v="13369"/>
    <n v="13370"/>
    <x v="2"/>
    <s v="CT-00028"/>
    <s v="RIDGEFIELD"/>
    <n v="6877"/>
    <s v="FAIRFIELD"/>
    <s v="CT"/>
    <n v="698174"/>
    <n v="584979"/>
    <n v="113195"/>
    <n v="192400"/>
    <n v="141300"/>
    <n v="51100"/>
  </r>
  <r>
    <n v="13369"/>
    <n v="13370"/>
    <x v="2"/>
    <s v="CT-00028"/>
    <s v="RIVERSIDE"/>
    <n v="6878"/>
    <s v="FAIRFIELD"/>
    <s v="CT"/>
    <n v="131948"/>
    <n v="122448"/>
    <n v="9500"/>
    <n v="105500"/>
    <n v="96500"/>
    <n v="9000"/>
  </r>
  <r>
    <n v="13369"/>
    <n v="13370"/>
    <x v="2"/>
    <s v="CT-00028"/>
    <s v="ROWAYTON"/>
    <n v="6853"/>
    <s v="FAIRFIELD"/>
    <s v="CT"/>
    <n v="760966"/>
    <n v="626251"/>
    <n v="134715"/>
    <n v="279800"/>
    <n v="198600"/>
    <n v="81200"/>
  </r>
  <r>
    <n v="13369"/>
    <n v="13370"/>
    <x v="2"/>
    <s v="CT-00028"/>
    <s v="SEYMOUR"/>
    <n v="6483"/>
    <s v="NEW HAVEN"/>
    <s v="CT"/>
    <n v="25860"/>
    <n v="23610"/>
    <n v="2250"/>
    <n v="25700"/>
    <n v="23700"/>
    <n v="2000"/>
  </r>
  <r>
    <n v="13369"/>
    <n v="13370"/>
    <x v="2"/>
    <s v="CT-00028"/>
    <s v="SHELTON"/>
    <n v="6484"/>
    <s v="FAIRFIELD"/>
    <s v="CT"/>
    <n v="228715"/>
    <n v="174125"/>
    <n v="54590"/>
    <n v="68900"/>
    <n v="33700"/>
    <n v="35200"/>
  </r>
  <r>
    <n v="13369"/>
    <n v="13370"/>
    <x v="2"/>
    <s v="CT-00028"/>
    <s v="SOUTHPORT"/>
    <n v="6890"/>
    <s v="FAIRFIELD"/>
    <s v="CT"/>
    <n v="42889"/>
    <n v="29439"/>
    <n v="13450"/>
    <n v="31200"/>
    <n v="21100"/>
    <n v="10100"/>
  </r>
  <r>
    <n v="13369"/>
    <n v="13370"/>
    <x v="2"/>
    <s v="CT-00028"/>
    <s v="STAMFORD"/>
    <n v="6902"/>
    <s v="FAIRFIELD"/>
    <s v="CT"/>
    <n v="2091338"/>
    <n v="1625053"/>
    <n v="466285"/>
    <n v="448100"/>
    <n v="329000"/>
    <n v="119100"/>
  </r>
  <r>
    <n v="13369"/>
    <n v="13370"/>
    <x v="2"/>
    <s v="CT-00028"/>
    <s v="STAMFORD"/>
    <n v="6903"/>
    <s v="FAIRFIELD"/>
    <s v="CT"/>
    <n v="77260"/>
    <n v="74010"/>
    <n v="3250"/>
    <n v="49600"/>
    <n v="49600"/>
    <n v="0"/>
  </r>
  <r>
    <n v="13369"/>
    <n v="13370"/>
    <x v="2"/>
    <s v="CT-00028"/>
    <s v="STAMFORD"/>
    <n v="6905"/>
    <s v="FAIRFIELD"/>
    <s v="CT"/>
    <n v="103751"/>
    <n v="80001"/>
    <n v="23750"/>
    <n v="4300"/>
    <n v="3000"/>
    <n v="1300"/>
  </r>
  <r>
    <n v="13369"/>
    <n v="13370"/>
    <x v="2"/>
    <s v="CT-00028"/>
    <s v="STAMFORD"/>
    <n v="6906"/>
    <s v="FAIRFIELD"/>
    <s v="CT"/>
    <n v="80559"/>
    <n v="74624"/>
    <n v="5935"/>
    <n v="1900"/>
    <n v="1900"/>
    <n v="0"/>
  </r>
  <r>
    <n v="13369"/>
    <n v="13370"/>
    <x v="2"/>
    <s v="CT-00028"/>
    <s v="STAMFORD"/>
    <n v="6907"/>
    <s v="FAIRFIELD"/>
    <s v="CT"/>
    <n v="18500"/>
    <n v="18500"/>
    <n v="0"/>
    <n v="14000"/>
    <n v="14000"/>
    <n v="0"/>
  </r>
  <r>
    <n v="13369"/>
    <n v="13370"/>
    <x v="2"/>
    <s v="CT-00028"/>
    <s v="STONINGTON"/>
    <n v="6378"/>
    <s v="NEW LONDON"/>
    <s v="CT"/>
    <n v="616159"/>
    <n v="479549"/>
    <n v="136610"/>
    <n v="240900"/>
    <n v="167400"/>
    <n v="73500"/>
  </r>
  <r>
    <n v="13369"/>
    <n v="13370"/>
    <x v="2"/>
    <s v="CT-00028"/>
    <s v="STRATFORD"/>
    <n v="6614"/>
    <s v="FAIRFIELD"/>
    <s v="CT"/>
    <n v="177218"/>
    <n v="164398"/>
    <n v="12820"/>
    <n v="102000"/>
    <n v="100000"/>
    <n v="2000"/>
  </r>
  <r>
    <n v="13369"/>
    <n v="13370"/>
    <x v="2"/>
    <s v="CT-00028"/>
    <s v="STRATFORD"/>
    <n v="6615"/>
    <s v="FAIRFIELD"/>
    <s v="CT"/>
    <n v="432631"/>
    <n v="363681"/>
    <n v="68950"/>
    <n v="94600"/>
    <n v="70300"/>
    <n v="24300"/>
  </r>
  <r>
    <n v="13369"/>
    <n v="13370"/>
    <x v="2"/>
    <s v="CT-00028"/>
    <s v="STRATFORD"/>
    <n v="6615"/>
    <s v="NEW HAVEN"/>
    <s v="CT"/>
    <n v="36125"/>
    <n v="0"/>
    <n v="36125"/>
    <n v="36200"/>
    <n v="0"/>
    <n v="36200"/>
  </r>
  <r>
    <n v="13369"/>
    <n v="13370"/>
    <x v="2"/>
    <s v="CT-00028"/>
    <s v="TRUMBULL"/>
    <n v="6611"/>
    <s v="FAIRFIELD"/>
    <s v="CT"/>
    <n v="520951"/>
    <n v="497006"/>
    <n v="23945"/>
    <n v="245800"/>
    <n v="236100"/>
    <n v="9700"/>
  </r>
  <r>
    <n v="13369"/>
    <n v="13370"/>
    <x v="2"/>
    <s v="CT-00028"/>
    <s v="UNCASVILLE"/>
    <n v="6382"/>
    <s v="NEW LONDON"/>
    <s v="CT"/>
    <n v="12325"/>
    <n v="0"/>
    <n v="12325"/>
    <n v="0"/>
    <n v="0"/>
    <n v="0"/>
  </r>
  <r>
    <n v="13369"/>
    <n v="13370"/>
    <x v="2"/>
    <s v="CT-00028"/>
    <s v="WATERBURY"/>
    <n v="6705"/>
    <s v="NEW HAVEN"/>
    <s v="CT"/>
    <n v="19467"/>
    <n v="19467"/>
    <n v="0"/>
    <n v="0"/>
    <n v="0"/>
    <n v="0"/>
  </r>
  <r>
    <n v="13369"/>
    <n v="13370"/>
    <x v="2"/>
    <s v="CT-00028"/>
    <s v="WATERBURY"/>
    <n v="6706"/>
    <s v="NEW HAVEN"/>
    <s v="CT"/>
    <n v="39285"/>
    <n v="39285"/>
    <n v="0"/>
    <n v="0"/>
    <n v="0"/>
    <n v="0"/>
  </r>
  <r>
    <n v="13369"/>
    <n v="13370"/>
    <x v="2"/>
    <s v="CT-00028"/>
    <s v="WATERBURY"/>
    <n v="6708"/>
    <s v="NEW HAVEN"/>
    <s v="CT"/>
    <n v="2892"/>
    <n v="2892"/>
    <n v="0"/>
    <n v="0"/>
    <n v="0"/>
    <n v="0"/>
  </r>
  <r>
    <n v="13369"/>
    <n v="13370"/>
    <x v="2"/>
    <s v="CT-00028"/>
    <s v="WATERBURY"/>
    <n v="6710"/>
    <s v="NEW HAVEN"/>
    <s v="CT"/>
    <n v="16211"/>
    <n v="16211"/>
    <n v="0"/>
    <n v="0"/>
    <n v="0"/>
    <n v="0"/>
  </r>
  <r>
    <n v="13369"/>
    <n v="13370"/>
    <x v="2"/>
    <s v="CT-00028"/>
    <s v="WATERFORD"/>
    <n v="6385"/>
    <s v="NEW LONDON"/>
    <s v="CT"/>
    <n v="90702"/>
    <n v="81927"/>
    <n v="8775"/>
    <n v="27600"/>
    <n v="20600"/>
    <n v="7000"/>
  </r>
  <r>
    <n v="13369"/>
    <n v="13370"/>
    <x v="2"/>
    <s v="CT-00028"/>
    <s v="WEST HAVEN"/>
    <n v="6516"/>
    <s v="NEW HAVEN"/>
    <s v="CT"/>
    <n v="728403"/>
    <n v="535363"/>
    <n v="193040"/>
    <n v="233100"/>
    <n v="170800"/>
    <n v="62300"/>
  </r>
  <r>
    <n v="13369"/>
    <n v="13370"/>
    <x v="2"/>
    <s v="CT-00028"/>
    <s v="WESTBROOK"/>
    <n v="6498"/>
    <s v="MIDDLESEX"/>
    <s v="CT"/>
    <n v="317720"/>
    <n v="184521"/>
    <n v="133199"/>
    <n v="142200"/>
    <n v="52200"/>
    <n v="90000"/>
  </r>
  <r>
    <n v="13369"/>
    <n v="13370"/>
    <x v="2"/>
    <s v="CT-00028"/>
    <s v="WESTON"/>
    <n v="6883"/>
    <s v="FAIRFIELD"/>
    <s v="CT"/>
    <n v="294318"/>
    <n v="269893"/>
    <n v="24425"/>
    <n v="97800"/>
    <n v="81500"/>
    <n v="16300"/>
  </r>
  <r>
    <n v="13369"/>
    <n v="13370"/>
    <x v="2"/>
    <s v="CT-00028"/>
    <s v="WESTPORT"/>
    <n v="6880"/>
    <s v="FAIRFIELD"/>
    <s v="CT"/>
    <n v="7207530"/>
    <n v="5493835"/>
    <n v="1713695"/>
    <n v="3228600"/>
    <n v="2356200"/>
    <n v="844900"/>
  </r>
  <r>
    <n v="13369"/>
    <n v="13370"/>
    <x v="2"/>
    <s v="CT-00028"/>
    <s v="WESTPORT"/>
    <n v="6883"/>
    <s v="FAIRFIELD"/>
    <s v="CT"/>
    <n v="199148"/>
    <n v="140348"/>
    <n v="58800"/>
    <n v="0"/>
    <n v="0"/>
    <n v="0"/>
  </r>
  <r>
    <n v="13369"/>
    <n v="13370"/>
    <x v="2"/>
    <s v="CT-00028"/>
    <s v="WILTON"/>
    <n v="6824"/>
    <s v="FAIRFIELD"/>
    <s v="CT"/>
    <n v="25768"/>
    <n v="20468"/>
    <n v="5300"/>
    <n v="0"/>
    <n v="0"/>
    <n v="0"/>
  </r>
  <r>
    <n v="13369"/>
    <n v="13370"/>
    <x v="2"/>
    <s v="CT-00028"/>
    <s v="WILTON"/>
    <n v="6897"/>
    <s v="FAIRFIELD"/>
    <s v="CT"/>
    <n v="25592"/>
    <n v="22592"/>
    <n v="3000"/>
    <n v="21900"/>
    <n v="18900"/>
    <n v="3000"/>
  </r>
  <r>
    <n v="13387"/>
    <n v="13388"/>
    <x v="3"/>
    <s v="RI-00010"/>
    <s v="BLOCK ISLAND"/>
    <n v="2807"/>
    <s v="WASHINGTON"/>
    <s v="RI"/>
    <n v="118471"/>
    <n v="118471"/>
    <n v="0"/>
    <n v="0"/>
    <n v="0"/>
    <n v="0"/>
  </r>
  <r>
    <n v="13387"/>
    <n v="13388"/>
    <x v="3"/>
    <s v="RI-00010"/>
    <s v="CAROLINA"/>
    <n v="2812"/>
    <s v="WASHINGTON"/>
    <s v="RI"/>
    <n v="7873"/>
    <n v="7873"/>
    <n v="0"/>
    <n v="0"/>
    <n v="0"/>
    <n v="0"/>
  </r>
  <r>
    <n v="13387"/>
    <n v="13388"/>
    <x v="3"/>
    <s v="RI-00010"/>
    <s v="CHARLESTOWN"/>
    <n v="2813"/>
    <s v="WASHINGTON"/>
    <s v="RI"/>
    <n v="241089"/>
    <n v="196689"/>
    <n v="44400"/>
    <n v="57300"/>
    <n v="56800"/>
    <n v="500"/>
  </r>
  <r>
    <n v="13387"/>
    <n v="13388"/>
    <x v="3"/>
    <s v="RI-00010"/>
    <s v="HOPE VALLEY"/>
    <n v="2832"/>
    <s v="WASHINGTON"/>
    <s v="RI"/>
    <n v="9755"/>
    <n v="9755"/>
    <n v="0"/>
    <n v="0"/>
    <n v="0"/>
    <n v="0"/>
  </r>
  <r>
    <n v="13387"/>
    <n v="13388"/>
    <x v="3"/>
    <s v="RI-00010"/>
    <s v="MATUNUCK"/>
    <n v="2879"/>
    <s v="WASHINGTON"/>
    <s v="RI"/>
    <n v="2891"/>
    <n v="2891"/>
    <n v="0"/>
    <n v="0"/>
    <n v="0"/>
    <n v="0"/>
  </r>
  <r>
    <n v="13387"/>
    <n v="13388"/>
    <x v="3"/>
    <s v="RI-00010"/>
    <s v="MIDDLETOWN"/>
    <n v="2842"/>
    <s v="NEWPORT"/>
    <s v="RI"/>
    <n v="37964"/>
    <n v="37964"/>
    <n v="0"/>
    <n v="0"/>
    <n v="0"/>
    <n v="0"/>
  </r>
  <r>
    <n v="13387"/>
    <n v="13388"/>
    <x v="3"/>
    <s v="RI-00010"/>
    <s v="NARRAGANSETT"/>
    <n v="2879"/>
    <s v="WASHINGTON"/>
    <s v="RI"/>
    <n v="88016"/>
    <n v="50966"/>
    <n v="37050"/>
    <n v="88100"/>
    <n v="51000"/>
    <n v="37100"/>
  </r>
  <r>
    <n v="13387"/>
    <n v="13388"/>
    <x v="3"/>
    <s v="RI-00010"/>
    <s v="NARRAGANSETT"/>
    <n v="2882"/>
    <s v="WASHINGTON"/>
    <s v="RI"/>
    <n v="219278"/>
    <n v="178483"/>
    <n v="40795"/>
    <n v="123100"/>
    <n v="86000"/>
    <n v="37100"/>
  </r>
  <r>
    <n v="13387"/>
    <n v="13388"/>
    <x v="3"/>
    <s v="RI-00010"/>
    <s v="NEWPORT"/>
    <n v="2840"/>
    <s v="NEWPORT"/>
    <s v="RI"/>
    <n v="116554"/>
    <n v="95497"/>
    <n v="21057"/>
    <n v="16900"/>
    <n v="16900"/>
    <n v="0"/>
  </r>
  <r>
    <n v="13387"/>
    <n v="13388"/>
    <x v="3"/>
    <s v="RI-00010"/>
    <s v="NORTH KINGSTOWN"/>
    <n v="2852"/>
    <s v="WASHINGTON"/>
    <s v="RI"/>
    <n v="119893"/>
    <n v="88693"/>
    <n v="31200"/>
    <n v="56400"/>
    <n v="50600"/>
    <n v="5800"/>
  </r>
  <r>
    <n v="13387"/>
    <n v="13388"/>
    <x v="3"/>
    <s v="RI-00010"/>
    <s v="PEACE DALE"/>
    <n v="2879"/>
    <s v="WASHINGTON"/>
    <s v="RI"/>
    <n v="9150"/>
    <n v="9150"/>
    <n v="0"/>
    <n v="2700"/>
    <n v="2700"/>
    <n v="0"/>
  </r>
  <r>
    <n v="13387"/>
    <n v="13388"/>
    <x v="3"/>
    <s v="RI-00010"/>
    <s v="PORTSMOUTH"/>
    <n v="2871"/>
    <s v="NEWPORT"/>
    <s v="RI"/>
    <n v="172097"/>
    <n v="140747"/>
    <n v="31350"/>
    <n v="57500"/>
    <n v="41600"/>
    <n v="15900"/>
  </r>
  <r>
    <n v="13387"/>
    <n v="13388"/>
    <x v="3"/>
    <s v="RI-00010"/>
    <s v="SOUTH KINGSTOWN"/>
    <n v="2879"/>
    <s v="WASHINGTON"/>
    <s v="RI"/>
    <n v="44253"/>
    <n v="35453"/>
    <n v="8800"/>
    <n v="44300"/>
    <n v="35500"/>
    <n v="8800"/>
  </r>
  <r>
    <n v="13387"/>
    <n v="13388"/>
    <x v="3"/>
    <s v="RI-00010"/>
    <s v="TIVERTON"/>
    <n v="2878"/>
    <s v="NEWPORT"/>
    <s v="RI"/>
    <n v="39551"/>
    <n v="39551"/>
    <n v="0"/>
    <n v="31800"/>
    <n v="31800"/>
    <n v="0"/>
  </r>
  <r>
    <n v="13387"/>
    <n v="13388"/>
    <x v="3"/>
    <s v="RI-00010"/>
    <s v="WAKEFIELD"/>
    <n v="2879"/>
    <s v="WASHINGTON"/>
    <s v="RI"/>
    <n v="405397"/>
    <n v="360922"/>
    <n v="44475"/>
    <n v="91500"/>
    <n v="53000"/>
    <n v="38500"/>
  </r>
  <r>
    <n v="13387"/>
    <n v="13388"/>
    <x v="3"/>
    <s v="RI-00010"/>
    <s v="WESTERLY"/>
    <n v="2891"/>
    <s v="WASHINGTON"/>
    <s v="RI"/>
    <n v="1717665"/>
    <n v="1265220"/>
    <n v="452445"/>
    <n v="708400"/>
    <n v="526300"/>
    <n v="182100"/>
  </r>
  <r>
    <n v="13425"/>
    <n v="13426"/>
    <x v="4"/>
    <s v="MD-00024"/>
    <m/>
    <n v="21817"/>
    <s v="SOMERSET"/>
    <s v="MD"/>
    <n v="26873"/>
    <n v="25873"/>
    <n v="1000"/>
    <n v="0"/>
    <n v="0"/>
    <n v="0"/>
  </r>
  <r>
    <n v="13425"/>
    <n v="13426"/>
    <x v="4"/>
    <s v="MD-00024"/>
    <s v="CHANCE"/>
    <n v="21821"/>
    <s v="SOMERSET"/>
    <s v="MD"/>
    <n v="239303"/>
    <n v="222828"/>
    <n v="16475"/>
    <n v="104200"/>
    <n v="88100"/>
    <n v="16100"/>
  </r>
  <r>
    <n v="13425"/>
    <n v="13426"/>
    <x v="4"/>
    <s v="MD-00024"/>
    <s v="CHRISFIELD"/>
    <n v="21817"/>
    <s v="SOMERSET"/>
    <s v="MD"/>
    <n v="60900"/>
    <n v="60400"/>
    <n v="500"/>
    <n v="14500"/>
    <n v="14500"/>
    <n v="0"/>
  </r>
  <r>
    <n v="13425"/>
    <n v="13426"/>
    <x v="4"/>
    <s v="MD-00024"/>
    <s v="CRISFIELD"/>
    <n v="21817"/>
    <s v="SOMERSET"/>
    <s v="MD"/>
    <n v="3704423"/>
    <n v="2492733"/>
    <n v="1211690"/>
    <n v="1264400"/>
    <n v="808700"/>
    <n v="455700"/>
  </r>
  <r>
    <n v="13425"/>
    <n v="13426"/>
    <x v="4"/>
    <s v="MD-00024"/>
    <s v="CRISFILELD"/>
    <n v="21817"/>
    <s v="SOMERSET"/>
    <s v="MD"/>
    <n v="12450"/>
    <n v="0"/>
    <n v="12450"/>
    <n v="0"/>
    <n v="0"/>
    <n v="0"/>
  </r>
  <r>
    <n v="13425"/>
    <n v="13426"/>
    <x v="4"/>
    <s v="MD-00024"/>
    <s v="DEAL ISLAND"/>
    <n v="21821"/>
    <s v="SOMERSET"/>
    <s v="MD"/>
    <n v="217344"/>
    <n v="188319"/>
    <n v="29025"/>
    <n v="130300"/>
    <n v="116400"/>
    <n v="13900"/>
  </r>
  <r>
    <n v="13425"/>
    <n v="13426"/>
    <x v="4"/>
    <s v="MD-00024"/>
    <s v="EWELL"/>
    <n v="21824"/>
    <s v="SOMERSET"/>
    <s v="MD"/>
    <n v="265833"/>
    <n v="258258"/>
    <n v="7575"/>
    <n v="74800"/>
    <n v="67200"/>
    <n v="7600"/>
  </r>
  <r>
    <n v="13425"/>
    <n v="13426"/>
    <x v="4"/>
    <s v="MD-00024"/>
    <s v="MARION"/>
    <n v="21838"/>
    <s v="SOMERSET"/>
    <s v="MD"/>
    <n v="375488"/>
    <n v="277003"/>
    <n v="98485"/>
    <n v="0"/>
    <n v="0"/>
    <n v="0"/>
  </r>
  <r>
    <n v="13425"/>
    <n v="13426"/>
    <x v="4"/>
    <s v="MD-00024"/>
    <s v="MARION STATION"/>
    <n v="21838"/>
    <s v="SOMERSET"/>
    <s v="MD"/>
    <n v="779579"/>
    <n v="597792"/>
    <n v="181787"/>
    <n v="49600"/>
    <n v="48600"/>
    <n v="1000"/>
  </r>
  <r>
    <n v="13425"/>
    <n v="13426"/>
    <x v="4"/>
    <s v="MD-00024"/>
    <s v="POCOMOKE CITY"/>
    <n v="21851"/>
    <s v="SOMERSET"/>
    <s v="MD"/>
    <n v="82870"/>
    <n v="79870"/>
    <n v="3000"/>
    <n v="0"/>
    <n v="0"/>
    <n v="0"/>
  </r>
  <r>
    <n v="13425"/>
    <n v="13426"/>
    <x v="4"/>
    <s v="MD-00024"/>
    <s v="PRINCESS"/>
    <n v="21853"/>
    <s v="SOMERSET"/>
    <s v="MD"/>
    <n v="10681"/>
    <n v="7131"/>
    <n v="3550"/>
    <n v="10700"/>
    <n v="7200"/>
    <n v="3500"/>
  </r>
  <r>
    <n v="13425"/>
    <n v="13426"/>
    <x v="4"/>
    <s v="MD-00024"/>
    <s v="PRINCESS ANN"/>
    <n v="21853"/>
    <s v="SOMERSET"/>
    <s v="MD"/>
    <n v="95393"/>
    <n v="59603"/>
    <n v="35790"/>
    <n v="0"/>
    <n v="0"/>
    <n v="0"/>
  </r>
  <r>
    <n v="13425"/>
    <n v="13426"/>
    <x v="4"/>
    <s v="MD-00024"/>
    <s v="PRINCESS ANNE"/>
    <n v="21853"/>
    <s v="SOMERSET"/>
    <s v="MD"/>
    <n v="591790"/>
    <n v="500705"/>
    <n v="91085"/>
    <n v="241900"/>
    <n v="221700"/>
    <n v="20200"/>
  </r>
  <r>
    <n v="13425"/>
    <n v="13426"/>
    <x v="4"/>
    <s v="MD-00024"/>
    <s v="TYLERTON"/>
    <n v="21866"/>
    <s v="SOMERSET"/>
    <s v="MD"/>
    <n v="18691"/>
    <n v="18691"/>
    <n v="0"/>
    <n v="8400"/>
    <n v="8400"/>
    <n v="0"/>
  </r>
  <r>
    <n v="13425"/>
    <n v="13426"/>
    <x v="4"/>
    <s v="MD-00024"/>
    <s v="UPPER FAIRMOUNT"/>
    <n v="21867"/>
    <s v="SOMERSET"/>
    <s v="MD"/>
    <n v="11292"/>
    <n v="7692"/>
    <n v="3600"/>
    <n v="8100"/>
    <n v="4500"/>
    <n v="3600"/>
  </r>
  <r>
    <n v="13425"/>
    <n v="13426"/>
    <x v="4"/>
    <s v="MD-00024"/>
    <s v="WESTOVER"/>
    <n v="21871"/>
    <s v="SOMERSET"/>
    <s v="MD"/>
    <n v="635170"/>
    <n v="405610"/>
    <n v="229560"/>
    <n v="143600"/>
    <n v="92900"/>
    <n v="50700"/>
  </r>
  <r>
    <n v="13492"/>
    <n v="13493"/>
    <x v="5"/>
    <s v="MS-00064"/>
    <s v="BUCKATUNNA"/>
    <n v="39322"/>
    <s v="WAYNE"/>
    <s v="MS"/>
    <n v="212909"/>
    <n v="153559"/>
    <n v="59350"/>
    <n v="100800"/>
    <n v="60800"/>
    <n v="40000"/>
  </r>
  <r>
    <n v="13492"/>
    <n v="13493"/>
    <x v="5"/>
    <s v="MS-00064"/>
    <s v="COLUMBIA"/>
    <n v="39429"/>
    <s v="MARION"/>
    <s v="MS"/>
    <n v="69633"/>
    <n v="69633"/>
    <n v="0"/>
    <n v="0"/>
    <n v="0"/>
    <n v="0"/>
  </r>
  <r>
    <n v="13492"/>
    <n v="13493"/>
    <x v="5"/>
    <s v="MS-00064"/>
    <s v="HATTIESBURG"/>
    <n v="39401"/>
    <s v="FORREST"/>
    <s v="MS"/>
    <n v="3803190"/>
    <n v="2889118"/>
    <n v="914072"/>
    <n v="835300"/>
    <n v="618400"/>
    <n v="216900"/>
  </r>
  <r>
    <n v="13492"/>
    <n v="13493"/>
    <x v="5"/>
    <s v="MS-00064"/>
    <s v="HATTIESBURG"/>
    <n v="39401"/>
    <s v="LAMAR"/>
    <s v="MS"/>
    <n v="158939"/>
    <n v="106464"/>
    <n v="52475"/>
    <n v="33600"/>
    <n v="33600"/>
    <n v="0"/>
  </r>
  <r>
    <n v="13492"/>
    <n v="13493"/>
    <x v="5"/>
    <s v="MS-00064"/>
    <s v="HATTIESBURG"/>
    <n v="39402"/>
    <s v="FORREST"/>
    <s v="MS"/>
    <n v="1109513"/>
    <n v="839088"/>
    <n v="270425"/>
    <n v="168300"/>
    <n v="89600"/>
    <n v="78700"/>
  </r>
  <r>
    <n v="13492"/>
    <n v="13493"/>
    <x v="5"/>
    <s v="MS-00064"/>
    <s v="HATTIESBURG"/>
    <n v="39402"/>
    <s v="LAMAR"/>
    <s v="MS"/>
    <n v="4483612"/>
    <n v="3571657"/>
    <n v="911955"/>
    <n v="1473700"/>
    <n v="1134800"/>
    <n v="338900"/>
  </r>
  <r>
    <n v="13492"/>
    <n v="13493"/>
    <x v="5"/>
    <s v="MS-00064"/>
    <s v="HATTIESBURG"/>
    <n v="39404"/>
    <s v="FORREST"/>
    <s v="MS"/>
    <n v="7600"/>
    <n v="0"/>
    <n v="7600"/>
    <n v="6600"/>
    <n v="0"/>
    <n v="6600"/>
  </r>
  <r>
    <n v="13492"/>
    <n v="13493"/>
    <x v="5"/>
    <s v="MS-00064"/>
    <s v="HATTIESBURG"/>
    <n v="39406"/>
    <s v="FORREST"/>
    <s v="MS"/>
    <n v="10090"/>
    <n v="0"/>
    <n v="10090"/>
    <n v="10100"/>
    <n v="0"/>
    <n v="10100"/>
  </r>
  <r>
    <n v="13492"/>
    <n v="13493"/>
    <x v="5"/>
    <s v="MS-00064"/>
    <s v="MCLAIN"/>
    <n v="39456"/>
    <s v="GREENE"/>
    <s v="MS"/>
    <n v="23580"/>
    <n v="12305"/>
    <n v="11275"/>
    <n v="12600"/>
    <n v="12400"/>
    <n v="200"/>
  </r>
  <r>
    <n v="13492"/>
    <n v="13493"/>
    <x v="5"/>
    <s v="MS-00064"/>
    <s v="OVETT"/>
    <n v="39464"/>
    <s v="PERRY"/>
    <s v="MS"/>
    <n v="35635"/>
    <n v="24885"/>
    <n v="10750"/>
    <n v="0"/>
    <n v="0"/>
    <n v="0"/>
  </r>
  <r>
    <n v="13492"/>
    <n v="13493"/>
    <x v="5"/>
    <s v="MS-00064"/>
    <s v="PETAL"/>
    <n v="39465"/>
    <s v="FORREST"/>
    <s v="MS"/>
    <n v="2542515"/>
    <n v="1824198"/>
    <n v="718317"/>
    <n v="1174700"/>
    <n v="847200"/>
    <n v="327500"/>
  </r>
  <r>
    <n v="13492"/>
    <n v="13493"/>
    <x v="5"/>
    <s v="MS-00064"/>
    <s v="SANDY HOOK"/>
    <n v="39478"/>
    <s v="MARION"/>
    <s v="MS"/>
    <n v="29780"/>
    <n v="24230"/>
    <n v="5550"/>
    <n v="26000"/>
    <n v="20500"/>
    <n v="5500"/>
  </r>
  <r>
    <n v="13492"/>
    <n v="13493"/>
    <x v="5"/>
    <s v="MS-00064"/>
    <s v="WAYNESBORO"/>
    <n v="39367"/>
    <s v="WAYNE"/>
    <s v="MS"/>
    <n v="378683"/>
    <n v="328008"/>
    <n v="50675"/>
    <n v="199900"/>
    <n v="156300"/>
    <n v="43600"/>
  </r>
  <r>
    <n v="13559"/>
    <n v="13560"/>
    <x v="6"/>
    <s v="TX-00401"/>
    <s v="HILLSBORO"/>
    <n v="76645"/>
    <s v="HILL"/>
    <s v="TX"/>
    <n v="21837"/>
    <n v="21837"/>
    <n v="0"/>
    <n v="9900"/>
    <n v="9900"/>
    <n v="0"/>
  </r>
  <r>
    <n v="13559"/>
    <n v="13560"/>
    <x v="6"/>
    <s v="TX-00401"/>
    <s v="WEST"/>
    <n v="76691"/>
    <s v="MCLENNAN"/>
    <s v="TX"/>
    <n v="28525719"/>
    <n v="21885268"/>
    <n v="6640451"/>
    <n v="8432800"/>
    <n v="6630800"/>
    <n v="1802000"/>
  </r>
  <r>
    <n v="13579"/>
    <n v="13580"/>
    <x v="7"/>
    <s v="IL-00041"/>
    <s v="ABINGDON"/>
    <n v="61410"/>
    <s v="KNOX"/>
    <s v="IL"/>
    <n v="99953"/>
    <n v="73763"/>
    <n v="26190"/>
    <n v="56000"/>
    <n v="37400"/>
    <n v="18600"/>
  </r>
  <r>
    <n v="13579"/>
    <n v="13580"/>
    <x v="7"/>
    <s v="IL-00041"/>
    <s v="ADAIR"/>
    <n v="61411"/>
    <s v="MCDONOUGH"/>
    <s v="IL"/>
    <n v="20837"/>
    <n v="13707"/>
    <n v="7130"/>
    <n v="14000"/>
    <n v="13800"/>
    <n v="200"/>
  </r>
  <r>
    <n v="13579"/>
    <n v="13580"/>
    <x v="7"/>
    <s v="IL-00041"/>
    <s v="ADDISON"/>
    <n v="60101"/>
    <s v="DUPAGE"/>
    <s v="IL"/>
    <n v="230819"/>
    <n v="160444"/>
    <n v="70375"/>
    <n v="171100"/>
    <n v="128600"/>
    <n v="42500"/>
  </r>
  <r>
    <n v="13579"/>
    <n v="13580"/>
    <x v="7"/>
    <s v="IL-00041"/>
    <s v="ALGONQUIN"/>
    <n v="60102"/>
    <s v="KANE"/>
    <s v="IL"/>
    <n v="46680"/>
    <n v="39080"/>
    <n v="7600"/>
    <n v="0"/>
    <n v="0"/>
    <n v="0"/>
  </r>
  <r>
    <n v="13579"/>
    <n v="13580"/>
    <x v="7"/>
    <s v="IL-00041"/>
    <s v="ALGONQUIN"/>
    <n v="60102"/>
    <s v="MCHENRY"/>
    <s v="IL"/>
    <n v="131981"/>
    <n v="86076"/>
    <n v="45905"/>
    <n v="93600"/>
    <n v="48800"/>
    <n v="44800"/>
  </r>
  <r>
    <n v="13579"/>
    <n v="13580"/>
    <x v="7"/>
    <s v="IL-00041"/>
    <s v="ALSIP"/>
    <n v="60803"/>
    <s v="COOK"/>
    <s v="IL"/>
    <n v="39355"/>
    <n v="15545"/>
    <n v="23810"/>
    <n v="13000"/>
    <n v="6800"/>
    <n v="6200"/>
  </r>
  <r>
    <n v="13579"/>
    <n v="13580"/>
    <x v="7"/>
    <s v="IL-00041"/>
    <s v="ANCONA"/>
    <n v="61311"/>
    <s v="LIVINGSTON"/>
    <s v="IL"/>
    <n v="27103"/>
    <n v="13393"/>
    <n v="13710"/>
    <n v="24900"/>
    <n v="11200"/>
    <n v="13700"/>
  </r>
  <r>
    <n v="13579"/>
    <n v="13580"/>
    <x v="7"/>
    <s v="IL-00041"/>
    <s v="ANTIOCH"/>
    <n v="60002"/>
    <s v="LAKE"/>
    <s v="IL"/>
    <n v="114926"/>
    <n v="103841"/>
    <n v="11085"/>
    <n v="38600"/>
    <n v="31200"/>
    <n v="7400"/>
  </r>
  <r>
    <n v="13579"/>
    <n v="13580"/>
    <x v="7"/>
    <s v="IL-00041"/>
    <s v="ARLINGTON HEIGHTS"/>
    <n v="60005"/>
    <s v="COOK"/>
    <s v="IL"/>
    <n v="39844"/>
    <n v="31169"/>
    <n v="8675"/>
    <n v="37900"/>
    <n v="29200"/>
    <n v="8700"/>
  </r>
  <r>
    <n v="13579"/>
    <n v="13580"/>
    <x v="7"/>
    <s v="IL-00041"/>
    <s v="ATKINSON"/>
    <n v="61235"/>
    <s v="HENRY"/>
    <s v="IL"/>
    <n v="40373"/>
    <n v="32748"/>
    <n v="7625"/>
    <n v="38600"/>
    <n v="30900"/>
    <n v="7700"/>
  </r>
  <r>
    <n v="13579"/>
    <n v="13580"/>
    <x v="7"/>
    <s v="IL-00041"/>
    <s v="AURORA"/>
    <n v="60502"/>
    <s v="DUPAGE"/>
    <s v="IL"/>
    <n v="71849"/>
    <n v="50524"/>
    <n v="21325"/>
    <n v="49900"/>
    <n v="34300"/>
    <n v="15600"/>
  </r>
  <r>
    <n v="13579"/>
    <n v="13580"/>
    <x v="7"/>
    <s v="IL-00041"/>
    <s v="AURORA"/>
    <n v="60503"/>
    <s v="KANE"/>
    <s v="IL"/>
    <n v="31088"/>
    <n v="16713"/>
    <n v="14375"/>
    <n v="28100"/>
    <n v="13800"/>
    <n v="14300"/>
  </r>
  <r>
    <n v="13579"/>
    <n v="13580"/>
    <x v="7"/>
    <s v="IL-00041"/>
    <s v="AURORA"/>
    <n v="60503"/>
    <s v="KENDALL"/>
    <s v="IL"/>
    <n v="40911"/>
    <n v="36691"/>
    <n v="4220"/>
    <n v="39400"/>
    <n v="35200"/>
    <n v="4200"/>
  </r>
  <r>
    <n v="13579"/>
    <n v="13580"/>
    <x v="7"/>
    <s v="IL-00041"/>
    <s v="AURORA"/>
    <n v="60503"/>
    <s v="WILL"/>
    <s v="IL"/>
    <n v="11200"/>
    <n v="10450"/>
    <n v="750"/>
    <n v="0"/>
    <n v="0"/>
    <n v="0"/>
  </r>
  <r>
    <n v="13579"/>
    <n v="13580"/>
    <x v="7"/>
    <s v="IL-00041"/>
    <s v="AURORA"/>
    <n v="60504"/>
    <s v="DUPAGE"/>
    <s v="IL"/>
    <n v="71891"/>
    <n v="51446"/>
    <n v="20445"/>
    <n v="67400"/>
    <n v="46900"/>
    <n v="20500"/>
  </r>
  <r>
    <n v="13579"/>
    <n v="13580"/>
    <x v="7"/>
    <s v="IL-00041"/>
    <s v="AURORA"/>
    <n v="60504"/>
    <s v="KANE"/>
    <s v="IL"/>
    <n v="8710"/>
    <n v="1960"/>
    <n v="6750"/>
    <n v="0"/>
    <n v="0"/>
    <n v="0"/>
  </r>
  <r>
    <n v="13579"/>
    <n v="13580"/>
    <x v="7"/>
    <s v="IL-00041"/>
    <s v="AURORA"/>
    <n v="60505"/>
    <s v="KANE"/>
    <s v="IL"/>
    <n v="377954"/>
    <n v="270939"/>
    <n v="107015"/>
    <n v="181300"/>
    <n v="122200"/>
    <n v="59100"/>
  </r>
  <r>
    <n v="13579"/>
    <n v="13580"/>
    <x v="7"/>
    <s v="IL-00041"/>
    <s v="AURORA"/>
    <n v="60506"/>
    <s v="KANE"/>
    <s v="IL"/>
    <n v="586750"/>
    <n v="364525"/>
    <n v="222225"/>
    <n v="311300"/>
    <n v="194200"/>
    <n v="117100"/>
  </r>
  <r>
    <n v="13579"/>
    <n v="13580"/>
    <x v="7"/>
    <s v="IL-00041"/>
    <s v="BANNER"/>
    <n v="61520"/>
    <s v="FULTON"/>
    <s v="IL"/>
    <n v="46034"/>
    <n v="46034"/>
    <n v="0"/>
    <n v="0"/>
    <n v="0"/>
    <n v="0"/>
  </r>
  <r>
    <n v="13579"/>
    <n v="13580"/>
    <x v="7"/>
    <s v="IL-00041"/>
    <s v="BARRINGTON"/>
    <n v="60010"/>
    <s v="COOK"/>
    <s v="IL"/>
    <n v="33228"/>
    <n v="21773"/>
    <n v="11455"/>
    <n v="27000"/>
    <n v="15600"/>
    <n v="11400"/>
  </r>
  <r>
    <n v="13579"/>
    <n v="13580"/>
    <x v="7"/>
    <s v="IL-00041"/>
    <s v="BARRINGTON"/>
    <n v="60010"/>
    <s v="MCHENRY"/>
    <s v="IL"/>
    <n v="53024"/>
    <n v="53024"/>
    <n v="0"/>
    <n v="53100"/>
    <n v="53100"/>
    <n v="0"/>
  </r>
  <r>
    <n v="13579"/>
    <n v="13580"/>
    <x v="7"/>
    <s v="IL-00041"/>
    <s v="BARSTOW"/>
    <n v="61236"/>
    <s v="ROCK ISLAND"/>
    <s v="IL"/>
    <n v="86979"/>
    <n v="67579"/>
    <n v="19400"/>
    <n v="25300"/>
    <n v="5900"/>
    <n v="19400"/>
  </r>
  <r>
    <n v="13579"/>
    <n v="13580"/>
    <x v="7"/>
    <s v="IL-00041"/>
    <s v="BARTLETT"/>
    <n v="60103"/>
    <s v="COOK"/>
    <s v="IL"/>
    <n v="39395"/>
    <n v="33055"/>
    <n v="6340"/>
    <n v="0"/>
    <n v="0"/>
    <n v="0"/>
  </r>
  <r>
    <n v="13579"/>
    <n v="13580"/>
    <x v="7"/>
    <s v="IL-00041"/>
    <s v="BARTLETT"/>
    <n v="60103"/>
    <s v="DUPAGE"/>
    <s v="IL"/>
    <n v="13395"/>
    <n v="10350"/>
    <n v="3045"/>
    <n v="12300"/>
    <n v="9300"/>
    <n v="3000"/>
  </r>
  <r>
    <n v="13579"/>
    <n v="13580"/>
    <x v="7"/>
    <s v="IL-00041"/>
    <s v="BARTONVILLE"/>
    <n v="61607"/>
    <s v="PEORIA"/>
    <s v="IL"/>
    <n v="69161"/>
    <n v="59471"/>
    <n v="9690"/>
    <n v="0"/>
    <n v="0"/>
    <n v="0"/>
  </r>
  <r>
    <n v="13579"/>
    <n v="13580"/>
    <x v="7"/>
    <s v="IL-00041"/>
    <s v="BATAVIA"/>
    <n v="60510"/>
    <s v="KANE"/>
    <s v="IL"/>
    <n v="29977"/>
    <n v="26677"/>
    <n v="3300"/>
    <n v="18500"/>
    <n v="18500"/>
    <n v="0"/>
  </r>
  <r>
    <n v="13579"/>
    <n v="13580"/>
    <x v="7"/>
    <s v="IL-00041"/>
    <s v="BATH"/>
    <n v="62617"/>
    <s v="MASON"/>
    <s v="IL"/>
    <n v="847425"/>
    <n v="775480"/>
    <n v="71945"/>
    <n v="221700"/>
    <n v="173100"/>
    <n v="48600"/>
  </r>
  <r>
    <n v="13579"/>
    <n v="13580"/>
    <x v="7"/>
    <s v="IL-00041"/>
    <s v="BELLWOOD"/>
    <n v="60104"/>
    <s v="COOK"/>
    <s v="IL"/>
    <n v="3967644"/>
    <n v="2778299"/>
    <n v="1189345"/>
    <n v="1622600"/>
    <n v="1102300"/>
    <n v="520300"/>
  </r>
  <r>
    <n v="13579"/>
    <n v="13580"/>
    <x v="7"/>
    <s v="IL-00041"/>
    <s v="BELLWOOD"/>
    <n v="60140"/>
    <s v="COOK"/>
    <s v="IL"/>
    <n v="39517"/>
    <n v="27097"/>
    <n v="12420"/>
    <n v="0"/>
    <n v="0"/>
    <n v="0"/>
  </r>
  <r>
    <n v="13579"/>
    <n v="13580"/>
    <x v="7"/>
    <s v="IL-00041"/>
    <s v="BENSENVILLE"/>
    <n v="60106"/>
    <s v="DUPAGE"/>
    <s v="IL"/>
    <n v="120916"/>
    <n v="94921"/>
    <n v="25995"/>
    <n v="48400"/>
    <n v="35400"/>
    <n v="13000"/>
  </r>
  <r>
    <n v="13579"/>
    <n v="13580"/>
    <x v="7"/>
    <s v="IL-00041"/>
    <s v="BERKELEY"/>
    <n v="60163"/>
    <s v="COOK"/>
    <s v="IL"/>
    <n v="913161"/>
    <n v="627816"/>
    <n v="285345"/>
    <n v="343700"/>
    <n v="239900"/>
    <n v="103800"/>
  </r>
  <r>
    <n v="13579"/>
    <n v="13580"/>
    <x v="7"/>
    <s v="IL-00041"/>
    <s v="BERWYN"/>
    <n v="60402"/>
    <s v="COOK"/>
    <s v="IL"/>
    <n v="911247"/>
    <n v="656537"/>
    <n v="254710"/>
    <n v="350900"/>
    <n v="248800"/>
    <n v="102100"/>
  </r>
  <r>
    <n v="13579"/>
    <n v="13580"/>
    <x v="7"/>
    <s v="IL-00041"/>
    <s v="BLOOMINGDALE"/>
    <n v="60108"/>
    <s v="DUPAGE"/>
    <s v="IL"/>
    <n v="26975"/>
    <n v="19025"/>
    <n v="7950"/>
    <n v="17800"/>
    <n v="9900"/>
    <n v="7900"/>
  </r>
  <r>
    <n v="13579"/>
    <n v="13580"/>
    <x v="7"/>
    <s v="IL-00041"/>
    <s v="BLUE ISLAND"/>
    <n v="60406"/>
    <s v="COOK"/>
    <s v="IL"/>
    <n v="250805"/>
    <n v="190665"/>
    <n v="60140"/>
    <n v="147700"/>
    <n v="119200"/>
    <n v="28500"/>
  </r>
  <r>
    <n v="13579"/>
    <n v="13580"/>
    <x v="7"/>
    <s v="IL-00041"/>
    <s v="BOLINGBROOK"/>
    <n v="60440"/>
    <s v="WILL"/>
    <s v="IL"/>
    <n v="289525"/>
    <n v="197825"/>
    <n v="91700"/>
    <n v="104400"/>
    <n v="57500"/>
    <n v="46900"/>
  </r>
  <r>
    <n v="13579"/>
    <n v="13580"/>
    <x v="7"/>
    <s v="IL-00041"/>
    <s v="BOLINGBROOK"/>
    <n v="60490"/>
    <s v="WILL"/>
    <s v="IL"/>
    <n v="118104"/>
    <n v="60579"/>
    <n v="57525"/>
    <n v="13400"/>
    <n v="5100"/>
    <n v="8300"/>
  </r>
  <r>
    <n v="13579"/>
    <n v="13580"/>
    <x v="7"/>
    <s v="IL-00041"/>
    <s v="BRADFORD"/>
    <n v="61421"/>
    <s v="STARK"/>
    <s v="IL"/>
    <n v="61980"/>
    <n v="41935"/>
    <n v="20045"/>
    <n v="37900"/>
    <n v="29700"/>
    <n v="8200"/>
  </r>
  <r>
    <n v="13579"/>
    <n v="13580"/>
    <x v="7"/>
    <s v="IL-00041"/>
    <s v="BRIMFIELD"/>
    <n v="61517"/>
    <s v="PEORIA"/>
    <s v="IL"/>
    <n v="24843"/>
    <n v="24843"/>
    <n v="0"/>
    <n v="22100"/>
    <n v="22100"/>
    <n v="0"/>
  </r>
  <r>
    <n v="13579"/>
    <n v="13580"/>
    <x v="7"/>
    <s v="IL-00041"/>
    <s v="BROADVIEW"/>
    <n v="60155"/>
    <s v="COOK"/>
    <s v="IL"/>
    <n v="1087507"/>
    <n v="745096"/>
    <n v="342411"/>
    <n v="559200"/>
    <n v="381300"/>
    <n v="177900"/>
  </r>
  <r>
    <n v="13579"/>
    <n v="13580"/>
    <x v="7"/>
    <s v="IL-00041"/>
    <s v="BROOKFIELD"/>
    <n v="60513"/>
    <s v="COOK"/>
    <s v="IL"/>
    <n v="548877"/>
    <n v="390591"/>
    <n v="158286"/>
    <n v="345400"/>
    <n v="237000"/>
    <n v="108400"/>
  </r>
  <r>
    <n v="13579"/>
    <n v="13580"/>
    <x v="7"/>
    <s v="IL-00041"/>
    <s v="BRUSSELS"/>
    <n v="62013"/>
    <s v="CALHOUN"/>
    <s v="IL"/>
    <n v="40200"/>
    <n v="36450"/>
    <n v="3750"/>
    <n v="3700"/>
    <n v="0"/>
    <n v="3700"/>
  </r>
  <r>
    <n v="13579"/>
    <n v="13580"/>
    <x v="7"/>
    <s v="IL-00041"/>
    <s v="BURBANK"/>
    <n v="60459"/>
    <s v="COOK"/>
    <s v="IL"/>
    <n v="49437"/>
    <n v="41607"/>
    <n v="7830"/>
    <n v="3300"/>
    <n v="1900"/>
    <n v="1400"/>
  </r>
  <r>
    <n v="13579"/>
    <n v="13580"/>
    <x v="7"/>
    <s v="IL-00041"/>
    <s v="BURNHAM"/>
    <n v="60633"/>
    <s v="COOK"/>
    <s v="IL"/>
    <n v="194475"/>
    <n v="147550"/>
    <n v="46925"/>
    <n v="81700"/>
    <n v="68900"/>
    <n v="12800"/>
  </r>
  <r>
    <n v="13579"/>
    <n v="13580"/>
    <x v="7"/>
    <s v="IL-00041"/>
    <s v="BURR RIDGE"/>
    <n v="60527"/>
    <s v="COOK"/>
    <s v="IL"/>
    <n v="87978"/>
    <n v="78868"/>
    <n v="9110"/>
    <n v="75400"/>
    <n v="66300"/>
    <n v="9100"/>
  </r>
  <r>
    <n v="13579"/>
    <n v="13580"/>
    <x v="7"/>
    <s v="IL-00041"/>
    <s v="BUSHNELL"/>
    <n v="61422"/>
    <s v="MCDONOUGH"/>
    <s v="IL"/>
    <n v="105234"/>
    <n v="83634"/>
    <n v="21600"/>
    <n v="57700"/>
    <n v="45800"/>
    <n v="11900"/>
  </r>
  <r>
    <n v="13579"/>
    <n v="13580"/>
    <x v="7"/>
    <s v="IL-00041"/>
    <s v="CALUMET CITY"/>
    <n v="60409"/>
    <s v="COOK"/>
    <s v="IL"/>
    <n v="2646703"/>
    <n v="1977197"/>
    <n v="669506"/>
    <n v="1208100"/>
    <n v="898500"/>
    <n v="309600"/>
  </r>
  <r>
    <n v="13579"/>
    <n v="13580"/>
    <x v="7"/>
    <s v="IL-00041"/>
    <s v="CALUMET PARK"/>
    <n v="60643"/>
    <s v="COOK"/>
    <s v="IL"/>
    <n v="8180"/>
    <n v="7380"/>
    <n v="800"/>
    <n v="7100"/>
    <n v="6300"/>
    <n v="800"/>
  </r>
  <r>
    <n v="13579"/>
    <n v="13580"/>
    <x v="7"/>
    <s v="IL-00041"/>
    <s v="CALUMET PARK"/>
    <n v="60827"/>
    <s v="COOK"/>
    <s v="IL"/>
    <n v="675158"/>
    <n v="473383"/>
    <n v="201775"/>
    <n v="322100"/>
    <n v="237800"/>
    <n v="84300"/>
  </r>
  <r>
    <n v="13579"/>
    <n v="13580"/>
    <x v="7"/>
    <s v="IL-00041"/>
    <s v="CAMBRIDGE"/>
    <n v="61238"/>
    <s v="HENRY"/>
    <s v="IL"/>
    <n v="24894"/>
    <n v="23244"/>
    <n v="1650"/>
    <n v="24900"/>
    <n v="23300"/>
    <n v="1600"/>
  </r>
  <r>
    <n v="13579"/>
    <n v="13580"/>
    <x v="7"/>
    <s v="IL-00041"/>
    <s v="CAMPTON HILLS"/>
    <n v="60119"/>
    <s v="KANE"/>
    <s v="IL"/>
    <n v="80138"/>
    <n v="77048"/>
    <n v="3090"/>
    <n v="79300"/>
    <n v="76200"/>
    <n v="3100"/>
  </r>
  <r>
    <n v="13579"/>
    <n v="13580"/>
    <x v="7"/>
    <s v="IL-00041"/>
    <s v="CANTON"/>
    <n v="61520"/>
    <s v="FULTON"/>
    <s v="IL"/>
    <n v="31689"/>
    <n v="31689"/>
    <n v="0"/>
    <n v="14000"/>
    <n v="14000"/>
    <n v="0"/>
  </r>
  <r>
    <n v="13579"/>
    <n v="13580"/>
    <x v="7"/>
    <s v="IL-00041"/>
    <s v="CARMAN"/>
    <n v="61425"/>
    <s v="HENDERSON"/>
    <s v="IL"/>
    <n v="9713"/>
    <n v="9713"/>
    <n v="0"/>
    <n v="4200"/>
    <n v="4200"/>
    <n v="0"/>
  </r>
  <r>
    <n v="13579"/>
    <n v="13580"/>
    <x v="7"/>
    <s v="IL-00041"/>
    <s v="CAROL STREAM"/>
    <n v="60188"/>
    <s v="DUPAGE"/>
    <s v="IL"/>
    <n v="7584"/>
    <n v="7584"/>
    <n v="0"/>
    <n v="5700"/>
    <n v="5700"/>
    <n v="0"/>
  </r>
  <r>
    <n v="13579"/>
    <n v="13580"/>
    <x v="7"/>
    <s v="IL-00041"/>
    <s v="CARPENTERSVILLE"/>
    <n v="60110"/>
    <s v="KANE"/>
    <s v="IL"/>
    <n v="56023"/>
    <n v="55423"/>
    <n v="600"/>
    <n v="14000"/>
    <n v="14000"/>
    <n v="0"/>
  </r>
  <r>
    <n v="13579"/>
    <n v="13580"/>
    <x v="7"/>
    <s v="IL-00041"/>
    <s v="CARY"/>
    <n v="60013"/>
    <s v="LAKE"/>
    <s v="IL"/>
    <n v="211425"/>
    <n v="187615"/>
    <n v="23810"/>
    <n v="39900"/>
    <n v="27800"/>
    <n v="12100"/>
  </r>
  <r>
    <n v="13579"/>
    <n v="13580"/>
    <x v="7"/>
    <s v="IL-00041"/>
    <s v="CARY"/>
    <n v="60013"/>
    <s v="MCHENRY"/>
    <s v="IL"/>
    <n v="126568"/>
    <n v="96048"/>
    <n v="30520"/>
    <n v="29000"/>
    <n v="13300"/>
    <n v="15700"/>
  </r>
  <r>
    <n v="13579"/>
    <n v="13580"/>
    <x v="7"/>
    <s v="IL-00041"/>
    <s v="CEDAR POINT"/>
    <n v="61316"/>
    <s v="LA SALLE"/>
    <s v="IL"/>
    <n v="16548"/>
    <n v="11148"/>
    <n v="5400"/>
    <n v="0"/>
    <n v="0"/>
    <n v="0"/>
  </r>
  <r>
    <n v="13579"/>
    <n v="13580"/>
    <x v="7"/>
    <s v="IL-00041"/>
    <s v="CHANNAHON"/>
    <n v="60410"/>
    <s v="WILL"/>
    <s v="IL"/>
    <n v="30700"/>
    <n v="20745"/>
    <n v="9955"/>
    <n v="29200"/>
    <n v="19300"/>
    <n v="9900"/>
  </r>
  <r>
    <n v="13579"/>
    <n v="13580"/>
    <x v="7"/>
    <s v="IL-00041"/>
    <s v="CHERRY"/>
    <n v="61317"/>
    <s v="BUREAU"/>
    <s v="IL"/>
    <n v="22423"/>
    <n v="18523"/>
    <n v="3900"/>
    <n v="8200"/>
    <n v="4300"/>
    <n v="3900"/>
  </r>
  <r>
    <n v="13579"/>
    <n v="13580"/>
    <x v="7"/>
    <s v="IL-00041"/>
    <s v="CHICAGO"/>
    <n v="60605"/>
    <s v="COOK"/>
    <s v="IL"/>
    <n v="26170"/>
    <n v="7995"/>
    <n v="18175"/>
    <n v="25400"/>
    <n v="7900"/>
    <n v="17500"/>
  </r>
  <r>
    <n v="13579"/>
    <n v="13580"/>
    <x v="7"/>
    <s v="IL-00041"/>
    <s v="CHICAGO"/>
    <n v="60608"/>
    <s v="COOK"/>
    <s v="IL"/>
    <n v="31870"/>
    <n v="29870"/>
    <n v="2000"/>
    <n v="1000"/>
    <n v="1000"/>
    <n v="0"/>
  </r>
  <r>
    <n v="13579"/>
    <n v="13580"/>
    <x v="7"/>
    <s v="IL-00041"/>
    <s v="CHICAGO"/>
    <n v="60609"/>
    <s v="COOK"/>
    <s v="IL"/>
    <n v="403294"/>
    <n v="240556"/>
    <n v="162738"/>
    <n v="168000"/>
    <n v="118200"/>
    <n v="49800"/>
  </r>
  <r>
    <n v="13579"/>
    <n v="13580"/>
    <x v="7"/>
    <s v="IL-00041"/>
    <s v="CHICAGO"/>
    <n v="60612"/>
    <s v="COOK"/>
    <s v="IL"/>
    <n v="309947"/>
    <n v="200294"/>
    <n v="109653"/>
    <n v="143700"/>
    <n v="117900"/>
    <n v="25800"/>
  </r>
  <r>
    <n v="13579"/>
    <n v="13580"/>
    <x v="7"/>
    <s v="IL-00041"/>
    <s v="CHICAGO"/>
    <n v="60613"/>
    <s v="COOK"/>
    <s v="IL"/>
    <n v="7425"/>
    <n v="0"/>
    <n v="7425"/>
    <n v="0"/>
    <n v="0"/>
    <n v="0"/>
  </r>
  <r>
    <n v="13579"/>
    <n v="13580"/>
    <x v="7"/>
    <s v="IL-00041"/>
    <s v="CHICAGO"/>
    <n v="60615"/>
    <s v="COOK"/>
    <s v="IL"/>
    <n v="87964"/>
    <n v="62844"/>
    <n v="25120"/>
    <n v="34700"/>
    <n v="32700"/>
    <n v="2000"/>
  </r>
  <r>
    <n v="13579"/>
    <n v="13580"/>
    <x v="7"/>
    <s v="IL-00041"/>
    <s v="CHICAGO"/>
    <n v="60616"/>
    <s v="COOK"/>
    <s v="IL"/>
    <n v="68305"/>
    <n v="54675"/>
    <n v="13630"/>
    <n v="34100"/>
    <n v="24100"/>
    <n v="10000"/>
  </r>
  <r>
    <n v="13579"/>
    <n v="13580"/>
    <x v="7"/>
    <s v="IL-00041"/>
    <s v="CHICAGO"/>
    <n v="60617"/>
    <s v="COOK"/>
    <s v="IL"/>
    <n v="2831668"/>
    <n v="2069775"/>
    <n v="761893"/>
    <n v="1428000"/>
    <n v="1036100"/>
    <n v="389000"/>
  </r>
  <r>
    <n v="13579"/>
    <n v="13580"/>
    <x v="7"/>
    <s v="IL-00041"/>
    <s v="CHICAGO"/>
    <n v="60618"/>
    <s v="COOK"/>
    <s v="IL"/>
    <n v="140018"/>
    <n v="94533"/>
    <n v="45485"/>
    <n v="69300"/>
    <n v="45100"/>
    <n v="24200"/>
  </r>
  <r>
    <n v="13579"/>
    <n v="13580"/>
    <x v="7"/>
    <s v="IL-00041"/>
    <s v="CHICAGO"/>
    <n v="60619"/>
    <s v="COOK"/>
    <s v="IL"/>
    <n v="3896833"/>
    <n v="2820869"/>
    <n v="1075964"/>
    <n v="1939800"/>
    <n v="1386400"/>
    <n v="553400"/>
  </r>
  <r>
    <n v="13579"/>
    <n v="13580"/>
    <x v="7"/>
    <s v="IL-00041"/>
    <s v="CHICAGO"/>
    <n v="60620"/>
    <s v="COOK"/>
    <s v="IL"/>
    <n v="3478719"/>
    <n v="2424001"/>
    <n v="1054718"/>
    <n v="1704100"/>
    <n v="1169200"/>
    <n v="496800"/>
  </r>
  <r>
    <n v="13579"/>
    <n v="13580"/>
    <x v="7"/>
    <s v="IL-00041"/>
    <s v="CHICAGO"/>
    <n v="60621"/>
    <s v="COOK"/>
    <s v="IL"/>
    <n v="466526"/>
    <n v="309121"/>
    <n v="157405"/>
    <n v="203700"/>
    <n v="136400"/>
    <n v="67300"/>
  </r>
  <r>
    <n v="13579"/>
    <n v="13580"/>
    <x v="7"/>
    <s v="IL-00041"/>
    <s v="CHICAGO"/>
    <n v="60622"/>
    <s v="COOK"/>
    <s v="IL"/>
    <n v="67423"/>
    <n v="47198"/>
    <n v="20225"/>
    <n v="65600"/>
    <n v="45400"/>
    <n v="20200"/>
  </r>
  <r>
    <n v="13579"/>
    <n v="13580"/>
    <x v="7"/>
    <s v="IL-00041"/>
    <s v="CHICAGO"/>
    <n v="60623"/>
    <s v="COOK"/>
    <s v="IL"/>
    <n v="400418"/>
    <n v="283108"/>
    <n v="117310"/>
    <n v="162900"/>
    <n v="118000"/>
    <n v="44900"/>
  </r>
  <r>
    <n v="13579"/>
    <n v="13580"/>
    <x v="7"/>
    <s v="IL-00041"/>
    <s v="CHICAGO"/>
    <n v="60624"/>
    <s v="COOK"/>
    <s v="IL"/>
    <n v="511246"/>
    <n v="342725"/>
    <n v="168521"/>
    <n v="159400"/>
    <n v="116600"/>
    <n v="42800"/>
  </r>
  <r>
    <n v="13579"/>
    <n v="13580"/>
    <x v="7"/>
    <s v="IL-00041"/>
    <s v="CHICAGO"/>
    <n v="60625"/>
    <s v="COOK"/>
    <s v="IL"/>
    <n v="525798"/>
    <n v="349138"/>
    <n v="176660"/>
    <n v="139000"/>
    <n v="86100"/>
    <n v="52900"/>
  </r>
  <r>
    <n v="13579"/>
    <n v="13580"/>
    <x v="7"/>
    <s v="IL-00041"/>
    <s v="CHICAGO"/>
    <n v="60626"/>
    <s v="COOK"/>
    <s v="IL"/>
    <n v="71061"/>
    <n v="51366"/>
    <n v="19695"/>
    <n v="30300"/>
    <n v="24400"/>
    <n v="5900"/>
  </r>
  <r>
    <n v="13579"/>
    <n v="13580"/>
    <x v="7"/>
    <s v="IL-00041"/>
    <s v="CHICAGO"/>
    <n v="60628"/>
    <s v="COOK"/>
    <s v="IL"/>
    <n v="4333453"/>
    <n v="3146215"/>
    <n v="1187238"/>
    <n v="1947500"/>
    <n v="1448600"/>
    <n v="498900"/>
  </r>
  <r>
    <n v="13579"/>
    <n v="13580"/>
    <x v="7"/>
    <s v="IL-00041"/>
    <s v="CHICAGO"/>
    <n v="60629"/>
    <s v="COOK"/>
    <s v="IL"/>
    <n v="1364640"/>
    <n v="889097"/>
    <n v="475543"/>
    <n v="543800"/>
    <n v="396400"/>
    <n v="147400"/>
  </r>
  <r>
    <n v="13579"/>
    <n v="13580"/>
    <x v="7"/>
    <s v="IL-00041"/>
    <s v="CHICAGO"/>
    <n v="60630"/>
    <s v="COOK"/>
    <s v="IL"/>
    <n v="1491820"/>
    <n v="1079625"/>
    <n v="412195"/>
    <n v="912400"/>
    <n v="629700"/>
    <n v="278300"/>
  </r>
  <r>
    <n v="13579"/>
    <n v="13580"/>
    <x v="7"/>
    <s v="IL-00041"/>
    <s v="CHICAGO"/>
    <n v="60631"/>
    <s v="COOK"/>
    <s v="IL"/>
    <n v="1277219"/>
    <n v="919199"/>
    <n v="358020"/>
    <n v="700700"/>
    <n v="491500"/>
    <n v="209200"/>
  </r>
  <r>
    <n v="13579"/>
    <n v="13580"/>
    <x v="7"/>
    <s v="IL-00041"/>
    <s v="CHICAGO"/>
    <n v="60632"/>
    <s v="COOK"/>
    <s v="IL"/>
    <n v="43515"/>
    <n v="30540"/>
    <n v="12975"/>
    <n v="13600"/>
    <n v="10300"/>
    <n v="3300"/>
  </r>
  <r>
    <n v="13579"/>
    <n v="13580"/>
    <x v="7"/>
    <s v="IL-00041"/>
    <s v="CHICAGO"/>
    <n v="60633"/>
    <s v="COOK"/>
    <s v="IL"/>
    <n v="111887"/>
    <n v="81912"/>
    <n v="29975"/>
    <n v="39500"/>
    <n v="28100"/>
    <n v="11400"/>
  </r>
  <r>
    <n v="13579"/>
    <n v="13580"/>
    <x v="7"/>
    <s v="IL-00041"/>
    <s v="CHICAGO"/>
    <n v="60634"/>
    <s v="COOK"/>
    <s v="IL"/>
    <n v="2248583"/>
    <n v="1631003"/>
    <n v="617580"/>
    <n v="1242600"/>
    <n v="872500"/>
    <n v="370100"/>
  </r>
  <r>
    <n v="13579"/>
    <n v="13580"/>
    <x v="7"/>
    <s v="IL-00041"/>
    <s v="CHICAGO"/>
    <n v="60636"/>
    <s v="COOK"/>
    <s v="IL"/>
    <n v="803124"/>
    <n v="512085"/>
    <n v="291039"/>
    <n v="311300"/>
    <n v="204000"/>
    <n v="107300"/>
  </r>
  <r>
    <n v="13579"/>
    <n v="13580"/>
    <x v="7"/>
    <s v="IL-00041"/>
    <s v="CHICAGO"/>
    <n v="60637"/>
    <s v="COOK"/>
    <s v="IL"/>
    <n v="537019"/>
    <n v="403594"/>
    <n v="133425"/>
    <n v="288800"/>
    <n v="225000"/>
    <n v="63800"/>
  </r>
  <r>
    <n v="13579"/>
    <n v="13580"/>
    <x v="7"/>
    <s v="IL-00041"/>
    <s v="CHICAGO"/>
    <n v="60638"/>
    <s v="COOK"/>
    <s v="IL"/>
    <n v="144413"/>
    <n v="101888"/>
    <n v="42525"/>
    <n v="61700"/>
    <n v="41000"/>
    <n v="20700"/>
  </r>
  <r>
    <n v="13579"/>
    <n v="13580"/>
    <x v="7"/>
    <s v="IL-00041"/>
    <s v="CHICAGO"/>
    <n v="60639"/>
    <s v="COOK"/>
    <s v="IL"/>
    <n v="712548"/>
    <n v="544417"/>
    <n v="168131"/>
    <n v="320600"/>
    <n v="265400"/>
    <n v="55200"/>
  </r>
  <r>
    <n v="13579"/>
    <n v="13580"/>
    <x v="7"/>
    <s v="IL-00041"/>
    <s v="CHICAGO"/>
    <n v="60641"/>
    <s v="COOK"/>
    <s v="IL"/>
    <n v="215360"/>
    <n v="183020"/>
    <n v="32340"/>
    <n v="107900"/>
    <n v="79600"/>
    <n v="28300"/>
  </r>
  <r>
    <n v="13579"/>
    <n v="13580"/>
    <x v="7"/>
    <s v="IL-00041"/>
    <s v="CHICAGO"/>
    <n v="60642"/>
    <s v="COOK"/>
    <s v="IL"/>
    <n v="126059"/>
    <n v="94184"/>
    <n v="31875"/>
    <n v="0"/>
    <n v="0"/>
    <n v="0"/>
  </r>
  <r>
    <n v="13579"/>
    <n v="13580"/>
    <x v="7"/>
    <s v="IL-00041"/>
    <s v="CHICAGO"/>
    <n v="60643"/>
    <s v="COOK"/>
    <s v="IL"/>
    <n v="2793508"/>
    <n v="2160060"/>
    <n v="633448"/>
    <n v="1350500"/>
    <n v="1040435"/>
    <n v="310065"/>
  </r>
  <r>
    <n v="13579"/>
    <n v="13580"/>
    <x v="7"/>
    <s v="IL-00041"/>
    <s v="CHICAGO"/>
    <n v="60644"/>
    <s v="COOK"/>
    <s v="IL"/>
    <n v="908912"/>
    <n v="628941"/>
    <n v="279971"/>
    <n v="450600"/>
    <n v="339200"/>
    <n v="111400"/>
  </r>
  <r>
    <n v="13579"/>
    <n v="13580"/>
    <x v="7"/>
    <s v="IL-00041"/>
    <s v="CHICAGO"/>
    <n v="60645"/>
    <s v="COOK"/>
    <s v="IL"/>
    <n v="443879"/>
    <n v="306941"/>
    <n v="136938"/>
    <n v="259600"/>
    <n v="172700"/>
    <n v="86900"/>
  </r>
  <r>
    <n v="13579"/>
    <n v="13580"/>
    <x v="7"/>
    <s v="IL-00041"/>
    <s v="CHICAGO"/>
    <n v="60646"/>
    <s v="COOK"/>
    <s v="IL"/>
    <n v="1266887"/>
    <n v="934272"/>
    <n v="332615"/>
    <n v="934400"/>
    <n v="672800"/>
    <n v="261600"/>
  </r>
  <r>
    <n v="13579"/>
    <n v="13580"/>
    <x v="7"/>
    <s v="IL-00041"/>
    <s v="CHICAGO"/>
    <n v="60647"/>
    <s v="COOK"/>
    <s v="IL"/>
    <n v="30361"/>
    <n v="22346"/>
    <n v="8015"/>
    <n v="0"/>
    <n v="0"/>
    <n v="0"/>
  </r>
  <r>
    <n v="13579"/>
    <n v="13580"/>
    <x v="7"/>
    <s v="IL-00041"/>
    <s v="CHICAGO"/>
    <n v="60649"/>
    <s v="COOK"/>
    <s v="IL"/>
    <n v="241934"/>
    <n v="174159"/>
    <n v="67775"/>
    <n v="168900"/>
    <n v="135600"/>
    <n v="33300"/>
  </r>
  <r>
    <n v="13579"/>
    <n v="13580"/>
    <x v="7"/>
    <s v="IL-00041"/>
    <s v="CHICAGO"/>
    <n v="60651"/>
    <s v="COOK"/>
    <s v="IL"/>
    <n v="1620508"/>
    <n v="1226004"/>
    <n v="394504"/>
    <n v="716100"/>
    <n v="539800"/>
    <n v="176300"/>
  </r>
  <r>
    <n v="13579"/>
    <n v="13580"/>
    <x v="7"/>
    <s v="IL-00041"/>
    <s v="CHICAGO"/>
    <n v="60652"/>
    <s v="COOK"/>
    <s v="IL"/>
    <n v="1672406"/>
    <n v="1192458"/>
    <n v="479948"/>
    <n v="803700"/>
    <n v="589500"/>
    <n v="214200"/>
  </r>
  <r>
    <n v="13579"/>
    <n v="13580"/>
    <x v="7"/>
    <s v="IL-00041"/>
    <s v="CHICAGO"/>
    <n v="60653"/>
    <s v="COOK"/>
    <s v="IL"/>
    <n v="211111"/>
    <n v="155811"/>
    <n v="55300"/>
    <n v="74800"/>
    <n v="67000"/>
    <n v="7800"/>
  </r>
  <r>
    <n v="13579"/>
    <n v="13580"/>
    <x v="7"/>
    <s v="IL-00041"/>
    <s v="CHICAGO"/>
    <n v="60655"/>
    <s v="COOK"/>
    <s v="IL"/>
    <n v="243737"/>
    <n v="193957"/>
    <n v="49780"/>
    <n v="140800"/>
    <n v="115600"/>
    <n v="25200"/>
  </r>
  <r>
    <n v="13579"/>
    <n v="13580"/>
    <x v="7"/>
    <s v="IL-00041"/>
    <s v="CHICAGO"/>
    <n v="60656"/>
    <s v="COOK"/>
    <s v="IL"/>
    <n v="1272699"/>
    <n v="913504"/>
    <n v="359195"/>
    <n v="863800"/>
    <n v="608300"/>
    <n v="255500"/>
  </r>
  <r>
    <n v="13579"/>
    <n v="13580"/>
    <x v="7"/>
    <s v="IL-00041"/>
    <s v="CHICAGO"/>
    <n v="60659"/>
    <s v="COOK"/>
    <s v="IL"/>
    <n v="419371"/>
    <n v="304091"/>
    <n v="115280"/>
    <n v="147200"/>
    <n v="97600"/>
    <n v="49600"/>
  </r>
  <r>
    <n v="13579"/>
    <n v="13580"/>
    <x v="7"/>
    <s v="IL-00041"/>
    <s v="CHICAGO"/>
    <n v="60678"/>
    <s v="COOK"/>
    <s v="IL"/>
    <n v="6860"/>
    <n v="0"/>
    <n v="6860"/>
    <n v="0"/>
    <n v="0"/>
    <n v="0"/>
  </r>
  <r>
    <n v="13579"/>
    <n v="13580"/>
    <x v="7"/>
    <s v="IL-00041"/>
    <s v="CHICAGO"/>
    <n v="60707"/>
    <s v="COOK"/>
    <s v="IL"/>
    <n v="465391"/>
    <n v="355606"/>
    <n v="109785"/>
    <n v="363300"/>
    <n v="270200"/>
    <n v="93100"/>
  </r>
  <r>
    <n v="13579"/>
    <n v="13580"/>
    <x v="7"/>
    <s v="IL-00041"/>
    <s v="CHICAGO"/>
    <n v="60827"/>
    <s v="COOK"/>
    <s v="IL"/>
    <n v="15185"/>
    <n v="6810"/>
    <n v="8375"/>
    <n v="0"/>
    <n v="0"/>
    <n v="0"/>
  </r>
  <r>
    <n v="13579"/>
    <n v="13580"/>
    <x v="7"/>
    <s v="IL-00041"/>
    <s v="CHICAGO HEIGHTS"/>
    <n v="60411"/>
    <s v="COOK"/>
    <s v="IL"/>
    <n v="1022445"/>
    <n v="781434"/>
    <n v="241011"/>
    <n v="330500"/>
    <n v="231500"/>
    <n v="99000"/>
  </r>
  <r>
    <n v="13579"/>
    <n v="13580"/>
    <x v="7"/>
    <s v="IL-00041"/>
    <s v="CHICAGO HTS"/>
    <n v="60411"/>
    <s v="COOK"/>
    <s v="IL"/>
    <n v="131218"/>
    <n v="116523"/>
    <n v="14695"/>
    <n v="123800"/>
    <n v="109000"/>
    <n v="14800"/>
  </r>
  <r>
    <n v="13579"/>
    <n v="13580"/>
    <x v="7"/>
    <s v="IL-00041"/>
    <s v="CHICAGO RIDGE"/>
    <n v="60415"/>
    <s v="COOK"/>
    <s v="IL"/>
    <n v="7555"/>
    <n v="7555"/>
    <n v="0"/>
    <n v="7600"/>
    <n v="7600"/>
    <n v="0"/>
  </r>
  <r>
    <n v="13579"/>
    <n v="13580"/>
    <x v="7"/>
    <s v="IL-00041"/>
    <s v="CHILLICOTHE"/>
    <n v="61523"/>
    <s v="PEORIA"/>
    <s v="IL"/>
    <n v="318477"/>
    <n v="243287"/>
    <n v="75190"/>
    <n v="161500"/>
    <n v="147300"/>
    <n v="14200"/>
  </r>
  <r>
    <n v="13579"/>
    <n v="13580"/>
    <x v="7"/>
    <s v="IL-00041"/>
    <s v="CICERO"/>
    <n v="60804"/>
    <s v="COOK"/>
    <s v="IL"/>
    <n v="219049"/>
    <n v="176804"/>
    <n v="42245"/>
    <n v="39800"/>
    <n v="28200"/>
    <n v="11600"/>
  </r>
  <r>
    <n v="13579"/>
    <n v="13580"/>
    <x v="7"/>
    <s v="IL-00041"/>
    <s v="CLARENDON HILLS"/>
    <n v="60514"/>
    <s v="DUPAGE"/>
    <s v="IL"/>
    <n v="94398"/>
    <n v="68198"/>
    <n v="26200"/>
    <n v="36800"/>
    <n v="25500"/>
    <n v="11300"/>
  </r>
  <r>
    <n v="13579"/>
    <n v="13580"/>
    <x v="7"/>
    <s v="IL-00041"/>
    <s v="COAL CITY"/>
    <n v="60416"/>
    <s v="GRUNDY"/>
    <s v="IL"/>
    <n v="72790"/>
    <n v="68470"/>
    <n v="4320"/>
    <n v="0"/>
    <n v="0"/>
    <n v="0"/>
  </r>
  <r>
    <n v="13579"/>
    <n v="13580"/>
    <x v="7"/>
    <s v="IL-00041"/>
    <s v="COLCHESTER"/>
    <n v="62326"/>
    <s v="MCDONOUGH"/>
    <s v="IL"/>
    <n v="147271"/>
    <n v="124121"/>
    <n v="23150"/>
    <n v="128700"/>
    <n v="105500"/>
    <n v="23200"/>
  </r>
  <r>
    <n v="13579"/>
    <n v="13580"/>
    <x v="7"/>
    <s v="IL-00041"/>
    <s v="COUNTRY CLUB HILLS"/>
    <n v="60478"/>
    <s v="COOK"/>
    <s v="IL"/>
    <n v="560751"/>
    <n v="428536"/>
    <n v="132215"/>
    <n v="235700"/>
    <n v="168100"/>
    <n v="67600"/>
  </r>
  <r>
    <n v="13579"/>
    <n v="13580"/>
    <x v="7"/>
    <s v="IL-00041"/>
    <s v="COUNTRYSIDE"/>
    <n v="60525"/>
    <s v="COOK"/>
    <s v="IL"/>
    <n v="20396"/>
    <n v="20396"/>
    <n v="0"/>
    <n v="0"/>
    <n v="0"/>
    <n v="0"/>
  </r>
  <r>
    <n v="13579"/>
    <n v="13580"/>
    <x v="7"/>
    <s v="IL-00041"/>
    <s v="CREST HILL"/>
    <n v="60403"/>
    <s v="WILL"/>
    <s v="IL"/>
    <n v="112226"/>
    <n v="112226"/>
    <n v="0"/>
    <n v="105000"/>
    <n v="105000"/>
    <n v="0"/>
  </r>
  <r>
    <n v="13579"/>
    <n v="13580"/>
    <x v="7"/>
    <s v="IL-00041"/>
    <s v="CRETE"/>
    <n v="60417"/>
    <s v="WILL"/>
    <s v="IL"/>
    <n v="450839"/>
    <n v="303194"/>
    <n v="147645"/>
    <n v="212100"/>
    <n v="166200"/>
    <n v="45900"/>
  </r>
  <r>
    <n v="13579"/>
    <n v="13580"/>
    <x v="7"/>
    <s v="IL-00041"/>
    <s v="CREVE COEUR"/>
    <n v="61610"/>
    <s v="TAZEWELL"/>
    <s v="IL"/>
    <n v="28611"/>
    <n v="24111"/>
    <n v="4500"/>
    <n v="22600"/>
    <n v="18100"/>
    <n v="4500"/>
  </r>
  <r>
    <n v="13579"/>
    <n v="13580"/>
    <x v="7"/>
    <s v="IL-00041"/>
    <s v="CRYSTAL LAKE"/>
    <n v="60012"/>
    <s v="MCHENRY"/>
    <s v="IL"/>
    <n v="16444"/>
    <n v="12369"/>
    <n v="4075"/>
    <n v="10000"/>
    <n v="10000"/>
    <n v="0"/>
  </r>
  <r>
    <n v="13579"/>
    <n v="13580"/>
    <x v="7"/>
    <s v="IL-00041"/>
    <s v="CTRY CLB HLS"/>
    <n v="60478"/>
    <s v="COOK"/>
    <s v="IL"/>
    <n v="6724"/>
    <n v="6184"/>
    <n v="540"/>
    <n v="0"/>
    <n v="0"/>
    <n v="0"/>
  </r>
  <r>
    <n v="13579"/>
    <n v="13580"/>
    <x v="7"/>
    <s v="IL-00041"/>
    <s v="CUBA"/>
    <n v="61427"/>
    <s v="FULTON"/>
    <s v="IL"/>
    <n v="53694"/>
    <n v="24469"/>
    <n v="29225"/>
    <n v="26000"/>
    <n v="5700"/>
    <n v="20300"/>
  </r>
  <r>
    <n v="13579"/>
    <n v="13580"/>
    <x v="7"/>
    <s v="IL-00041"/>
    <s v="DAHINDA"/>
    <n v="61428"/>
    <s v="KNOX"/>
    <s v="IL"/>
    <n v="13840"/>
    <n v="11290"/>
    <n v="2550"/>
    <n v="13900"/>
    <n v="11300"/>
    <n v="2600"/>
  </r>
  <r>
    <n v="13579"/>
    <n v="13580"/>
    <x v="7"/>
    <s v="IL-00041"/>
    <s v="DALZELL"/>
    <n v="61320"/>
    <s v="BUREAU"/>
    <s v="IL"/>
    <n v="9838"/>
    <n v="5788"/>
    <n v="4050"/>
    <n v="8800"/>
    <n v="4700"/>
    <n v="4100"/>
  </r>
  <r>
    <n v="13579"/>
    <n v="13580"/>
    <x v="7"/>
    <s v="IL-00041"/>
    <s v="DARIEN"/>
    <n v="60561"/>
    <s v="DUPAGE"/>
    <s v="IL"/>
    <n v="67900"/>
    <n v="44200"/>
    <n v="23700"/>
    <n v="61600"/>
    <n v="37900"/>
    <n v="23700"/>
  </r>
  <r>
    <n v="13579"/>
    <n v="13580"/>
    <x v="7"/>
    <s v="IL-00041"/>
    <s v="DAVIS"/>
    <n v="61019"/>
    <s v="WINNEBAGO"/>
    <s v="IL"/>
    <n v="53115"/>
    <n v="41370"/>
    <n v="11745"/>
    <n v="17300"/>
    <n v="5500"/>
    <n v="11800"/>
  </r>
  <r>
    <n v="13579"/>
    <n v="13580"/>
    <x v="7"/>
    <s v="IL-00041"/>
    <s v="DEERFIELD"/>
    <n v="60015"/>
    <s v="LAKE"/>
    <s v="IL"/>
    <n v="9575"/>
    <n v="0"/>
    <n v="9575"/>
    <n v="9600"/>
    <n v="0"/>
    <n v="9600"/>
  </r>
  <r>
    <n v="13579"/>
    <n v="13580"/>
    <x v="7"/>
    <s v="IL-00041"/>
    <s v="DEKALB"/>
    <n v="60115"/>
    <s v="DEKALB"/>
    <s v="IL"/>
    <n v="10813"/>
    <n v="7438"/>
    <n v="3375"/>
    <n v="10000"/>
    <n v="6700"/>
    <n v="3300"/>
  </r>
  <r>
    <n v="13579"/>
    <n v="13580"/>
    <x v="7"/>
    <s v="IL-00041"/>
    <s v="DES PLAINES"/>
    <n v="60016"/>
    <s v="COOK"/>
    <s v="IL"/>
    <n v="1708864"/>
    <n v="1317634"/>
    <n v="391230"/>
    <n v="674200"/>
    <n v="510000"/>
    <n v="164200"/>
  </r>
  <r>
    <n v="13579"/>
    <n v="13580"/>
    <x v="7"/>
    <s v="IL-00041"/>
    <s v="DES PLAINES"/>
    <n v="60018"/>
    <s v="COOK"/>
    <s v="IL"/>
    <n v="474526"/>
    <n v="321786"/>
    <n v="152740"/>
    <n v="167200"/>
    <n v="92600"/>
    <n v="74600"/>
  </r>
  <r>
    <n v="13579"/>
    <n v="13580"/>
    <x v="7"/>
    <s v="IL-00041"/>
    <s v="DIXMOOR"/>
    <n v="60426"/>
    <s v="COOK"/>
    <s v="IL"/>
    <n v="82218"/>
    <n v="58038"/>
    <n v="24180"/>
    <n v="37100"/>
    <n v="29700"/>
    <n v="7400"/>
  </r>
  <r>
    <n v="13579"/>
    <n v="13580"/>
    <x v="7"/>
    <s v="IL-00041"/>
    <s v="DOLTON"/>
    <n v="60419"/>
    <s v="COOK"/>
    <s v="IL"/>
    <n v="1636264"/>
    <n v="1131949"/>
    <n v="504315"/>
    <n v="685500"/>
    <n v="456900"/>
    <n v="228600"/>
  </r>
  <r>
    <n v="13579"/>
    <n v="13580"/>
    <x v="7"/>
    <s v="IL-00041"/>
    <s v="DOVER"/>
    <n v="61323"/>
    <s v="BUREAU"/>
    <s v="IL"/>
    <n v="23411"/>
    <n v="15051"/>
    <n v="8360"/>
    <n v="19600"/>
    <n v="11200"/>
    <n v="8400"/>
  </r>
  <r>
    <n v="13579"/>
    <n v="13580"/>
    <x v="7"/>
    <s v="IL-00041"/>
    <s v="DOWNERS GROVE"/>
    <n v="60515"/>
    <s v="DUPAGE"/>
    <s v="IL"/>
    <n v="1735522"/>
    <n v="1285131"/>
    <n v="450391"/>
    <n v="889400"/>
    <n v="644700"/>
    <n v="244700"/>
  </r>
  <r>
    <n v="13579"/>
    <n v="13580"/>
    <x v="7"/>
    <s v="IL-00041"/>
    <s v="DOWNERS GROVE"/>
    <n v="60516"/>
    <s v="DUPAGE"/>
    <s v="IL"/>
    <n v="746341"/>
    <n v="522438"/>
    <n v="223903"/>
    <n v="372300"/>
    <n v="243000"/>
    <n v="129300"/>
  </r>
  <r>
    <n v="13579"/>
    <n v="13580"/>
    <x v="7"/>
    <s v="IL-00041"/>
    <s v="DOWNERS GROVE"/>
    <n v="60517"/>
    <s v="DUPAGE"/>
    <s v="IL"/>
    <n v="34077"/>
    <n v="33002"/>
    <n v="1075"/>
    <n v="27500"/>
    <n v="26400"/>
    <n v="1100"/>
  </r>
  <r>
    <n v="13579"/>
    <n v="13580"/>
    <x v="7"/>
    <s v="IL-00041"/>
    <s v="DUNLAP"/>
    <n v="61525"/>
    <s v="PEORIA"/>
    <s v="IL"/>
    <n v="79864"/>
    <n v="64134"/>
    <n v="15730"/>
    <n v="71400"/>
    <n v="55700"/>
    <n v="15700"/>
  </r>
  <r>
    <n v="13579"/>
    <n v="13580"/>
    <x v="7"/>
    <s v="IL-00041"/>
    <s v="EARLVILLE"/>
    <n v="60518"/>
    <s v="LA SALLE"/>
    <s v="IL"/>
    <n v="10125"/>
    <n v="4750"/>
    <n v="5375"/>
    <n v="8700"/>
    <n v="3300"/>
    <n v="5400"/>
  </r>
  <r>
    <n v="13579"/>
    <n v="13580"/>
    <x v="7"/>
    <s v="IL-00041"/>
    <s v="EAST GALESBURG"/>
    <n v="61430"/>
    <s v="KNOX"/>
    <s v="IL"/>
    <n v="6941"/>
    <n v="6721"/>
    <n v="220"/>
    <n v="5800"/>
    <n v="5600"/>
    <n v="200"/>
  </r>
  <r>
    <n v="13579"/>
    <n v="13580"/>
    <x v="7"/>
    <s v="IL-00041"/>
    <s v="EAST MOLINE"/>
    <n v="61244"/>
    <s v="ROCK ISLAND"/>
    <s v="IL"/>
    <n v="97778"/>
    <n v="38228"/>
    <n v="59550"/>
    <n v="67500"/>
    <n v="18200"/>
    <n v="49300"/>
  </r>
  <r>
    <n v="13579"/>
    <n v="13580"/>
    <x v="7"/>
    <s v="IL-00041"/>
    <s v="EAST PEORIA"/>
    <n v="61611"/>
    <s v="TAZEWELL"/>
    <s v="IL"/>
    <n v="104474"/>
    <n v="88074"/>
    <n v="16400"/>
    <n v="62900"/>
    <n v="52100"/>
    <n v="10800"/>
  </r>
  <r>
    <n v="13579"/>
    <n v="13580"/>
    <x v="7"/>
    <s v="IL-00041"/>
    <s v="EAST PEORIA"/>
    <n v="61611"/>
    <s v="WOODFORD"/>
    <s v="IL"/>
    <n v="264659"/>
    <n v="228294"/>
    <n v="36365"/>
    <n v="87200"/>
    <n v="54200"/>
    <n v="33000"/>
  </r>
  <r>
    <n v="13579"/>
    <n v="13580"/>
    <x v="7"/>
    <s v="IL-00041"/>
    <s v="EDWARDS"/>
    <n v="61528"/>
    <s v="PEORIA"/>
    <s v="IL"/>
    <n v="301557"/>
    <n v="245732"/>
    <n v="55825"/>
    <n v="0"/>
    <n v="0"/>
    <n v="0"/>
  </r>
  <r>
    <n v="13579"/>
    <n v="13580"/>
    <x v="7"/>
    <s v="IL-00041"/>
    <s v="ELGIN"/>
    <n v="60120"/>
    <s v="KANE"/>
    <s v="IL"/>
    <n v="74043"/>
    <n v="71133"/>
    <n v="2910"/>
    <n v="73500"/>
    <n v="70500"/>
    <n v="3000"/>
  </r>
  <r>
    <n v="13579"/>
    <n v="13580"/>
    <x v="7"/>
    <s v="IL-00041"/>
    <s v="ELGIN"/>
    <n v="60123"/>
    <s v="KANE"/>
    <s v="IL"/>
    <n v="72505"/>
    <n v="53005"/>
    <n v="19500"/>
    <n v="68300"/>
    <n v="48800"/>
    <n v="19500"/>
  </r>
  <r>
    <n v="13579"/>
    <n v="13580"/>
    <x v="7"/>
    <s v="IL-00041"/>
    <s v="ELMHURST"/>
    <n v="60126"/>
    <s v="DUPAGE"/>
    <s v="IL"/>
    <n v="2650316"/>
    <n v="1840780"/>
    <n v="809536"/>
    <n v="1265600"/>
    <n v="828200"/>
    <n v="437400"/>
  </r>
  <r>
    <n v="13579"/>
    <n v="13580"/>
    <x v="7"/>
    <s v="IL-00041"/>
    <s v="ELMWOOD"/>
    <n v="61529"/>
    <s v="PEORIA"/>
    <s v="IL"/>
    <n v="48747"/>
    <n v="30672"/>
    <n v="18075"/>
    <n v="41800"/>
    <n v="23700"/>
    <n v="18100"/>
  </r>
  <r>
    <n v="13579"/>
    <n v="13580"/>
    <x v="7"/>
    <s v="IL-00041"/>
    <s v="ELMWOOD PARK"/>
    <n v="60707"/>
    <s v="COOK"/>
    <s v="IL"/>
    <n v="900160"/>
    <n v="669202"/>
    <n v="230958"/>
    <n v="500100"/>
    <n v="364300"/>
    <n v="135800"/>
  </r>
  <r>
    <n v="13579"/>
    <n v="13580"/>
    <x v="7"/>
    <s v="IL-00041"/>
    <s v="EVANSTON"/>
    <n v="60201"/>
    <s v="COOK"/>
    <s v="IL"/>
    <n v="319568"/>
    <n v="236338"/>
    <n v="83230"/>
    <n v="183900"/>
    <n v="137800"/>
    <n v="46100"/>
  </r>
  <r>
    <n v="13579"/>
    <n v="13580"/>
    <x v="7"/>
    <s v="IL-00041"/>
    <s v="EVANSTON"/>
    <n v="60202"/>
    <s v="COOK"/>
    <s v="IL"/>
    <n v="150605"/>
    <n v="114105"/>
    <n v="36500"/>
    <n v="87600"/>
    <n v="64100"/>
    <n v="23500"/>
  </r>
  <r>
    <n v="13579"/>
    <n v="13580"/>
    <x v="7"/>
    <s v="IL-00041"/>
    <s v="EVANSTON"/>
    <n v="60203"/>
    <s v="COOK"/>
    <s v="IL"/>
    <n v="194065"/>
    <n v="156280"/>
    <n v="37785"/>
    <n v="101500"/>
    <n v="79300"/>
    <n v="22200"/>
  </r>
  <r>
    <n v="13579"/>
    <n v="13580"/>
    <x v="7"/>
    <s v="IL-00041"/>
    <s v="EVERGREEN PARK"/>
    <n v="60805"/>
    <s v="COOK"/>
    <s v="IL"/>
    <n v="415164"/>
    <n v="298429"/>
    <n v="116735"/>
    <n v="184700"/>
    <n v="127300"/>
    <n v="57400"/>
  </r>
  <r>
    <n v="13579"/>
    <n v="13580"/>
    <x v="7"/>
    <s v="IL-00041"/>
    <s v="FAIRVIEW"/>
    <n v="61432"/>
    <s v="FULTON"/>
    <s v="IL"/>
    <n v="69410"/>
    <n v="63285"/>
    <n v="6125"/>
    <n v="19300"/>
    <n v="17000"/>
    <n v="2300"/>
  </r>
  <r>
    <n v="13579"/>
    <n v="13580"/>
    <x v="7"/>
    <s v="IL-00041"/>
    <s v="FARMINGTON"/>
    <n v="61531"/>
    <s v="FULTON"/>
    <s v="IL"/>
    <n v="51140"/>
    <n v="42060"/>
    <n v="9080"/>
    <n v="40500"/>
    <n v="31400"/>
    <n v="9100"/>
  </r>
  <r>
    <n v="13579"/>
    <n v="13580"/>
    <x v="7"/>
    <s v="IL-00041"/>
    <s v="FLOSSMOOR"/>
    <n v="60422"/>
    <s v="COOK"/>
    <s v="IL"/>
    <n v="148499"/>
    <n v="112899"/>
    <n v="35600"/>
    <n v="69600"/>
    <n v="57100"/>
    <n v="12500"/>
  </r>
  <r>
    <n v="13579"/>
    <n v="13580"/>
    <x v="7"/>
    <s v="IL-00041"/>
    <s v="FORD HEIGHTS"/>
    <n v="60411"/>
    <s v="COOK"/>
    <s v="IL"/>
    <n v="3525"/>
    <n v="0"/>
    <n v="3525"/>
    <n v="0"/>
    <n v="0"/>
    <n v="0"/>
  </r>
  <r>
    <n v="13579"/>
    <n v="13580"/>
    <x v="7"/>
    <s v="IL-00041"/>
    <s v="FOREST PARK"/>
    <n v="60130"/>
    <s v="COOK"/>
    <s v="IL"/>
    <n v="173672"/>
    <n v="140237"/>
    <n v="33435"/>
    <n v="99300"/>
    <n v="90200"/>
    <n v="9100"/>
  </r>
  <r>
    <n v="13579"/>
    <n v="13580"/>
    <x v="7"/>
    <s v="IL-00041"/>
    <s v="FOREST VIEW"/>
    <n v="60402"/>
    <s v="COOK"/>
    <s v="IL"/>
    <n v="4653110"/>
    <n v="3048687"/>
    <n v="1604423"/>
    <n v="2418100"/>
    <n v="1506800"/>
    <n v="911300"/>
  </r>
  <r>
    <n v="13579"/>
    <n v="13580"/>
    <x v="7"/>
    <s v="IL-00041"/>
    <s v="FORESTVIEW"/>
    <n v="60402"/>
    <s v="COOK"/>
    <s v="IL"/>
    <n v="141227"/>
    <n v="86952"/>
    <n v="54275"/>
    <n v="87200"/>
    <n v="55500"/>
    <n v="31700"/>
  </r>
  <r>
    <n v="13579"/>
    <n v="13580"/>
    <x v="7"/>
    <s v="IL-00041"/>
    <s v="FOX LAKE"/>
    <n v="60020"/>
    <s v="LAKE"/>
    <s v="IL"/>
    <n v="330087"/>
    <n v="256322"/>
    <n v="73765"/>
    <n v="152900"/>
    <n v="102900"/>
    <n v="50000"/>
  </r>
  <r>
    <n v="13579"/>
    <n v="13580"/>
    <x v="7"/>
    <s v="IL-00041"/>
    <s v="FOX RIVER GROVE"/>
    <n v="60021"/>
    <s v="MCHENRY"/>
    <s v="IL"/>
    <n v="27945"/>
    <n v="26770"/>
    <n v="1175"/>
    <n v="23200"/>
    <n v="22000"/>
    <n v="1200"/>
  </r>
  <r>
    <n v="13579"/>
    <n v="13580"/>
    <x v="7"/>
    <s v="IL-00041"/>
    <s v="FRANKFORT"/>
    <n v="60423"/>
    <s v="WILL"/>
    <s v="IL"/>
    <n v="195453"/>
    <n v="159093"/>
    <n v="36360"/>
    <n v="7900"/>
    <n v="0"/>
    <n v="7900"/>
  </r>
  <r>
    <n v="13579"/>
    <n v="13580"/>
    <x v="7"/>
    <s v="IL-00041"/>
    <s v="FRANKLIN PARK"/>
    <n v="60131"/>
    <s v="COOK"/>
    <s v="IL"/>
    <n v="338869"/>
    <n v="235752"/>
    <n v="103117"/>
    <n v="112500"/>
    <n v="83200"/>
    <n v="29300"/>
  </r>
  <r>
    <n v="13579"/>
    <n v="13580"/>
    <x v="7"/>
    <s v="IL-00041"/>
    <s v="GALESBURG"/>
    <n v="61401"/>
    <s v="KNOX"/>
    <s v="IL"/>
    <n v="550230"/>
    <n v="422395"/>
    <n v="127835"/>
    <n v="364100"/>
    <n v="256100"/>
    <n v="108000"/>
  </r>
  <r>
    <n v="13579"/>
    <n v="13580"/>
    <x v="7"/>
    <s v="IL-00041"/>
    <s v="GALVA"/>
    <n v="61434"/>
    <s v="HENRY"/>
    <s v="IL"/>
    <n v="47862"/>
    <n v="46062"/>
    <n v="1800"/>
    <n v="0"/>
    <n v="0"/>
    <n v="0"/>
  </r>
  <r>
    <n v="13579"/>
    <n v="13580"/>
    <x v="7"/>
    <s v="IL-00041"/>
    <s v="GENESEO"/>
    <n v="61254"/>
    <s v="HENRY"/>
    <s v="IL"/>
    <n v="7700"/>
    <n v="0"/>
    <n v="7700"/>
    <n v="7700"/>
    <n v="0"/>
    <n v="7700"/>
  </r>
  <r>
    <n v="13579"/>
    <n v="13580"/>
    <x v="7"/>
    <s v="IL-00041"/>
    <s v="GENEVA"/>
    <n v="60134"/>
    <s v="KANE"/>
    <s v="IL"/>
    <n v="90863"/>
    <n v="67303"/>
    <n v="23560"/>
    <n v="73800"/>
    <n v="50200"/>
    <n v="23600"/>
  </r>
  <r>
    <n v="13579"/>
    <n v="13580"/>
    <x v="7"/>
    <s v="IL-00041"/>
    <s v="GENOA"/>
    <n v="60135"/>
    <s v="DEKALB"/>
    <s v="IL"/>
    <n v="20463"/>
    <n v="19663"/>
    <n v="800"/>
    <n v="19500"/>
    <n v="18700"/>
    <n v="800"/>
  </r>
  <r>
    <n v="13579"/>
    <n v="13580"/>
    <x v="7"/>
    <s v="IL-00041"/>
    <s v="GERLAW"/>
    <n v="61435"/>
    <s v="WARREN"/>
    <s v="IL"/>
    <n v="21820"/>
    <n v="21820"/>
    <n v="0"/>
    <n v="21000"/>
    <n v="21000"/>
    <n v="0"/>
  </r>
  <r>
    <n v="13579"/>
    <n v="13580"/>
    <x v="7"/>
    <s v="IL-00041"/>
    <s v="GILSON"/>
    <n v="61436"/>
    <s v="KNOX"/>
    <s v="IL"/>
    <n v="48003"/>
    <n v="43003"/>
    <n v="5000"/>
    <n v="46500"/>
    <n v="41500"/>
    <n v="5000"/>
  </r>
  <r>
    <n v="13579"/>
    <n v="13580"/>
    <x v="7"/>
    <s v="IL-00041"/>
    <s v="GLADSTONE"/>
    <n v="61437"/>
    <s v="HENDERSON"/>
    <s v="IL"/>
    <n v="34860"/>
    <n v="34135"/>
    <n v="725"/>
    <n v="0"/>
    <n v="0"/>
    <n v="0"/>
  </r>
  <r>
    <n v="13579"/>
    <n v="13580"/>
    <x v="7"/>
    <s v="IL-00041"/>
    <s v="GLASFORD"/>
    <n v="61533"/>
    <s v="PEORIA"/>
    <s v="IL"/>
    <n v="120501"/>
    <n v="95691"/>
    <n v="24810"/>
    <n v="93000"/>
    <n v="81200"/>
    <n v="11800"/>
  </r>
  <r>
    <n v="13579"/>
    <n v="13580"/>
    <x v="7"/>
    <s v="IL-00041"/>
    <s v="GLEN ELLYN"/>
    <n v="60137"/>
    <s v="DUPAGE"/>
    <s v="IL"/>
    <n v="1676607"/>
    <n v="1158702"/>
    <n v="517905"/>
    <n v="1008300"/>
    <n v="632700"/>
    <n v="375600"/>
  </r>
  <r>
    <n v="13579"/>
    <n v="13580"/>
    <x v="7"/>
    <s v="IL-00041"/>
    <s v="GLENCOE"/>
    <n v="60022"/>
    <s v="COOK"/>
    <s v="IL"/>
    <n v="31311"/>
    <n v="31311"/>
    <n v="0"/>
    <n v="29800"/>
    <n v="29800"/>
    <n v="0"/>
  </r>
  <r>
    <n v="13579"/>
    <n v="13580"/>
    <x v="7"/>
    <s v="IL-00041"/>
    <s v="GLENDALE HEIGHTS"/>
    <n v="60139"/>
    <s v="DUPAGE"/>
    <s v="IL"/>
    <n v="103740"/>
    <n v="78890"/>
    <n v="24850"/>
    <n v="43800"/>
    <n v="33100"/>
    <n v="10700"/>
  </r>
  <r>
    <n v="13579"/>
    <n v="13580"/>
    <x v="7"/>
    <s v="IL-00041"/>
    <s v="GLENVIEW"/>
    <n v="60025"/>
    <s v="COOK"/>
    <s v="IL"/>
    <n v="1734427"/>
    <n v="1340899"/>
    <n v="393528"/>
    <n v="883800"/>
    <n v="700700"/>
    <n v="178100"/>
  </r>
  <r>
    <n v="13579"/>
    <n v="13580"/>
    <x v="7"/>
    <s v="IL-00041"/>
    <s v="GLENVIEW"/>
    <n v="60026"/>
    <s v="COOK"/>
    <s v="IL"/>
    <n v="127259"/>
    <n v="104244"/>
    <n v="23015"/>
    <n v="41400"/>
    <n v="30100"/>
    <n v="11300"/>
  </r>
  <r>
    <n v="13579"/>
    <n v="13580"/>
    <x v="7"/>
    <s v="IL-00041"/>
    <s v="GLENWOOD"/>
    <n v="60425"/>
    <s v="COOK"/>
    <s v="IL"/>
    <n v="280867"/>
    <n v="202512"/>
    <n v="78355"/>
    <n v="139100"/>
    <n v="91100"/>
    <n v="48000"/>
  </r>
  <r>
    <n v="13579"/>
    <n v="13580"/>
    <x v="7"/>
    <s v="IL-00041"/>
    <s v="GOOD HOPE"/>
    <n v="61438"/>
    <s v="MCDONOUGH"/>
    <s v="IL"/>
    <n v="37103"/>
    <n v="26093"/>
    <n v="11010"/>
    <n v="32200"/>
    <n v="21100"/>
    <n v="11100"/>
  </r>
  <r>
    <n v="13579"/>
    <n v="13580"/>
    <x v="7"/>
    <s v="IL-00041"/>
    <s v="GRANVILLE"/>
    <n v="61326"/>
    <s v="PUTNAM"/>
    <s v="IL"/>
    <n v="170118"/>
    <n v="129778"/>
    <n v="40340"/>
    <n v="40600"/>
    <n v="19500"/>
    <n v="21100"/>
  </r>
  <r>
    <n v="13579"/>
    <n v="13580"/>
    <x v="7"/>
    <s v="IL-00041"/>
    <s v="HANOVER PARK"/>
    <n v="60133"/>
    <s v="COOK"/>
    <s v="IL"/>
    <n v="50643"/>
    <n v="38983"/>
    <n v="11660"/>
    <n v="7500"/>
    <n v="6200"/>
    <n v="1300"/>
  </r>
  <r>
    <n v="13579"/>
    <n v="13580"/>
    <x v="7"/>
    <s v="IL-00041"/>
    <s v="HARDIN"/>
    <n v="62047"/>
    <s v="CALHOUN"/>
    <s v="IL"/>
    <n v="6655"/>
    <n v="6655"/>
    <n v="0"/>
    <n v="6700"/>
    <n v="6700"/>
    <n v="0"/>
  </r>
  <r>
    <n v="13579"/>
    <n v="13580"/>
    <x v="7"/>
    <s v="IL-00041"/>
    <s v="HARVEY"/>
    <n v="60426"/>
    <s v="COOK"/>
    <s v="IL"/>
    <n v="817002"/>
    <n v="613387"/>
    <n v="203615"/>
    <n v="247500"/>
    <n v="158700"/>
    <n v="88800"/>
  </r>
  <r>
    <n v="13579"/>
    <n v="13580"/>
    <x v="7"/>
    <s v="IL-00041"/>
    <s v="HARWOOD HEIGHTS"/>
    <n v="60706"/>
    <s v="COOK"/>
    <s v="IL"/>
    <n v="412468"/>
    <n v="281783"/>
    <n v="130685"/>
    <n v="270800"/>
    <n v="168500"/>
    <n v="102300"/>
  </r>
  <r>
    <n v="13579"/>
    <n v="13580"/>
    <x v="7"/>
    <s v="IL-00041"/>
    <s v="HAVANA"/>
    <n v="62644"/>
    <s v="MASON"/>
    <s v="IL"/>
    <n v="9000"/>
    <n v="9000"/>
    <n v="0"/>
    <n v="0"/>
    <n v="0"/>
    <n v="0"/>
  </r>
  <r>
    <n v="13579"/>
    <n v="13580"/>
    <x v="7"/>
    <s v="IL-00041"/>
    <s v="HAZEL CREST"/>
    <n v="60429"/>
    <s v="COOK"/>
    <s v="IL"/>
    <n v="782744"/>
    <n v="603954"/>
    <n v="178790"/>
    <n v="337600"/>
    <n v="261400"/>
    <n v="76200"/>
  </r>
  <r>
    <n v="13579"/>
    <n v="13580"/>
    <x v="7"/>
    <s v="IL-00041"/>
    <s v="HICKORY HILLS"/>
    <n v="60457"/>
    <s v="COOK"/>
    <s v="IL"/>
    <n v="29052"/>
    <n v="22302"/>
    <n v="6750"/>
    <n v="28200"/>
    <n v="21400"/>
    <n v="6800"/>
  </r>
  <r>
    <n v="13579"/>
    <n v="13580"/>
    <x v="7"/>
    <s v="IL-00041"/>
    <s v="HIGHLAND PARK"/>
    <n v="60035"/>
    <s v="LAKE"/>
    <s v="IL"/>
    <n v="52074"/>
    <n v="31174"/>
    <n v="20900"/>
    <n v="55000"/>
    <n v="23700"/>
    <n v="20900"/>
  </r>
  <r>
    <n v="13579"/>
    <n v="13580"/>
    <x v="7"/>
    <s v="IL-00041"/>
    <s v="HILLSIDE"/>
    <n v="60162"/>
    <s v="COOK"/>
    <s v="IL"/>
    <n v="982904"/>
    <n v="687933"/>
    <n v="294971"/>
    <n v="448700"/>
    <n v="311100"/>
    <n v="137600"/>
  </r>
  <r>
    <n v="13579"/>
    <n v="13580"/>
    <x v="7"/>
    <s v="IL-00041"/>
    <s v="HINSDALE"/>
    <n v="60521"/>
    <s v="COOK"/>
    <s v="IL"/>
    <n v="18066"/>
    <n v="16441"/>
    <n v="1625"/>
    <n v="0"/>
    <n v="0"/>
    <n v="0"/>
  </r>
  <r>
    <n v="13579"/>
    <n v="13580"/>
    <x v="7"/>
    <s v="IL-00041"/>
    <s v="HINSDALE"/>
    <n v="60521"/>
    <s v="DUPAGE"/>
    <s v="IL"/>
    <n v="267119"/>
    <n v="151859"/>
    <n v="115260"/>
    <n v="33000"/>
    <n v="10300"/>
    <n v="22700"/>
  </r>
  <r>
    <n v="13579"/>
    <n v="13580"/>
    <x v="7"/>
    <s v="IL-00041"/>
    <s v="HODGKINS"/>
    <n v="60525"/>
    <s v="COOK"/>
    <s v="IL"/>
    <n v="22776"/>
    <n v="21211"/>
    <n v="1565"/>
    <n v="18800"/>
    <n v="17200"/>
    <n v="1600"/>
  </r>
  <r>
    <n v="13579"/>
    <n v="13580"/>
    <x v="7"/>
    <s v="IL-00041"/>
    <s v="HOLIDAY HILLS"/>
    <n v="60051"/>
    <s v="MCHENRY"/>
    <s v="IL"/>
    <n v="261023"/>
    <n v="232533"/>
    <n v="28490"/>
    <n v="0"/>
    <n v="0"/>
    <n v="0"/>
  </r>
  <r>
    <n v="13579"/>
    <n v="13580"/>
    <x v="7"/>
    <s v="IL-00041"/>
    <s v="HOMEWOOD"/>
    <n v="60430"/>
    <s v="COOK"/>
    <s v="IL"/>
    <n v="595914"/>
    <n v="413139"/>
    <n v="182775"/>
    <n v="331400"/>
    <n v="210600"/>
    <n v="120800"/>
  </r>
  <r>
    <n v="13579"/>
    <n v="13580"/>
    <x v="7"/>
    <s v="IL-00041"/>
    <s v="HUNTLEY"/>
    <n v="60142"/>
    <s v="MCHENRY"/>
    <s v="IL"/>
    <n v="33404"/>
    <n v="24179"/>
    <n v="9225"/>
    <n v="14000"/>
    <n v="12800"/>
    <n v="1200"/>
  </r>
  <r>
    <n v="13579"/>
    <n v="13580"/>
    <x v="7"/>
    <s v="IL-00041"/>
    <s v="ILLINOIS CITY"/>
    <n v="61259"/>
    <s v="ROCK ISLAND"/>
    <s v="IL"/>
    <n v="17956"/>
    <n v="17956"/>
    <n v="0"/>
    <n v="0"/>
    <n v="0"/>
    <n v="0"/>
  </r>
  <r>
    <n v="13579"/>
    <n v="13580"/>
    <x v="7"/>
    <s v="IL-00041"/>
    <s v="INGLESIDE"/>
    <n v="60041"/>
    <s v="LAKE"/>
    <s v="IL"/>
    <n v="322811"/>
    <n v="274891"/>
    <n v="47920"/>
    <n v="250400"/>
    <n v="210700"/>
    <n v="39700"/>
  </r>
  <r>
    <n v="13579"/>
    <n v="13580"/>
    <x v="7"/>
    <s v="IL-00041"/>
    <s v="ITASCA"/>
    <n v="60143"/>
    <s v="DUPAGE"/>
    <s v="IL"/>
    <n v="22889"/>
    <n v="22889"/>
    <n v="0"/>
    <n v="20200"/>
    <n v="20200"/>
    <n v="0"/>
  </r>
  <r>
    <n v="13579"/>
    <n v="13580"/>
    <x v="7"/>
    <s v="IL-00041"/>
    <s v="JEFFERSON PARK"/>
    <n v="60630"/>
    <s v="COOK"/>
    <s v="IL"/>
    <n v="91834"/>
    <n v="57814"/>
    <n v="34020"/>
    <n v="78500"/>
    <n v="44500"/>
    <n v="34000"/>
  </r>
  <r>
    <n v="13579"/>
    <n v="13580"/>
    <x v="7"/>
    <s v="IL-00041"/>
    <s v="JOHNSBURG"/>
    <n v="60051"/>
    <s v="MCHENRY"/>
    <s v="IL"/>
    <n v="70026"/>
    <n v="68276"/>
    <n v="1750"/>
    <n v="22500"/>
    <n v="21700"/>
    <n v="800"/>
  </r>
  <r>
    <n v="13579"/>
    <n v="13580"/>
    <x v="7"/>
    <s v="IL-00041"/>
    <s v="JOLIET"/>
    <n v="60431"/>
    <s v="KENDALL"/>
    <s v="IL"/>
    <n v="16675"/>
    <n v="5550"/>
    <n v="11125"/>
    <n v="16100"/>
    <n v="4900"/>
    <n v="11200"/>
  </r>
  <r>
    <n v="13579"/>
    <n v="13580"/>
    <x v="7"/>
    <s v="IL-00041"/>
    <s v="JOLIET"/>
    <n v="60431"/>
    <s v="WILL"/>
    <s v="IL"/>
    <n v="21982"/>
    <n v="21982"/>
    <n v="0"/>
    <n v="22000"/>
    <n v="22000"/>
    <n v="0"/>
  </r>
  <r>
    <n v="13579"/>
    <n v="13580"/>
    <x v="7"/>
    <s v="IL-00041"/>
    <s v="JOLIET"/>
    <n v="60432"/>
    <s v="WILL"/>
    <s v="IL"/>
    <n v="145886"/>
    <n v="95686"/>
    <n v="50200"/>
    <n v="6400"/>
    <n v="0"/>
    <n v="6400"/>
  </r>
  <r>
    <n v="13579"/>
    <n v="13580"/>
    <x v="7"/>
    <s v="IL-00041"/>
    <s v="JOLIET"/>
    <n v="60433"/>
    <s v="WILL"/>
    <s v="IL"/>
    <n v="109520"/>
    <n v="73545"/>
    <n v="35975"/>
    <n v="56400"/>
    <n v="32300"/>
    <n v="24100"/>
  </r>
  <r>
    <n v="13579"/>
    <n v="13580"/>
    <x v="7"/>
    <s v="IL-00041"/>
    <s v="JOLIET"/>
    <n v="60435"/>
    <s v="WILL"/>
    <s v="IL"/>
    <n v="72074"/>
    <n v="54374"/>
    <n v="17700"/>
    <n v="48100"/>
    <n v="33500"/>
    <n v="14600"/>
  </r>
  <r>
    <n v="13579"/>
    <n v="13580"/>
    <x v="7"/>
    <s v="IL-00041"/>
    <s v="JOLIET"/>
    <n v="60436"/>
    <s v="WILL"/>
    <s v="IL"/>
    <n v="113531"/>
    <n v="100106"/>
    <n v="13425"/>
    <n v="49700"/>
    <n v="46200"/>
    <n v="3500"/>
  </r>
  <r>
    <n v="13579"/>
    <n v="13580"/>
    <x v="7"/>
    <s v="IL-00041"/>
    <s v="JUSTICE"/>
    <n v="60458"/>
    <s v="COOK"/>
    <s v="IL"/>
    <n v="16725"/>
    <n v="0"/>
    <n v="16725"/>
    <n v="1200"/>
    <n v="0"/>
    <n v="1200"/>
  </r>
  <r>
    <n v="13579"/>
    <n v="13580"/>
    <x v="7"/>
    <s v="IL-00041"/>
    <s v="KENILWORTH"/>
    <n v="60043"/>
    <s v="COOK"/>
    <s v="IL"/>
    <n v="11963"/>
    <n v="10963"/>
    <n v="1000"/>
    <n v="11600"/>
    <n v="10600"/>
    <n v="1000"/>
  </r>
  <r>
    <n v="13579"/>
    <n v="13580"/>
    <x v="7"/>
    <s v="IL-00041"/>
    <s v="KILDEER"/>
    <n v="60047"/>
    <s v="LAKE"/>
    <s v="IL"/>
    <n v="20988"/>
    <n v="15453"/>
    <n v="5535"/>
    <n v="14000"/>
    <n v="12200"/>
    <n v="1800"/>
  </r>
  <r>
    <n v="13579"/>
    <n v="13580"/>
    <x v="7"/>
    <s v="IL-00041"/>
    <s v="KNOXVILLE"/>
    <n v="61448"/>
    <s v="KNOX"/>
    <s v="IL"/>
    <n v="128241"/>
    <n v="99086"/>
    <n v="29155"/>
    <n v="74700"/>
    <n v="56100"/>
    <n v="18600"/>
  </r>
  <r>
    <n v="13579"/>
    <n v="13580"/>
    <x v="7"/>
    <s v="IL-00041"/>
    <s v="LA GRANGE"/>
    <n v="60525"/>
    <s v="COOK"/>
    <s v="IL"/>
    <n v="66764"/>
    <n v="58804"/>
    <n v="7960"/>
    <n v="59000"/>
    <n v="53600"/>
    <n v="5400"/>
  </r>
  <r>
    <n v="13579"/>
    <n v="13580"/>
    <x v="7"/>
    <s v="IL-00041"/>
    <s v="LA GRANGE PARK"/>
    <n v="60526"/>
    <s v="COOK"/>
    <s v="IL"/>
    <n v="118409"/>
    <n v="90654"/>
    <n v="27755"/>
    <n v="58900"/>
    <n v="42600"/>
    <n v="16300"/>
  </r>
  <r>
    <n v="13579"/>
    <n v="13580"/>
    <x v="7"/>
    <s v="IL-00041"/>
    <s v="LA MOILLE"/>
    <n v="61330"/>
    <s v="BUREAU"/>
    <s v="IL"/>
    <n v="15470"/>
    <n v="8870"/>
    <n v="6600"/>
    <n v="14000"/>
    <n v="8400"/>
    <n v="5600"/>
  </r>
  <r>
    <n v="13579"/>
    <n v="13580"/>
    <x v="7"/>
    <s v="IL-00041"/>
    <s v="LA ROSE"/>
    <n v="61541"/>
    <s v="MARSHALL"/>
    <s v="IL"/>
    <n v="19622"/>
    <n v="14247"/>
    <n v="5375"/>
    <n v="14000"/>
    <n v="8700"/>
    <n v="5300"/>
  </r>
  <r>
    <n v="13579"/>
    <n v="13580"/>
    <x v="7"/>
    <s v="IL-00041"/>
    <s v="LACON"/>
    <n v="61540"/>
    <s v="MARSHALL"/>
    <s v="IL"/>
    <n v="16034"/>
    <n v="11384"/>
    <n v="4650"/>
    <n v="0"/>
    <n v="0"/>
    <n v="0"/>
  </r>
  <r>
    <n v="13579"/>
    <n v="13580"/>
    <x v="7"/>
    <s v="IL-00041"/>
    <s v="LADD"/>
    <n v="61329"/>
    <s v="BUREAU"/>
    <s v="IL"/>
    <n v="31064"/>
    <n v="17934"/>
    <n v="13130"/>
    <n v="0"/>
    <n v="0"/>
    <n v="0"/>
  </r>
  <r>
    <n v="13579"/>
    <n v="13580"/>
    <x v="7"/>
    <s v="IL-00041"/>
    <s v="LAKE VILLA"/>
    <n v="60046"/>
    <s v="LAKE"/>
    <s v="IL"/>
    <n v="19645"/>
    <n v="19645"/>
    <n v="0"/>
    <n v="4000"/>
    <n v="4000"/>
    <n v="0"/>
  </r>
  <r>
    <n v="13579"/>
    <n v="13580"/>
    <x v="7"/>
    <s v="IL-00041"/>
    <s v="LAKE ZURICH"/>
    <n v="60047"/>
    <s v="LAKE"/>
    <s v="IL"/>
    <n v="140099"/>
    <n v="102014"/>
    <n v="38085"/>
    <n v="103900"/>
    <n v="70600"/>
    <n v="33300"/>
  </r>
  <r>
    <n v="13579"/>
    <n v="13580"/>
    <x v="7"/>
    <s v="IL-00041"/>
    <s v="LANSING"/>
    <n v="60438"/>
    <s v="COOK"/>
    <s v="IL"/>
    <n v="629808"/>
    <n v="456013"/>
    <n v="173795"/>
    <n v="346300"/>
    <n v="262600"/>
    <n v="83700"/>
  </r>
  <r>
    <n v="13579"/>
    <n v="13580"/>
    <x v="7"/>
    <s v="IL-00041"/>
    <s v="LELAND"/>
    <n v="60531"/>
    <s v="LA SALLE"/>
    <s v="IL"/>
    <n v="47655"/>
    <n v="31105"/>
    <n v="16550"/>
    <n v="35600"/>
    <n v="21300"/>
    <n v="14300"/>
  </r>
  <r>
    <n v="13579"/>
    <n v="13580"/>
    <x v="7"/>
    <s v="IL-00041"/>
    <s v="LEMONT"/>
    <n v="60439"/>
    <s v="COOK"/>
    <s v="IL"/>
    <n v="31925"/>
    <n v="22425"/>
    <n v="9500"/>
    <n v="0"/>
    <n v="0"/>
    <n v="0"/>
  </r>
  <r>
    <n v="13579"/>
    <n v="13580"/>
    <x v="7"/>
    <s v="IL-00041"/>
    <s v="LIBERTYVILLE"/>
    <n v="60048"/>
    <s v="LAKE"/>
    <s v="IL"/>
    <n v="179833"/>
    <n v="159398"/>
    <n v="20435"/>
    <n v="20700"/>
    <n v="19100"/>
    <n v="1600"/>
  </r>
  <r>
    <n v="13579"/>
    <n v="13580"/>
    <x v="7"/>
    <s v="IL-00041"/>
    <s v="LINCOLNSHIRE"/>
    <n v="60069"/>
    <s v="LAKE"/>
    <s v="IL"/>
    <n v="111561"/>
    <n v="93611"/>
    <n v="17950"/>
    <n v="111600"/>
    <n v="93700"/>
    <n v="17900"/>
  </r>
  <r>
    <n v="13579"/>
    <n v="13580"/>
    <x v="7"/>
    <s v="IL-00041"/>
    <s v="LINCOLNWOOD"/>
    <n v="60712"/>
    <s v="COOK"/>
    <s v="IL"/>
    <n v="837613"/>
    <n v="588508"/>
    <n v="249105"/>
    <n v="256600"/>
    <n v="151000"/>
    <n v="105600"/>
  </r>
  <r>
    <n v="13579"/>
    <n v="13580"/>
    <x v="7"/>
    <s v="IL-00041"/>
    <s v="LINDENHURST"/>
    <n v="60046"/>
    <s v="LAKE"/>
    <s v="IL"/>
    <n v="15835"/>
    <n v="11135"/>
    <n v="4700"/>
    <n v="0"/>
    <n v="0"/>
    <n v="0"/>
  </r>
  <r>
    <n v="13579"/>
    <n v="13580"/>
    <x v="7"/>
    <s v="IL-00041"/>
    <s v="LISLE"/>
    <n v="60532"/>
    <s v="DUPAGE"/>
    <s v="IL"/>
    <n v="4838755"/>
    <n v="3116902"/>
    <n v="1721853"/>
    <n v="1856400"/>
    <n v="1057900"/>
    <n v="798500"/>
  </r>
  <r>
    <n v="13579"/>
    <n v="13580"/>
    <x v="7"/>
    <s v="IL-00041"/>
    <s v="LIVERPOOL"/>
    <n v="61543"/>
    <s v="FULTON"/>
    <s v="IL"/>
    <n v="6435"/>
    <n v="6435"/>
    <n v="0"/>
    <n v="0"/>
    <n v="0"/>
    <n v="0"/>
  </r>
  <r>
    <n v="13579"/>
    <n v="13580"/>
    <x v="7"/>
    <s v="IL-00041"/>
    <s v="LOMBARD"/>
    <n v="60148"/>
    <s v="DUPAGE"/>
    <s v="IL"/>
    <n v="1679358"/>
    <n v="1190398"/>
    <n v="488960"/>
    <n v="821900"/>
    <n v="524100"/>
    <n v="294000"/>
  </r>
  <r>
    <n v="13579"/>
    <n v="13580"/>
    <x v="7"/>
    <s v="IL-00041"/>
    <s v="LONDON MILLS"/>
    <n v="61544"/>
    <s v="FULTON"/>
    <s v="IL"/>
    <n v="206132"/>
    <n v="128977"/>
    <n v="77155"/>
    <n v="55100"/>
    <n v="23800"/>
    <n v="31300"/>
  </r>
  <r>
    <n v="13579"/>
    <n v="13580"/>
    <x v="7"/>
    <s v="IL-00041"/>
    <s v="LONG GROVE"/>
    <n v="60047"/>
    <s v="LAKE"/>
    <s v="IL"/>
    <n v="26084"/>
    <n v="22924"/>
    <n v="3160"/>
    <n v="0"/>
    <n v="0"/>
    <n v="0"/>
  </r>
  <r>
    <n v="13579"/>
    <n v="13580"/>
    <x v="7"/>
    <s v="IL-00041"/>
    <s v="LONG POINT"/>
    <n v="61333"/>
    <s v="LIVINGSTON"/>
    <s v="IL"/>
    <n v="66781"/>
    <n v="30206"/>
    <n v="36575"/>
    <n v="51400"/>
    <n v="18900"/>
    <n v="32500"/>
  </r>
  <r>
    <n v="13579"/>
    <n v="13580"/>
    <x v="7"/>
    <s v="IL-00041"/>
    <s v="LOSTANT"/>
    <n v="61334"/>
    <s v="LA SALLE"/>
    <s v="IL"/>
    <n v="72933"/>
    <n v="57483"/>
    <n v="15450"/>
    <n v="59400"/>
    <n v="47900"/>
    <n v="11500"/>
  </r>
  <r>
    <n v="13579"/>
    <n v="13580"/>
    <x v="7"/>
    <s v="IL-00041"/>
    <s v="LOVES PARK"/>
    <n v="61111"/>
    <s v="WINNEBAGO"/>
    <s v="IL"/>
    <n v="31642"/>
    <n v="24932"/>
    <n v="6710"/>
    <n v="30600"/>
    <n v="23900"/>
    <n v="6700"/>
  </r>
  <r>
    <n v="13579"/>
    <n v="13580"/>
    <x v="7"/>
    <s v="IL-00041"/>
    <s v="LOWPOINT"/>
    <n v="61545"/>
    <s v="WOODFORD"/>
    <s v="IL"/>
    <n v="32021"/>
    <n v="23721"/>
    <n v="8300"/>
    <n v="12900"/>
    <n v="4600"/>
    <n v="8300"/>
  </r>
  <r>
    <n v="13579"/>
    <n v="13580"/>
    <x v="7"/>
    <s v="IL-00041"/>
    <s v="LYNWOOD"/>
    <n v="60411"/>
    <s v="COOK"/>
    <s v="IL"/>
    <n v="282362"/>
    <n v="187387"/>
    <n v="94975"/>
    <n v="120400"/>
    <n v="78300"/>
    <n v="42100"/>
  </r>
  <r>
    <n v="13579"/>
    <n v="13580"/>
    <x v="7"/>
    <s v="IL-00041"/>
    <s v="LYONS"/>
    <n v="60534"/>
    <s v="COOK"/>
    <s v="IL"/>
    <n v="96744"/>
    <n v="75584"/>
    <n v="21160"/>
    <n v="26700"/>
    <n v="16000"/>
    <n v="10700"/>
  </r>
  <r>
    <n v="13579"/>
    <n v="13580"/>
    <x v="7"/>
    <s v="IL-00041"/>
    <s v="MACHESNEY PARK"/>
    <n v="61115"/>
    <s v="WINNEBAGO"/>
    <s v="IL"/>
    <n v="57210"/>
    <n v="52675"/>
    <n v="4535"/>
    <n v="0"/>
    <n v="0"/>
    <n v="0"/>
  </r>
  <r>
    <n v="13579"/>
    <n v="13580"/>
    <x v="7"/>
    <s v="IL-00041"/>
    <s v="MACKINAW"/>
    <n v="61755"/>
    <s v="TAZEWELL"/>
    <s v="IL"/>
    <n v="57745"/>
    <n v="47400"/>
    <n v="10345"/>
    <n v="0"/>
    <n v="0"/>
    <n v="0"/>
  </r>
  <r>
    <n v="13579"/>
    <n v="13580"/>
    <x v="7"/>
    <s v="IL-00041"/>
    <s v="MACOMB"/>
    <n v="61455"/>
    <s v="MCDONOUGH"/>
    <s v="IL"/>
    <n v="450245"/>
    <n v="371185"/>
    <n v="79060"/>
    <n v="226400"/>
    <n v="183400"/>
    <n v="43000"/>
  </r>
  <r>
    <n v="13579"/>
    <n v="13580"/>
    <x v="7"/>
    <s v="IL-00041"/>
    <s v="MARKHAM"/>
    <n v="60426"/>
    <s v="COOK"/>
    <s v="IL"/>
    <n v="25100"/>
    <n v="17175"/>
    <n v="7925"/>
    <n v="24500"/>
    <n v="16600"/>
    <n v="7900"/>
  </r>
  <r>
    <n v="13579"/>
    <n v="13580"/>
    <x v="7"/>
    <s v="IL-00041"/>
    <s v="MARKHAM"/>
    <n v="60428"/>
    <s v="COOK"/>
    <s v="IL"/>
    <n v="463699"/>
    <n v="323539"/>
    <n v="140160"/>
    <n v="215500"/>
    <n v="153100"/>
    <n v="62400"/>
  </r>
  <r>
    <n v="13579"/>
    <n v="13580"/>
    <x v="7"/>
    <s v="IL-00041"/>
    <s v="MARSEILLES"/>
    <n v="61341"/>
    <s v="LA SALLE"/>
    <s v="IL"/>
    <n v="5279933"/>
    <n v="3773073"/>
    <n v="1506860"/>
    <n v="2890400"/>
    <n v="1715800"/>
    <n v="897900"/>
  </r>
  <r>
    <n v="13579"/>
    <n v="13580"/>
    <x v="7"/>
    <s v="IL-00041"/>
    <s v="MATTESON"/>
    <n v="60443"/>
    <s v="COOK"/>
    <s v="IL"/>
    <n v="527075"/>
    <n v="379175"/>
    <n v="147900"/>
    <n v="317800"/>
    <n v="224900"/>
    <n v="92900"/>
  </r>
  <r>
    <n v="13579"/>
    <n v="13580"/>
    <x v="7"/>
    <s v="IL-00041"/>
    <s v="MAYWOOD"/>
    <n v="60153"/>
    <s v="COOK"/>
    <s v="IL"/>
    <n v="1968055"/>
    <n v="1433339"/>
    <n v="534716"/>
    <n v="821400"/>
    <n v="584900"/>
    <n v="236500"/>
  </r>
  <r>
    <n v="13579"/>
    <n v="13580"/>
    <x v="7"/>
    <s v="IL-00041"/>
    <s v="MC COOK"/>
    <n v="60525"/>
    <s v="COOK"/>
    <s v="IL"/>
    <n v="7350"/>
    <n v="0"/>
    <n v="7350"/>
    <n v="0"/>
    <n v="0"/>
    <n v="0"/>
  </r>
  <r>
    <n v="13579"/>
    <n v="13580"/>
    <x v="7"/>
    <s v="IL-00041"/>
    <s v="MCHENRY"/>
    <n v="60050"/>
    <s v="MCHENRY"/>
    <s v="IL"/>
    <n v="137517"/>
    <n v="110047"/>
    <n v="27470"/>
    <n v="74200"/>
    <n v="61400"/>
    <n v="12800"/>
  </r>
  <r>
    <n v="13579"/>
    <n v="13580"/>
    <x v="7"/>
    <s v="IL-00041"/>
    <s v="MCHENRY"/>
    <n v="60051"/>
    <s v="MCHENRY"/>
    <s v="IL"/>
    <n v="248362"/>
    <n v="197926"/>
    <n v="50436"/>
    <n v="19200"/>
    <n v="17700"/>
    <n v="1500"/>
  </r>
  <r>
    <n v="13579"/>
    <n v="13580"/>
    <x v="7"/>
    <s v="IL-00041"/>
    <s v="MELROSE PARK"/>
    <n v="60160"/>
    <s v="COOK"/>
    <s v="IL"/>
    <n v="539369"/>
    <n v="392883"/>
    <n v="146486"/>
    <n v="353700"/>
    <n v="260300"/>
    <n v="93400"/>
  </r>
  <r>
    <n v="13579"/>
    <n v="13580"/>
    <x v="7"/>
    <s v="IL-00041"/>
    <s v="MELROSE PARK"/>
    <n v="60164"/>
    <s v="COOK"/>
    <s v="IL"/>
    <n v="434404"/>
    <n v="347229"/>
    <n v="87175"/>
    <n v="137600"/>
    <n v="94900"/>
    <n v="42700"/>
  </r>
  <r>
    <n v="13579"/>
    <n v="13580"/>
    <x v="7"/>
    <s v="IL-00041"/>
    <s v="MENDOTA"/>
    <n v="61342"/>
    <s v="LA SALLE"/>
    <s v="IL"/>
    <n v="9110"/>
    <n v="7250"/>
    <n v="1860"/>
    <n v="6800"/>
    <n v="4900"/>
    <n v="1900"/>
  </r>
  <r>
    <n v="13579"/>
    <n v="13580"/>
    <x v="7"/>
    <s v="IL-00041"/>
    <s v="METAMORA"/>
    <n v="61548"/>
    <s v="WOODFORD"/>
    <s v="IL"/>
    <n v="15636"/>
    <n v="14786"/>
    <n v="850"/>
    <n v="15200"/>
    <n v="14300"/>
    <n v="900"/>
  </r>
  <r>
    <n v="13579"/>
    <n v="13580"/>
    <x v="7"/>
    <s v="IL-00041"/>
    <s v="MIDLOTHIAN"/>
    <n v="60445"/>
    <s v="COOK"/>
    <s v="IL"/>
    <n v="120122"/>
    <n v="84967"/>
    <n v="35155"/>
    <n v="27100"/>
    <n v="15600"/>
    <n v="11500"/>
  </r>
  <r>
    <n v="13579"/>
    <n v="13580"/>
    <x v="7"/>
    <s v="IL-00041"/>
    <s v="MILAN"/>
    <n v="61264"/>
    <s v="ROCK ISLAND"/>
    <s v="IL"/>
    <n v="57143"/>
    <n v="34343"/>
    <n v="22800"/>
    <n v="0"/>
    <n v="0"/>
    <n v="0"/>
  </r>
  <r>
    <n v="13579"/>
    <n v="13580"/>
    <x v="7"/>
    <s v="IL-00041"/>
    <s v="MINIER"/>
    <n v="61759"/>
    <s v="TAZEWELL"/>
    <s v="IL"/>
    <n v="11539"/>
    <n v="8164"/>
    <n v="3375"/>
    <n v="10800"/>
    <n v="7400"/>
    <n v="3400"/>
  </r>
  <r>
    <n v="13579"/>
    <n v="13580"/>
    <x v="7"/>
    <s v="IL-00041"/>
    <s v="MINONK"/>
    <n v="61760"/>
    <s v="WOODFORD"/>
    <s v="IL"/>
    <n v="41929"/>
    <n v="30994"/>
    <n v="10935"/>
    <n v="23100"/>
    <n v="12100"/>
    <n v="11000"/>
  </r>
  <r>
    <n v="13579"/>
    <n v="13580"/>
    <x v="7"/>
    <s v="IL-00041"/>
    <s v="MINOOKA"/>
    <n v="60447"/>
    <s v="GRUNDY"/>
    <s v="IL"/>
    <n v="769924"/>
    <n v="486717"/>
    <n v="283207"/>
    <n v="299800"/>
    <n v="173000"/>
    <n v="126800"/>
  </r>
  <r>
    <n v="13579"/>
    <n v="13580"/>
    <x v="7"/>
    <s v="IL-00041"/>
    <s v="MINOOKA"/>
    <n v="60447"/>
    <s v="KENDALL"/>
    <s v="IL"/>
    <n v="490348"/>
    <n v="288608"/>
    <n v="201740"/>
    <n v="146300"/>
    <n v="96200"/>
    <n v="50100"/>
  </r>
  <r>
    <n v="13579"/>
    <n v="13580"/>
    <x v="7"/>
    <s v="IL-00041"/>
    <s v="MINOOKA"/>
    <n v="60447"/>
    <s v="WILL"/>
    <s v="IL"/>
    <n v="48920"/>
    <n v="37670"/>
    <n v="11250"/>
    <n v="43300"/>
    <n v="32000"/>
    <n v="11300"/>
  </r>
  <r>
    <n v="13579"/>
    <n v="13580"/>
    <x v="7"/>
    <s v="IL-00041"/>
    <s v="MOLINE"/>
    <n v="61265"/>
    <s v="ROCK ISLAND"/>
    <s v="IL"/>
    <n v="614440"/>
    <n v="502900"/>
    <n v="111540"/>
    <n v="334400"/>
    <n v="234800"/>
    <n v="99600"/>
  </r>
  <r>
    <n v="13579"/>
    <n v="13580"/>
    <x v="7"/>
    <s v="IL-00041"/>
    <s v="MONEE"/>
    <n v="60449"/>
    <s v="WILL"/>
    <s v="IL"/>
    <n v="113870"/>
    <n v="85360"/>
    <n v="28510"/>
    <n v="37500"/>
    <n v="27600"/>
    <n v="9900"/>
  </r>
  <r>
    <n v="13579"/>
    <n v="13580"/>
    <x v="7"/>
    <s v="IL-00041"/>
    <s v="MONMOUTH"/>
    <n v="61462"/>
    <s v="WARREN"/>
    <s v="IL"/>
    <n v="25267"/>
    <n v="20842"/>
    <n v="4425"/>
    <n v="19500"/>
    <n v="18200"/>
    <n v="1300"/>
  </r>
  <r>
    <n v="13579"/>
    <n v="13580"/>
    <x v="7"/>
    <s v="IL-00041"/>
    <s v="MONTGOMERY"/>
    <n v="60538"/>
    <s v="KANE"/>
    <s v="IL"/>
    <n v="49763"/>
    <n v="16138"/>
    <n v="33625"/>
    <n v="0"/>
    <n v="0"/>
    <n v="0"/>
  </r>
  <r>
    <n v="13579"/>
    <n v="13580"/>
    <x v="7"/>
    <s v="IL-00041"/>
    <s v="MONTGOMERY"/>
    <n v="60538"/>
    <s v="KENDALL"/>
    <s v="IL"/>
    <n v="370505"/>
    <n v="269760"/>
    <n v="100745"/>
    <n v="210000"/>
    <n v="152000"/>
    <n v="58000"/>
  </r>
  <r>
    <n v="13579"/>
    <n v="13580"/>
    <x v="7"/>
    <s v="IL-00041"/>
    <s v="MORRIS"/>
    <n v="60450"/>
    <s v="GRUNDY"/>
    <s v="IL"/>
    <n v="377457"/>
    <n v="202732"/>
    <n v="174725"/>
    <n v="178500"/>
    <n v="59100"/>
    <n v="119400"/>
  </r>
  <r>
    <n v="13579"/>
    <n v="13580"/>
    <x v="7"/>
    <s v="IL-00041"/>
    <s v="MORRISON"/>
    <n v="61270"/>
    <s v="WHITESIDE"/>
    <s v="IL"/>
    <n v="22959"/>
    <n v="22959"/>
    <n v="0"/>
    <n v="0"/>
    <n v="0"/>
    <n v="0"/>
  </r>
  <r>
    <n v="13579"/>
    <n v="13580"/>
    <x v="7"/>
    <s v="IL-00041"/>
    <s v="MORTON"/>
    <n v="61550"/>
    <s v="TAZEWELL"/>
    <s v="IL"/>
    <n v="4969"/>
    <n v="4069"/>
    <n v="900"/>
    <n v="4600"/>
    <n v="3700"/>
    <n v="900"/>
  </r>
  <r>
    <n v="13579"/>
    <n v="13580"/>
    <x v="7"/>
    <s v="IL-00041"/>
    <s v="MORTON GROVE"/>
    <n v="60053"/>
    <s v="COOK"/>
    <s v="IL"/>
    <n v="877144"/>
    <n v="622109"/>
    <n v="255035"/>
    <n v="460000"/>
    <n v="314000"/>
    <n v="146000"/>
  </r>
  <r>
    <n v="13579"/>
    <n v="13580"/>
    <x v="7"/>
    <s v="IL-00041"/>
    <s v="MOSSVILLE"/>
    <n v="61552"/>
    <s v="PEORIA"/>
    <s v="IL"/>
    <n v="123820"/>
    <n v="73985"/>
    <n v="49835"/>
    <n v="88000"/>
    <n v="61700"/>
    <n v="26300"/>
  </r>
  <r>
    <n v="13579"/>
    <n v="13580"/>
    <x v="7"/>
    <s v="IL-00041"/>
    <s v="MOUNT PROSPECT"/>
    <n v="60056"/>
    <s v="COOK"/>
    <s v="IL"/>
    <n v="333732"/>
    <n v="258552"/>
    <n v="75180"/>
    <n v="129700"/>
    <n v="110100"/>
    <n v="19600"/>
  </r>
  <r>
    <n v="13579"/>
    <n v="13580"/>
    <x v="7"/>
    <s v="IL-00041"/>
    <s v="N RIVERSIDE"/>
    <n v="60546"/>
    <s v="COOK"/>
    <s v="IL"/>
    <n v="14235"/>
    <n v="7560"/>
    <n v="6675"/>
    <n v="11800"/>
    <n v="5100"/>
    <n v="6700"/>
  </r>
  <r>
    <n v="13579"/>
    <n v="13580"/>
    <x v="7"/>
    <s v="IL-00041"/>
    <s v="NAPERVILLE"/>
    <n v="60540"/>
    <s v="DUPAGE"/>
    <s v="IL"/>
    <n v="526192"/>
    <n v="376862"/>
    <n v="149330"/>
    <n v="296500"/>
    <n v="211400"/>
    <n v="81200"/>
  </r>
  <r>
    <n v="13579"/>
    <n v="13580"/>
    <x v="7"/>
    <s v="IL-00041"/>
    <s v="NAPERVILLE"/>
    <n v="60563"/>
    <s v="DUPAGE"/>
    <s v="IL"/>
    <n v="831936"/>
    <n v="530071"/>
    <n v="301865"/>
    <n v="498600"/>
    <n v="262500"/>
    <n v="236100"/>
  </r>
  <r>
    <n v="13579"/>
    <n v="13580"/>
    <x v="7"/>
    <s v="IL-00041"/>
    <s v="NAPERVILLE"/>
    <n v="60564"/>
    <s v="DUPAGE"/>
    <s v="IL"/>
    <n v="151678"/>
    <n v="129478"/>
    <n v="22200"/>
    <n v="92800"/>
    <n v="82400"/>
    <n v="10400"/>
  </r>
  <r>
    <n v="13579"/>
    <n v="13580"/>
    <x v="7"/>
    <s v="IL-00041"/>
    <s v="NAPERVILLE"/>
    <n v="60564"/>
    <s v="WILL"/>
    <s v="IL"/>
    <n v="779004"/>
    <n v="571354"/>
    <n v="207650"/>
    <n v="466600"/>
    <n v="331500"/>
    <n v="135100"/>
  </r>
  <r>
    <n v="13579"/>
    <n v="13580"/>
    <x v="7"/>
    <s v="IL-00041"/>
    <s v="NAPERVILLE"/>
    <n v="60565"/>
    <s v="DUPAGE"/>
    <s v="IL"/>
    <n v="235745"/>
    <n v="158330"/>
    <n v="77415"/>
    <n v="141300"/>
    <n v="93900"/>
    <n v="47400"/>
  </r>
  <r>
    <n v="13579"/>
    <n v="13580"/>
    <x v="7"/>
    <s v="IL-00041"/>
    <s v="NAPERVILLE"/>
    <n v="60565"/>
    <s v="WILL"/>
    <s v="IL"/>
    <n v="151971"/>
    <n v="116511"/>
    <n v="35460"/>
    <n v="64300"/>
    <n v="41700"/>
    <n v="13500"/>
  </r>
  <r>
    <n v="13579"/>
    <n v="13580"/>
    <x v="7"/>
    <s v="IL-00041"/>
    <s v="NEPONSET"/>
    <n v="61345"/>
    <s v="BUREAU"/>
    <s v="IL"/>
    <n v="38685"/>
    <n v="38685"/>
    <n v="0"/>
    <n v="28600"/>
    <n v="28600"/>
    <n v="0"/>
  </r>
  <r>
    <n v="13579"/>
    <n v="13580"/>
    <x v="7"/>
    <s v="IL-00041"/>
    <s v="NEW LENOX"/>
    <n v="60451"/>
    <s v="WILL"/>
    <s v="IL"/>
    <n v="54979"/>
    <n v="39729"/>
    <n v="15250"/>
    <n v="22500"/>
    <n v="9000"/>
    <n v="13500"/>
  </r>
  <r>
    <n v="13579"/>
    <n v="13580"/>
    <x v="7"/>
    <s v="IL-00041"/>
    <s v="NEWARK"/>
    <n v="60541"/>
    <s v="KENDALL"/>
    <s v="IL"/>
    <n v="19508"/>
    <n v="12108"/>
    <n v="7400"/>
    <n v="9400"/>
    <n v="9400"/>
    <n v="0"/>
  </r>
  <r>
    <n v="13579"/>
    <n v="13580"/>
    <x v="7"/>
    <s v="IL-00041"/>
    <s v="NILES"/>
    <n v="60714"/>
    <s v="COOK"/>
    <s v="IL"/>
    <n v="1537734"/>
    <n v="1145938"/>
    <n v="391796"/>
    <n v="897600"/>
    <n v="623400"/>
    <n v="266900"/>
  </r>
  <r>
    <n v="13579"/>
    <n v="13580"/>
    <x v="7"/>
    <s v="IL-00041"/>
    <s v="NORRIDGE"/>
    <n v="60706"/>
    <s v="COOK"/>
    <s v="IL"/>
    <n v="290259"/>
    <n v="238424"/>
    <n v="51835"/>
    <n v="206200"/>
    <n v="174200"/>
    <n v="32000"/>
  </r>
  <r>
    <n v="13579"/>
    <n v="13580"/>
    <x v="7"/>
    <s v="IL-00041"/>
    <s v="NORTH AURORA"/>
    <n v="60542"/>
    <s v="KANE"/>
    <s v="IL"/>
    <n v="57974"/>
    <n v="40514"/>
    <n v="17460"/>
    <n v="46900"/>
    <n v="30400"/>
    <n v="16500"/>
  </r>
  <r>
    <n v="13579"/>
    <n v="13580"/>
    <x v="7"/>
    <s v="IL-00041"/>
    <s v="NORTH CHICAGO"/>
    <n v="60064"/>
    <s v="LAKE"/>
    <s v="IL"/>
    <n v="185505"/>
    <n v="132620"/>
    <n v="52885"/>
    <n v="86700"/>
    <n v="63100"/>
    <n v="23600"/>
  </r>
  <r>
    <n v="13579"/>
    <n v="13580"/>
    <x v="7"/>
    <s v="IL-00041"/>
    <s v="NORTH PEKIN"/>
    <n v="61554"/>
    <s v="TAZEWELL"/>
    <s v="IL"/>
    <n v="174295"/>
    <n v="174295"/>
    <n v="0"/>
    <n v="62000"/>
    <n v="62000"/>
    <n v="0"/>
  </r>
  <r>
    <n v="13579"/>
    <n v="13580"/>
    <x v="7"/>
    <s v="IL-00041"/>
    <s v="NORTH RIVERSIDE"/>
    <n v="60546"/>
    <s v="COOK"/>
    <s v="IL"/>
    <n v="125269"/>
    <n v="95526"/>
    <n v="29743"/>
    <n v="31600"/>
    <n v="26300"/>
    <n v="5300"/>
  </r>
  <r>
    <n v="13579"/>
    <n v="13580"/>
    <x v="7"/>
    <s v="IL-00041"/>
    <s v="NORTHBROOK"/>
    <n v="60062"/>
    <s v="COOK"/>
    <s v="IL"/>
    <n v="73761"/>
    <n v="62406"/>
    <n v="11355"/>
    <n v="66200"/>
    <n v="56700"/>
    <n v="9500"/>
  </r>
  <r>
    <n v="13579"/>
    <n v="13580"/>
    <x v="7"/>
    <s v="IL-00041"/>
    <s v="NORTHFIELD"/>
    <n v="60093"/>
    <s v="COOK"/>
    <s v="IL"/>
    <n v="71729"/>
    <n v="47404"/>
    <n v="24325"/>
    <n v="20200"/>
    <n v="15000"/>
    <n v="5200"/>
  </r>
  <r>
    <n v="13579"/>
    <n v="13580"/>
    <x v="7"/>
    <s v="IL-00041"/>
    <s v="NORTHLAKE"/>
    <n v="60164"/>
    <s v="COOK"/>
    <s v="IL"/>
    <n v="365636"/>
    <n v="263688"/>
    <n v="101948"/>
    <n v="174700"/>
    <n v="95200"/>
    <n v="79500"/>
  </r>
  <r>
    <n v="13579"/>
    <n v="13580"/>
    <x v="7"/>
    <s v="IL-00041"/>
    <s v="OAK BROOK"/>
    <n v="60523"/>
    <s v="DUPAGE"/>
    <s v="IL"/>
    <n v="183336"/>
    <n v="160391"/>
    <n v="22945"/>
    <n v="0"/>
    <n v="0"/>
    <n v="0"/>
  </r>
  <r>
    <n v="13579"/>
    <n v="13580"/>
    <x v="7"/>
    <s v="IL-00041"/>
    <s v="OAK BROOK TERRACE"/>
    <n v="60181"/>
    <s v="DUPAGE"/>
    <s v="IL"/>
    <n v="38650"/>
    <n v="38100"/>
    <n v="550"/>
    <n v="37100"/>
    <n v="36600"/>
    <n v="500"/>
  </r>
  <r>
    <n v="13579"/>
    <n v="13580"/>
    <x v="7"/>
    <s v="IL-00041"/>
    <s v="OAK LAWN"/>
    <n v="60453"/>
    <s v="COOK"/>
    <s v="IL"/>
    <n v="284595"/>
    <n v="210220"/>
    <n v="74375"/>
    <n v="150900"/>
    <n v="106000"/>
    <n v="44900"/>
  </r>
  <r>
    <n v="13579"/>
    <n v="13580"/>
    <x v="7"/>
    <s v="IL-00041"/>
    <s v="OAK PARK"/>
    <n v="60302"/>
    <s v="COOK"/>
    <s v="IL"/>
    <n v="58424"/>
    <n v="57249"/>
    <n v="1175"/>
    <n v="58000"/>
    <n v="56800"/>
    <n v="1200"/>
  </r>
  <r>
    <n v="13579"/>
    <n v="13580"/>
    <x v="7"/>
    <s v="IL-00041"/>
    <s v="OAK PARK"/>
    <n v="60304"/>
    <s v="COOK"/>
    <s v="IL"/>
    <n v="63160"/>
    <n v="52615"/>
    <n v="10545"/>
    <n v="40600"/>
    <n v="36500"/>
    <n v="4100"/>
  </r>
  <r>
    <n v="13579"/>
    <n v="13580"/>
    <x v="7"/>
    <s v="IL-00041"/>
    <s v="OAKBROOK TERRACE"/>
    <n v="60181"/>
    <s v="DUPAGE"/>
    <s v="IL"/>
    <n v="47373"/>
    <n v="33830"/>
    <n v="13543"/>
    <n v="14200"/>
    <n v="600"/>
    <n v="13600"/>
  </r>
  <r>
    <n v="13579"/>
    <n v="13580"/>
    <x v="7"/>
    <s v="IL-00041"/>
    <s v="OGLESBY"/>
    <n v="61348"/>
    <s v="LA SALLE"/>
    <s v="IL"/>
    <n v="62691"/>
    <n v="45866"/>
    <n v="16825"/>
    <n v="55400"/>
    <n v="41100"/>
    <n v="14300"/>
  </r>
  <r>
    <n v="13579"/>
    <n v="13580"/>
    <x v="7"/>
    <s v="IL-00041"/>
    <s v="OLYMPIA FIELDS"/>
    <n v="60461"/>
    <s v="COOK"/>
    <s v="IL"/>
    <n v="262155"/>
    <n v="212445"/>
    <n v="49710"/>
    <n v="146700"/>
    <n v="125300"/>
    <n v="21400"/>
  </r>
  <r>
    <n v="13579"/>
    <n v="13580"/>
    <x v="7"/>
    <s v="IL-00041"/>
    <s v="ORLAND HILLS"/>
    <n v="60487"/>
    <s v="COOK"/>
    <s v="IL"/>
    <n v="47549"/>
    <n v="39674"/>
    <n v="7875"/>
    <n v="0"/>
    <n v="0"/>
    <n v="0"/>
  </r>
  <r>
    <n v="13579"/>
    <n v="13580"/>
    <x v="7"/>
    <s v="IL-00041"/>
    <s v="ORLAND PARK"/>
    <n v="60462"/>
    <s v="COOK"/>
    <s v="IL"/>
    <n v="59631"/>
    <n v="44381"/>
    <n v="15250"/>
    <n v="0"/>
    <n v="0"/>
    <n v="0"/>
  </r>
  <r>
    <n v="13579"/>
    <n v="13580"/>
    <x v="7"/>
    <s v="IL-00041"/>
    <s v="ORLAND PARK"/>
    <n v="60467"/>
    <s v="COOK"/>
    <s v="IL"/>
    <n v="37082"/>
    <n v="28707"/>
    <n v="8375"/>
    <n v="37100"/>
    <n v="28800"/>
    <n v="8300"/>
  </r>
  <r>
    <n v="13579"/>
    <n v="13580"/>
    <x v="7"/>
    <s v="IL-00041"/>
    <s v="OSWEGO"/>
    <n v="60543"/>
    <s v="KENDALL"/>
    <s v="IL"/>
    <n v="369776"/>
    <n v="277376"/>
    <n v="92400"/>
    <n v="247900"/>
    <n v="180300"/>
    <n v="67600"/>
  </r>
  <r>
    <n v="13579"/>
    <n v="13580"/>
    <x v="7"/>
    <s v="IL-00041"/>
    <s v="OTTAWA"/>
    <n v="61350"/>
    <s v="LA SALLE"/>
    <s v="IL"/>
    <n v="758348"/>
    <n v="583763"/>
    <n v="174585"/>
    <n v="396800"/>
    <n v="301000"/>
    <n v="95800"/>
  </r>
  <r>
    <n v="13579"/>
    <n v="13580"/>
    <x v="7"/>
    <s v="IL-00041"/>
    <s v="PALATINE"/>
    <n v="60074"/>
    <s v="COOK"/>
    <s v="IL"/>
    <n v="29615"/>
    <n v="18615"/>
    <n v="11000"/>
    <n v="27900"/>
    <n v="16900"/>
    <n v="11000"/>
  </r>
  <r>
    <n v="13579"/>
    <n v="13580"/>
    <x v="7"/>
    <s v="IL-00041"/>
    <s v="PALESTINE"/>
    <n v="62451"/>
    <s v="CRAWFORD"/>
    <s v="IL"/>
    <n v="118402"/>
    <n v="110817"/>
    <n v="7585"/>
    <n v="2100"/>
    <n v="0"/>
    <n v="2100"/>
  </r>
  <r>
    <n v="13579"/>
    <n v="13580"/>
    <x v="7"/>
    <s v="IL-00041"/>
    <s v="PALOS HEIGHTS"/>
    <n v="60463"/>
    <s v="COOK"/>
    <s v="IL"/>
    <n v="26366"/>
    <n v="25366"/>
    <n v="1000"/>
    <n v="14000"/>
    <n v="14000"/>
    <n v="0"/>
  </r>
  <r>
    <n v="13579"/>
    <n v="13580"/>
    <x v="7"/>
    <s v="IL-00041"/>
    <s v="PALOS HILLS"/>
    <n v="60465"/>
    <s v="COOK"/>
    <s v="IL"/>
    <n v="13908"/>
    <n v="8938"/>
    <n v="4970"/>
    <n v="0"/>
    <n v="0"/>
    <n v="0"/>
  </r>
  <r>
    <n v="13579"/>
    <n v="13580"/>
    <x v="7"/>
    <s v="IL-00041"/>
    <s v="PARK FOREST"/>
    <n v="60466"/>
    <s v="COOK"/>
    <s v="IL"/>
    <n v="348696"/>
    <n v="237816"/>
    <n v="110880"/>
    <n v="157300"/>
    <n v="93200"/>
    <n v="64100"/>
  </r>
  <r>
    <n v="13579"/>
    <n v="13580"/>
    <x v="7"/>
    <s v="IL-00041"/>
    <s v="PARK FOREST"/>
    <n v="60466"/>
    <s v="WILL"/>
    <s v="IL"/>
    <n v="8090"/>
    <n v="7590"/>
    <n v="500"/>
    <n v="8100"/>
    <n v="7600"/>
    <n v="500"/>
  </r>
  <r>
    <n v="13579"/>
    <n v="13580"/>
    <x v="7"/>
    <s v="IL-00041"/>
    <s v="PARK FOREST"/>
    <n v="60484"/>
    <s v="WILL"/>
    <s v="IL"/>
    <n v="46439"/>
    <n v="35029"/>
    <n v="11410"/>
    <n v="0"/>
    <n v="0"/>
    <n v="0"/>
  </r>
  <r>
    <n v="13579"/>
    <n v="13580"/>
    <x v="7"/>
    <s v="IL-00041"/>
    <s v="PARK RIDGE"/>
    <n v="60068"/>
    <s v="COOK"/>
    <s v="IL"/>
    <n v="2221307"/>
    <n v="1571757"/>
    <n v="649550"/>
    <n v="1146600"/>
    <n v="754500"/>
    <n v="388800"/>
  </r>
  <r>
    <n v="13579"/>
    <n v="13580"/>
    <x v="7"/>
    <s v="IL-00041"/>
    <s v="PEKIN"/>
    <n v="61554"/>
    <s v="TAZEWELL"/>
    <s v="IL"/>
    <n v="28228"/>
    <n v="24223"/>
    <n v="4005"/>
    <n v="16600"/>
    <n v="14000"/>
    <n v="2600"/>
  </r>
  <r>
    <n v="13579"/>
    <n v="13580"/>
    <x v="7"/>
    <s v="IL-00041"/>
    <s v="PEORIA"/>
    <n v="61603"/>
    <s v="PEORIA"/>
    <s v="IL"/>
    <n v="83425"/>
    <n v="65010"/>
    <n v="18415"/>
    <n v="59300"/>
    <n v="45500"/>
    <n v="13800"/>
  </r>
  <r>
    <n v="13579"/>
    <n v="13580"/>
    <x v="7"/>
    <s v="IL-00041"/>
    <s v="PEORIA"/>
    <n v="61604"/>
    <s v="PEORIA"/>
    <s v="IL"/>
    <n v="480526"/>
    <n v="348201"/>
    <n v="132325"/>
    <n v="191500"/>
    <n v="107600"/>
    <n v="83900"/>
  </r>
  <r>
    <n v="13579"/>
    <n v="13580"/>
    <x v="7"/>
    <s v="IL-00041"/>
    <s v="PEORIA"/>
    <n v="61605"/>
    <s v="PEORIA"/>
    <s v="IL"/>
    <n v="238698"/>
    <n v="201858"/>
    <n v="36840"/>
    <n v="150500"/>
    <n v="128900"/>
    <n v="21600"/>
  </r>
  <r>
    <n v="13579"/>
    <n v="13580"/>
    <x v="7"/>
    <s v="IL-00041"/>
    <s v="PEORIA"/>
    <n v="61614"/>
    <s v="PEORIA"/>
    <s v="IL"/>
    <n v="79972"/>
    <n v="68467"/>
    <n v="11505"/>
    <n v="64600"/>
    <n v="53100"/>
    <n v="11500"/>
  </r>
  <r>
    <n v="13579"/>
    <n v="13580"/>
    <x v="7"/>
    <s v="IL-00041"/>
    <s v="PEORIA"/>
    <n v="61615"/>
    <s v="PEORIA"/>
    <s v="IL"/>
    <n v="311675"/>
    <n v="267935"/>
    <n v="43740"/>
    <n v="110500"/>
    <n v="104100"/>
    <n v="6400"/>
  </r>
  <r>
    <n v="13579"/>
    <n v="13580"/>
    <x v="7"/>
    <s v="IL-00041"/>
    <s v="PEORIA HEIGHTS"/>
    <n v="61616"/>
    <s v="PEORIA"/>
    <s v="IL"/>
    <n v="325339"/>
    <n v="305714"/>
    <n v="19625"/>
    <n v="32100"/>
    <n v="32100"/>
    <n v="0"/>
  </r>
  <r>
    <n v="13579"/>
    <n v="13580"/>
    <x v="7"/>
    <s v="IL-00041"/>
    <s v="PERU"/>
    <n v="61354"/>
    <s v="LA SALLE"/>
    <s v="IL"/>
    <n v="48191"/>
    <n v="17656"/>
    <n v="30535"/>
    <n v="5000"/>
    <n v="5000"/>
    <n v="0"/>
  </r>
  <r>
    <n v="13579"/>
    <n v="13580"/>
    <x v="7"/>
    <s v="IL-00041"/>
    <s v="PHOENIX"/>
    <n v="60426"/>
    <s v="COOK"/>
    <s v="IL"/>
    <n v="46923"/>
    <n v="37958"/>
    <n v="8965"/>
    <n v="12100"/>
    <n v="9900"/>
    <n v="2200"/>
  </r>
  <r>
    <n v="13579"/>
    <n v="13580"/>
    <x v="7"/>
    <s v="IL-00041"/>
    <s v="PLAINFIELD"/>
    <n v="60544"/>
    <s v="WILL"/>
    <s v="IL"/>
    <n v="168773"/>
    <n v="124198"/>
    <n v="44575"/>
    <n v="103600"/>
    <n v="70400"/>
    <n v="33200"/>
  </r>
  <r>
    <n v="13579"/>
    <n v="13580"/>
    <x v="7"/>
    <s v="IL-00041"/>
    <s v="PLAINFIELD"/>
    <n v="60585"/>
    <s v="WILL"/>
    <s v="IL"/>
    <n v="130002"/>
    <n v="96472"/>
    <n v="33530"/>
    <n v="92700"/>
    <n v="71700"/>
    <n v="21000"/>
  </r>
  <r>
    <n v="13579"/>
    <n v="13580"/>
    <x v="7"/>
    <s v="IL-00041"/>
    <s v="PLAINFIELD"/>
    <n v="60586"/>
    <s v="WILL"/>
    <s v="IL"/>
    <n v="232881"/>
    <n v="188586"/>
    <n v="44295"/>
    <n v="130000"/>
    <n v="102200"/>
    <n v="27800"/>
  </r>
  <r>
    <n v="13579"/>
    <n v="13580"/>
    <x v="7"/>
    <s v="IL-00041"/>
    <s v="PLANO"/>
    <n v="60545"/>
    <s v="KENDALL"/>
    <s v="IL"/>
    <n v="121417"/>
    <n v="95817"/>
    <n v="25600"/>
    <n v="44400"/>
    <n v="21900"/>
    <n v="22500"/>
  </r>
  <r>
    <n v="13579"/>
    <n v="13580"/>
    <x v="7"/>
    <s v="IL-00041"/>
    <s v="PLYMOUTH"/>
    <n v="62367"/>
    <s v="MCDONOUGH"/>
    <s v="IL"/>
    <n v="80348"/>
    <n v="60878"/>
    <n v="19470"/>
    <n v="62100"/>
    <n v="42600"/>
    <n v="19500"/>
  </r>
  <r>
    <n v="13579"/>
    <n v="13580"/>
    <x v="7"/>
    <s v="IL-00041"/>
    <s v="PLYMOUTH"/>
    <n v="62367"/>
    <s v="SCHUYLER"/>
    <s v="IL"/>
    <n v="88616"/>
    <n v="83286"/>
    <n v="5330"/>
    <n v="0"/>
    <n v="0"/>
    <n v="0"/>
  </r>
  <r>
    <n v="13579"/>
    <n v="13580"/>
    <x v="7"/>
    <s v="IL-00041"/>
    <s v="PORT BARRINGTON"/>
    <n v="60010"/>
    <s v="MCHENRY"/>
    <s v="IL"/>
    <n v="31911"/>
    <n v="28711"/>
    <n v="3200"/>
    <n v="0"/>
    <n v="0"/>
    <n v="0"/>
  </r>
  <r>
    <n v="13579"/>
    <n v="13580"/>
    <x v="7"/>
    <s v="IL-00041"/>
    <s v="PORT BYRON"/>
    <n v="61275"/>
    <s v="ROCK ISLAND"/>
    <s v="IL"/>
    <n v="11369"/>
    <n v="7469"/>
    <n v="3900"/>
    <n v="11100"/>
    <n v="7200"/>
    <n v="3900"/>
  </r>
  <r>
    <n v="13579"/>
    <n v="13580"/>
    <x v="7"/>
    <s v="IL-00041"/>
    <s v="POSEN"/>
    <n v="60469"/>
    <s v="COOK"/>
    <s v="IL"/>
    <n v="194894"/>
    <n v="132604"/>
    <n v="62290"/>
    <n v="136500"/>
    <n v="86500"/>
    <n v="50000"/>
  </r>
  <r>
    <n v="13579"/>
    <n v="13580"/>
    <x v="7"/>
    <s v="IL-00041"/>
    <s v="PRAIRIE CITY"/>
    <n v="61470"/>
    <s v="MCDONOUGH"/>
    <s v="IL"/>
    <n v="43429"/>
    <n v="39009"/>
    <n v="4420"/>
    <n v="0"/>
    <n v="0"/>
    <n v="0"/>
  </r>
  <r>
    <n v="13579"/>
    <n v="13580"/>
    <x v="7"/>
    <s v="IL-00041"/>
    <s v="PRAIRIE VIEW"/>
    <n v="60069"/>
    <s v="LAKE"/>
    <s v="IL"/>
    <n v="36136"/>
    <n v="26961"/>
    <n v="9175"/>
    <n v="31900"/>
    <n v="22700"/>
    <n v="9200"/>
  </r>
  <r>
    <n v="13579"/>
    <n v="13580"/>
    <x v="7"/>
    <s v="IL-00041"/>
    <s v="PRINCETON"/>
    <n v="61356"/>
    <s v="BUREAU"/>
    <s v="IL"/>
    <n v="279326"/>
    <n v="215051"/>
    <n v="64275"/>
    <n v="115000"/>
    <n v="82500"/>
    <n v="32500"/>
  </r>
  <r>
    <n v="13579"/>
    <n v="13580"/>
    <x v="7"/>
    <s v="IL-00041"/>
    <s v="PRINCEVILLE"/>
    <n v="61559"/>
    <s v="PEORIA"/>
    <s v="IL"/>
    <n v="10573"/>
    <n v="8873"/>
    <n v="1700"/>
    <n v="0"/>
    <n v="0"/>
    <n v="0"/>
  </r>
  <r>
    <n v="13579"/>
    <n v="13580"/>
    <x v="7"/>
    <s v="IL-00041"/>
    <s v="PROSPECT HTS"/>
    <n v="60070"/>
    <s v="COOK"/>
    <s v="IL"/>
    <n v="10525"/>
    <n v="0"/>
    <n v="10525"/>
    <n v="0"/>
    <n v="0"/>
    <n v="0"/>
  </r>
  <r>
    <n v="13579"/>
    <n v="13580"/>
    <x v="7"/>
    <s v="IL-00041"/>
    <s v="RICHTON PARK"/>
    <n v="60471"/>
    <s v="COOK"/>
    <s v="IL"/>
    <n v="379939"/>
    <n v="271919"/>
    <n v="108020"/>
    <n v="128600"/>
    <n v="86300"/>
    <n v="42300"/>
  </r>
  <r>
    <n v="13579"/>
    <n v="13580"/>
    <x v="7"/>
    <s v="IL-00041"/>
    <s v="RIVER FOREST"/>
    <n v="60305"/>
    <s v="COOK"/>
    <s v="IL"/>
    <n v="63176"/>
    <n v="37286"/>
    <n v="25890"/>
    <n v="45000"/>
    <n v="23400"/>
    <n v="21600"/>
  </r>
  <r>
    <n v="13579"/>
    <n v="13580"/>
    <x v="7"/>
    <s v="IL-00041"/>
    <s v="RIVER GROVE"/>
    <n v="60171"/>
    <s v="COOK"/>
    <s v="IL"/>
    <n v="420130"/>
    <n v="275525"/>
    <n v="144605"/>
    <n v="247900"/>
    <n v="138800"/>
    <n v="109100"/>
  </r>
  <r>
    <n v="13579"/>
    <n v="13580"/>
    <x v="7"/>
    <s v="IL-00041"/>
    <s v="RIVERDALE"/>
    <n v="60827"/>
    <s v="COOK"/>
    <s v="IL"/>
    <n v="785390"/>
    <n v="572895"/>
    <n v="212495"/>
    <n v="274900"/>
    <n v="185200"/>
    <n v="89700"/>
  </r>
  <r>
    <n v="13579"/>
    <n v="13580"/>
    <x v="7"/>
    <s v="IL-00041"/>
    <s v="RIVERSIDE"/>
    <n v="60546"/>
    <s v="COOK"/>
    <s v="IL"/>
    <n v="494761"/>
    <n v="361635"/>
    <n v="133126"/>
    <n v="141200"/>
    <n v="91100"/>
    <n v="50100"/>
  </r>
  <r>
    <n v="13579"/>
    <n v="13580"/>
    <x v="7"/>
    <s v="IL-00041"/>
    <s v="ROANOKE"/>
    <n v="61561"/>
    <s v="WOODFORD"/>
    <s v="IL"/>
    <n v="526004"/>
    <n v="383579"/>
    <n v="142425"/>
    <n v="163500"/>
    <n v="104900"/>
    <n v="58600"/>
  </r>
  <r>
    <n v="13579"/>
    <n v="13580"/>
    <x v="7"/>
    <s v="IL-00041"/>
    <s v="ROBBINS"/>
    <n v="60472"/>
    <s v="COOK"/>
    <s v="IL"/>
    <n v="121128"/>
    <n v="81858"/>
    <n v="39270"/>
    <n v="74600"/>
    <n v="59300"/>
    <n v="15300"/>
  </r>
  <r>
    <n v="13579"/>
    <n v="13580"/>
    <x v="7"/>
    <s v="IL-00041"/>
    <s v="ROBINSON"/>
    <n v="62454"/>
    <s v="CRAWFORD"/>
    <s v="IL"/>
    <n v="29222"/>
    <n v="29222"/>
    <n v="0"/>
    <n v="24800"/>
    <n v="24800"/>
    <n v="0"/>
  </r>
  <r>
    <n v="13579"/>
    <n v="13580"/>
    <x v="7"/>
    <s v="IL-00041"/>
    <s v="ROCK ISLAND"/>
    <n v="61201"/>
    <s v="ROCK ISLAND"/>
    <s v="IL"/>
    <n v="17704"/>
    <n v="14879"/>
    <n v="2825"/>
    <n v="4400"/>
    <n v="3600"/>
    <n v="800"/>
  </r>
  <r>
    <n v="13579"/>
    <n v="13580"/>
    <x v="7"/>
    <s v="IL-00041"/>
    <s v="ROCKFORD"/>
    <n v="61102"/>
    <s v="WINNEBAGO"/>
    <s v="IL"/>
    <n v="5050"/>
    <n v="0"/>
    <n v="5050"/>
    <n v="0"/>
    <n v="0"/>
    <n v="0"/>
  </r>
  <r>
    <n v="13579"/>
    <n v="13580"/>
    <x v="7"/>
    <s v="IL-00041"/>
    <s v="ROCKFORD"/>
    <n v="61103"/>
    <s v="WINNEBAGO"/>
    <s v="IL"/>
    <n v="24913"/>
    <n v="23128"/>
    <n v="1785"/>
    <n v="23900"/>
    <n v="22100"/>
    <n v="1800"/>
  </r>
  <r>
    <n v="13579"/>
    <n v="13580"/>
    <x v="7"/>
    <s v="IL-00041"/>
    <s v="ROCKFORD"/>
    <n v="61107"/>
    <s v="WINNEBAGO"/>
    <s v="IL"/>
    <n v="44782"/>
    <n v="31992"/>
    <n v="12790"/>
    <n v="13500"/>
    <n v="11300"/>
    <n v="2200"/>
  </r>
  <r>
    <n v="13579"/>
    <n v="13580"/>
    <x v="7"/>
    <s v="IL-00041"/>
    <s v="ROCKFORD"/>
    <n v="61109"/>
    <s v="WINNEBAGO"/>
    <s v="IL"/>
    <n v="73289"/>
    <n v="58529"/>
    <n v="14760"/>
    <n v="72500"/>
    <n v="57800"/>
    <n v="14700"/>
  </r>
  <r>
    <n v="13579"/>
    <n v="13580"/>
    <x v="7"/>
    <s v="IL-00041"/>
    <s v="ROCKFORD"/>
    <n v="61114"/>
    <s v="WINNEBAGO"/>
    <s v="IL"/>
    <n v="23037"/>
    <n v="13187"/>
    <n v="9850"/>
    <n v="0"/>
    <n v="0"/>
    <n v="0"/>
  </r>
  <r>
    <n v="13579"/>
    <n v="13580"/>
    <x v="7"/>
    <s v="IL-00041"/>
    <s v="ROME"/>
    <n v="61562"/>
    <s v="PEORIA"/>
    <s v="IL"/>
    <n v="310697"/>
    <n v="243272"/>
    <n v="67425"/>
    <n v="149100"/>
    <n v="119100"/>
    <n v="30000"/>
  </r>
  <r>
    <n v="13579"/>
    <n v="13580"/>
    <x v="7"/>
    <s v="IL-00041"/>
    <s v="ROMEOVILLE"/>
    <n v="60446"/>
    <s v="WILL"/>
    <s v="IL"/>
    <n v="130991"/>
    <n v="103101"/>
    <n v="27890"/>
    <n v="76200"/>
    <n v="62800"/>
    <n v="13400"/>
  </r>
  <r>
    <n v="13579"/>
    <n v="13580"/>
    <x v="7"/>
    <s v="IL-00041"/>
    <s v="ROSELLE"/>
    <n v="60172"/>
    <s v="COOK"/>
    <s v="IL"/>
    <n v="23073"/>
    <n v="21038"/>
    <n v="2035"/>
    <n v="14000"/>
    <n v="14000"/>
    <n v="0"/>
  </r>
  <r>
    <n v="13579"/>
    <n v="13580"/>
    <x v="7"/>
    <s v="IL-00041"/>
    <s v="ROSELLE"/>
    <n v="60172"/>
    <s v="DUPAGE"/>
    <s v="IL"/>
    <n v="42705"/>
    <n v="29450"/>
    <n v="13255"/>
    <n v="0"/>
    <n v="0"/>
    <n v="0"/>
  </r>
  <r>
    <n v="13579"/>
    <n v="13580"/>
    <x v="7"/>
    <s v="IL-00041"/>
    <s v="ROUND LAKE"/>
    <n v="60073"/>
    <s v="LAKE"/>
    <s v="IL"/>
    <n v="18674"/>
    <n v="9074"/>
    <n v="9600"/>
    <n v="12200"/>
    <n v="2600"/>
    <n v="9600"/>
  </r>
  <r>
    <n v="13579"/>
    <n v="13580"/>
    <x v="7"/>
    <s v="IL-00041"/>
    <s v="ROUND LAKE BEACH"/>
    <n v="60073"/>
    <s v="LAKE"/>
    <s v="IL"/>
    <n v="80608"/>
    <n v="62303"/>
    <n v="18305"/>
    <n v="57200"/>
    <n v="42400"/>
    <n v="14800"/>
  </r>
  <r>
    <n v="13579"/>
    <n v="13580"/>
    <x v="7"/>
    <s v="IL-00041"/>
    <s v="RUSHVILLE"/>
    <n v="62681"/>
    <s v="SCHUYLER"/>
    <s v="IL"/>
    <n v="17363"/>
    <n v="17363"/>
    <n v="0"/>
    <n v="14000"/>
    <n v="14000"/>
    <n v="0"/>
  </r>
  <r>
    <n v="13579"/>
    <n v="13580"/>
    <x v="7"/>
    <s v="IL-00041"/>
    <s v="SAINT CHARLES"/>
    <n v="60174"/>
    <s v="KANE"/>
    <s v="IL"/>
    <n v="41304"/>
    <n v="22599"/>
    <n v="18705"/>
    <n v="28500"/>
    <n v="17400"/>
    <n v="11100"/>
  </r>
  <r>
    <n v="13579"/>
    <n v="13580"/>
    <x v="7"/>
    <s v="IL-00041"/>
    <s v="SANDWICH"/>
    <n v="60548"/>
    <s v="LA SALLE"/>
    <s v="IL"/>
    <n v="272481"/>
    <n v="272481"/>
    <n v="0"/>
    <n v="189400"/>
    <n v="189400"/>
    <n v="0"/>
  </r>
  <r>
    <n v="13579"/>
    <n v="13580"/>
    <x v="7"/>
    <s v="IL-00041"/>
    <s v="SAUK VILLAGE"/>
    <n v="60411"/>
    <s v="COOK"/>
    <s v="IL"/>
    <n v="262797"/>
    <n v="199897"/>
    <n v="62900"/>
    <n v="132600"/>
    <n v="108900"/>
    <n v="23700"/>
  </r>
  <r>
    <n v="13579"/>
    <n v="13580"/>
    <x v="7"/>
    <s v="IL-00041"/>
    <s v="SCHAUMBURG"/>
    <n v="60193"/>
    <s v="COOK"/>
    <s v="IL"/>
    <n v="37750"/>
    <n v="25790"/>
    <n v="11960"/>
    <n v="34600"/>
    <n v="22800"/>
    <n v="11800"/>
  </r>
  <r>
    <n v="13579"/>
    <n v="13580"/>
    <x v="7"/>
    <s v="IL-00041"/>
    <s v="SCHAUMBURG"/>
    <n v="60194"/>
    <s v="COOK"/>
    <s v="IL"/>
    <n v="6850"/>
    <n v="0"/>
    <n v="6850"/>
    <n v="0"/>
    <n v="0"/>
    <n v="0"/>
  </r>
  <r>
    <n v="13579"/>
    <n v="13580"/>
    <x v="7"/>
    <s v="IL-00041"/>
    <s v="SCHILLER PARK"/>
    <n v="60176"/>
    <s v="COOK"/>
    <s v="IL"/>
    <n v="198850"/>
    <n v="149105"/>
    <n v="49745"/>
    <n v="63300"/>
    <n v="52400"/>
    <n v="10900"/>
  </r>
  <r>
    <n v="13579"/>
    <n v="13580"/>
    <x v="7"/>
    <s v="IL-00041"/>
    <s v="SEATONVILLE"/>
    <n v="61359"/>
    <s v="BUREAU"/>
    <s v="IL"/>
    <n v="6853"/>
    <n v="6553"/>
    <n v="300"/>
    <n v="0"/>
    <n v="0"/>
    <n v="0"/>
  </r>
  <r>
    <n v="13579"/>
    <n v="13580"/>
    <x v="7"/>
    <s v="IL-00041"/>
    <s v="SENECA"/>
    <n v="61360"/>
    <s v="LA SALLE"/>
    <s v="IL"/>
    <n v="89636"/>
    <n v="66071"/>
    <n v="23565"/>
    <n v="44900"/>
    <n v="21300"/>
    <n v="23600"/>
  </r>
  <r>
    <n v="13579"/>
    <n v="13580"/>
    <x v="7"/>
    <s v="IL-00041"/>
    <s v="SERENA"/>
    <n v="60549"/>
    <s v="LA SALLE"/>
    <s v="IL"/>
    <n v="28006"/>
    <n v="28006"/>
    <n v="0"/>
    <n v="0"/>
    <n v="0"/>
    <n v="0"/>
  </r>
  <r>
    <n v="13579"/>
    <n v="13580"/>
    <x v="7"/>
    <s v="IL-00041"/>
    <s v="SHERIDAN"/>
    <n v="60551"/>
    <s v="LA SALLE"/>
    <s v="IL"/>
    <n v="143505"/>
    <n v="122905"/>
    <n v="20600"/>
    <n v="0"/>
    <n v="0"/>
    <n v="0"/>
  </r>
  <r>
    <n v="13579"/>
    <n v="13580"/>
    <x v="7"/>
    <s v="IL-00041"/>
    <s v="SILVIS"/>
    <n v="61282"/>
    <s v="ROCK ISLAND"/>
    <s v="IL"/>
    <n v="15648"/>
    <n v="11858"/>
    <n v="3790"/>
    <n v="14000"/>
    <n v="11500"/>
    <n v="2500"/>
  </r>
  <r>
    <n v="13579"/>
    <n v="13580"/>
    <x v="7"/>
    <s v="IL-00041"/>
    <s v="SKOKIE"/>
    <n v="60076"/>
    <s v="COOK"/>
    <s v="IL"/>
    <n v="1941770"/>
    <n v="1401667"/>
    <n v="540103"/>
    <n v="1135000"/>
    <n v="770000"/>
    <n v="365000"/>
  </r>
  <r>
    <n v="13579"/>
    <n v="13580"/>
    <x v="7"/>
    <s v="IL-00041"/>
    <s v="SKOKIE"/>
    <n v="60077"/>
    <s v="COOK"/>
    <s v="IL"/>
    <n v="573508"/>
    <n v="435478"/>
    <n v="138030"/>
    <n v="266800"/>
    <n v="193200"/>
    <n v="73600"/>
  </r>
  <r>
    <n v="13579"/>
    <n v="13580"/>
    <x v="7"/>
    <s v="IL-00041"/>
    <s v="SKOKIE"/>
    <n v="60203"/>
    <s v="COOK"/>
    <s v="IL"/>
    <n v="22975"/>
    <n v="15600"/>
    <n v="7375"/>
    <n v="3900"/>
    <n v="300"/>
    <n v="3600"/>
  </r>
  <r>
    <n v="13579"/>
    <n v="13580"/>
    <x v="7"/>
    <s v="IL-00041"/>
    <s v="SLEEPY HOLLOW"/>
    <n v="60118"/>
    <s v="KANE"/>
    <s v="IL"/>
    <n v="9440"/>
    <n v="0"/>
    <n v="9440"/>
    <n v="9500"/>
    <n v="0"/>
    <n v="9500"/>
  </r>
  <r>
    <n v="13579"/>
    <n v="13580"/>
    <x v="7"/>
    <s v="IL-00041"/>
    <s v="SOMONAUK"/>
    <n v="60552"/>
    <s v="DEKALB"/>
    <s v="IL"/>
    <n v="4650"/>
    <n v="0"/>
    <n v="4650"/>
    <n v="4700"/>
    <n v="0"/>
    <n v="4700"/>
  </r>
  <r>
    <n v="13579"/>
    <n v="13580"/>
    <x v="7"/>
    <s v="IL-00041"/>
    <s v="SOUTH BELOIT"/>
    <n v="61080"/>
    <s v="WINNEBAGO"/>
    <s v="IL"/>
    <n v="26898"/>
    <n v="26898"/>
    <n v="0"/>
    <n v="0"/>
    <n v="0"/>
    <n v="0"/>
  </r>
  <r>
    <n v="13579"/>
    <n v="13580"/>
    <x v="7"/>
    <s v="IL-00041"/>
    <s v="SOUTH ELGIN"/>
    <n v="60177"/>
    <s v="KANE"/>
    <s v="IL"/>
    <n v="121699"/>
    <n v="108814"/>
    <n v="12885"/>
    <n v="0"/>
    <n v="0"/>
    <n v="0"/>
  </r>
  <r>
    <n v="13579"/>
    <n v="13580"/>
    <x v="7"/>
    <s v="IL-00041"/>
    <s v="SOUTH HOLLAND"/>
    <n v="60473"/>
    <s v="COOK"/>
    <s v="IL"/>
    <n v="2585562"/>
    <n v="1891635"/>
    <n v="693927"/>
    <n v="1179500"/>
    <n v="899900"/>
    <n v="279600"/>
  </r>
  <r>
    <n v="13579"/>
    <n v="13580"/>
    <x v="7"/>
    <s v="IL-00041"/>
    <s v="SPARLAND"/>
    <n v="61565"/>
    <s v="MARSHALL"/>
    <s v="IL"/>
    <n v="27021"/>
    <n v="23201"/>
    <n v="3820"/>
    <n v="23700"/>
    <n v="19900"/>
    <n v="3800"/>
  </r>
  <r>
    <n v="13579"/>
    <n v="13580"/>
    <x v="7"/>
    <s v="IL-00041"/>
    <s v="SPOKIE"/>
    <n v="60076"/>
    <s v="COOK"/>
    <s v="IL"/>
    <n v="28198"/>
    <n v="15298"/>
    <n v="12900"/>
    <n v="18200"/>
    <n v="15300"/>
    <n v="2900"/>
  </r>
  <r>
    <n v="13579"/>
    <n v="13580"/>
    <x v="7"/>
    <s v="IL-00041"/>
    <s v="SPRING BAY"/>
    <n v="61611"/>
    <s v="WOODFORD"/>
    <s v="IL"/>
    <n v="213110"/>
    <n v="168060"/>
    <n v="45050"/>
    <n v="93200"/>
    <n v="61400"/>
    <n v="31800"/>
  </r>
  <r>
    <n v="13579"/>
    <n v="13580"/>
    <x v="7"/>
    <s v="IL-00041"/>
    <s v="SPRING GROVE"/>
    <n v="60081"/>
    <s v="LAKE"/>
    <s v="IL"/>
    <n v="2951"/>
    <n v="2951"/>
    <n v="0"/>
    <n v="3000"/>
    <n v="3000"/>
    <n v="0"/>
  </r>
  <r>
    <n v="13579"/>
    <n v="13580"/>
    <x v="7"/>
    <s v="IL-00041"/>
    <s v="SPRING GROVE"/>
    <n v="60081"/>
    <s v="MCHENRY"/>
    <s v="IL"/>
    <n v="44579"/>
    <n v="39079"/>
    <n v="5500"/>
    <n v="43300"/>
    <n v="37800"/>
    <n v="5500"/>
  </r>
  <r>
    <n v="13579"/>
    <n v="13580"/>
    <x v="7"/>
    <s v="IL-00041"/>
    <s v="ST CHARLES"/>
    <n v="60174"/>
    <s v="KANE"/>
    <s v="IL"/>
    <n v="78093"/>
    <n v="61453"/>
    <n v="16640"/>
    <n v="46100"/>
    <n v="38100"/>
    <n v="8000"/>
  </r>
  <r>
    <m/>
    <m/>
    <x v="8"/>
    <m/>
    <m/>
    <m/>
    <m/>
    <m/>
    <m/>
    <m/>
    <m/>
    <m/>
    <m/>
    <m/>
  </r>
</pivotCacheRecords>
</file>

<file path=xl/pivotTables/_rels/pivotTable1.xml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_rels/pivotTable2.xml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2.xml" /></Relationships>
</file>

<file path=xl/pivotTables/pivotTable1.xml><?xml version="1.0" encoding="utf-8"?>
<pivotTableDefinition xmlns="http://schemas.openxmlformats.org/spreadsheetml/2006/main" name="PivotTable1" cacheId="89" autoFormatId="4117" applyNumberFormats="1" applyBorderFormats="1" applyFontFormats="1" applyPatternFormats="1" applyAlignmentFormats="1" applyWidthHeightFormats="1" dataCaption="Values" showMissing="1" preserveFormatting="1" useAutoFormatting="1" itemPrintTitles="1" outline="1" outlineData="1" createdVersion="8" updatedVersion="8" indent="0" multipleFieldFilters="0" showMemberPropertyTips="1">
  <location ref="A12:D24" firstHeaderRow="0" firstDataRow="1" firstDataCol="1"/>
  <pivotFields count="15">
    <pivotField showAll="0"/>
    <pivotField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 name="States Affected"/>
    <pivotField axis="axisValues" dataField="1" showAll="0"/>
    <pivotField showAll="0"/>
    <pivotField showAll="0"/>
    <pivotField axis="axisValues" dataField="1" showAll="0"/>
    <pivotField showAll="0"/>
    <pivotField showAll="0"/>
    <pivotField axis="axisValues" dataField="1" showAll="0" dragToRow="0" dragToCol="0" dragToPage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Losses" fld="8" baseField="7" baseItem="0" numFmtId="165"/>
    <dataField name="Total Loans" fld="11" baseField="7" baseItem="0" numFmtId="165"/>
    <dataField name="Sum of Coverage" fld="14" baseField="7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hideValuesRow="1"/>
    </ext>
  </extLst>
</pivotTableDefinition>
</file>

<file path=xl/pivotTables/pivotTable2.xml><?xml version="1.0" encoding="utf-8"?>
<pivotTableDefinition xmlns="http://schemas.openxmlformats.org/spreadsheetml/2006/main" name="PivotTable3" cacheId="92" autoFormatId="4117" applyNumberFormats="1" applyBorderFormats="1" applyFontFormats="1" applyPatternFormats="1" applyAlignmentFormats="1" applyWidthHeightFormats="1" dataCaption="Values" showMissing="1" preserveFormatting="1" useAutoFormatting="1" itemPrintTitles="1" outline="1" outlineData="1" createdVersion="8" updatedVersion="8" indent="0" multipleFieldFilters="0" showMemberPropertyTips="1">
  <location ref="I12:L22" firstHeaderRow="0" firstDataRow="1" firstDataCol="1"/>
  <pivotFields count="15"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7"/>
        <item x="6"/>
        <item x="8"/>
        <item t="default"/>
      </items>
    </pivotField>
    <pivotField showAll="0"/>
    <pivotField showAll="0"/>
    <pivotField showAll="0"/>
    <pivotField showAll="0"/>
    <pivotField showAll="0"/>
    <pivotField axis="axisValues" dataField="1" showAll="0"/>
    <pivotField showAll="0"/>
    <pivotField showAll="0"/>
    <pivotField axis="axisValues" dataField="1" showAll="0"/>
    <pivotField showAll="0"/>
    <pivotField showAll="0"/>
    <pivotField axis="axisValues" dataField="1" showAll="0" dragToRow="0" dragToCol="0" dragToPage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Losses" fld="8" baseField="7" baseItem="0" numFmtId="165"/>
    <dataField name="Total Loans" fld="11" baseField="7" baseItem="0" numFmtId="165"/>
    <dataField name="Sum of Coverage" fld="14" baseField="2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image" Target="../media/image2.emf" /><Relationship Id="rId8" Type="http://schemas.openxmlformats.org/officeDocument/2006/relationships/control" Target="../activeX/activeX4.xml" /><Relationship Id="rId4" Type="http://schemas.openxmlformats.org/officeDocument/2006/relationships/control" Target="../activeX/activeX2.xml" /><Relationship Id="rId1" Type="http://schemas.openxmlformats.org/officeDocument/2006/relationships/image" Target="../media/image1.emf" /><Relationship Id="rId5" Type="http://schemas.openxmlformats.org/officeDocument/2006/relationships/image" Target="../media/image3.emf" /><Relationship Id="rId6" Type="http://schemas.openxmlformats.org/officeDocument/2006/relationships/control" Target="../activeX/activeX3.xml" /><Relationship Id="rId10" Type="http://schemas.openxmlformats.org/officeDocument/2006/relationships/control" Target="../activeX/activeX5.xml" /><Relationship Id="rId16" Type="http://schemas.openxmlformats.org/officeDocument/2006/relationships/vmlDrawing" Target="../drawings/vmlDrawing1.vml" /><Relationship Id="rId13" Type="http://schemas.openxmlformats.org/officeDocument/2006/relationships/image" Target="../media/image7.emf" /><Relationship Id="rId9" Type="http://schemas.openxmlformats.org/officeDocument/2006/relationships/image" Target="../media/image5.emf" /><Relationship Id="rId12" Type="http://schemas.openxmlformats.org/officeDocument/2006/relationships/control" Target="../activeX/activeX6.xml" /><Relationship Id="rId15" Type="http://schemas.openxmlformats.org/officeDocument/2006/relationships/drawing" Target="../drawings/drawing1.xml" /><Relationship Id="rId2" Type="http://schemas.openxmlformats.org/officeDocument/2006/relationships/control" Target="../activeX/activeX1.xml" /><Relationship Id="rId11" Type="http://schemas.openxmlformats.org/officeDocument/2006/relationships/image" Target="../media/image6.emf" /><Relationship Id="rId14" Type="http://schemas.openxmlformats.org/officeDocument/2006/relationships/control" Target="../activeX/activeX7.xml" /><Relationship Id="rId7" Type="http://schemas.openxmlformats.org/officeDocument/2006/relationships/image" Target="../media/image4.emf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ivotTable" Target="../pivotTables/pivotTable1.xml" /><Relationship Id="rId2" Type="http://schemas.openxmlformats.org/officeDocument/2006/relationships/pivotTable" Target="../pivotTables/pivotTable2.xml" /></Relationships>
</file>

<file path=xl/worksheets/_rels/sheet3.xml.rels><?xml version="1.0" encoding="UTF-8" standalone="yes"?><Relationships xmlns="http://schemas.openxmlformats.org/package/2006/relationships"><Relationship Id="rId6" Type="http://schemas.openxmlformats.org/officeDocument/2006/relationships/vmlDrawing" Target="../drawings/vmlDrawing2.vml" /><Relationship Id="rId1" Type="http://schemas.openxmlformats.org/officeDocument/2006/relationships/image" Target="../media/image8.emf" /><Relationship Id="rId5" Type="http://schemas.openxmlformats.org/officeDocument/2006/relationships/drawing" Target="../drawings/drawing2.xml" /><Relationship Id="rId3" Type="http://schemas.openxmlformats.org/officeDocument/2006/relationships/image" Target="../media/image9.emf" /><Relationship Id="rId2" Type="http://schemas.openxmlformats.org/officeDocument/2006/relationships/control" Target="../activeX/activeX8.xml" /><Relationship Id="rId4" Type="http://schemas.openxmlformats.org/officeDocument/2006/relationships/control" Target="../activeX/activeX9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937d1189-547a-4f7e-8bad-cfb4a5c0b26e}">
  <sheetPr codeName="Sheet1"/>
  <dimension ref="A1:BD132"/>
  <sheetViews>
    <sheetView tabSelected="1" workbookViewId="0" topLeftCell="A1">
      <selection pane="topLeft" activeCell="M16" sqref="M16"/>
    </sheetView>
  </sheetViews>
  <sheetFormatPr defaultColWidth="9.142857142857142" defaultRowHeight="14.4"/>
  <cols>
    <col min="1" max="1" width="5.571428571428571" customWidth="1"/>
    <col min="2" max="2" width="12.714285714285714" customWidth="1"/>
    <col min="6" max="6" width="8.857142857142858" customWidth="1"/>
    <col min="7" max="7" width="12.714285714285714" customWidth="1"/>
  </cols>
  <sheetData>
    <row r="1" spans="1:56" ht="14.4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</row>
    <row r="2" spans="1:56" ht="14.4">
      <c r="A2" s="4"/>
      <c r="B2" s="5" t="s">
        <v>1098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</row>
    <row r="3" spans="1:56" ht="14.4">
      <c r="A3" s="4"/>
      <c r="B3" s="5" t="s">
        <v>1096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</row>
    <row r="4" spans="1:56" ht="14.4">
      <c r="A4" s="4"/>
      <c r="B4" s="5" t="s">
        <v>1097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</row>
    <row r="5" spans="1:56" ht="14.4">
      <c r="A5" s="4"/>
      <c r="B5" s="5" t="s">
        <v>1099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</row>
    <row r="6" spans="1:56" ht="14.4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</row>
    <row r="7" spans="1:56" ht="15" thickBo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</row>
    <row r="8" spans="1:56" ht="14.4">
      <c r="A8" s="4"/>
      <c r="B8" s="11" t="s">
        <v>1100</v>
      </c>
      <c r="C8" s="12"/>
      <c r="D8" s="12"/>
      <c r="E8" s="13"/>
      <c r="F8" s="4"/>
      <c r="G8" s="11" t="s">
        <v>1101</v>
      </c>
      <c r="H8" s="12"/>
      <c r="I8" s="12"/>
      <c r="J8" s="13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</row>
    <row r="9" spans="1:56" ht="14.4">
      <c r="A9" s="4"/>
      <c r="B9" s="14"/>
      <c r="C9" s="15"/>
      <c r="D9" s="15"/>
      <c r="E9" s="16"/>
      <c r="F9" s="4"/>
      <c r="G9" s="14"/>
      <c r="H9" s="15"/>
      <c r="I9" s="15"/>
      <c r="J9" s="16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</row>
    <row r="10" spans="1:56" ht="14.4">
      <c r="A10" s="22">
        <v>60</v>
      </c>
      <c r="B10" s="21">
        <f>A10/100</f>
        <v>0.59999999999999998</v>
      </c>
      <c r="C10" s="15"/>
      <c r="D10" s="15"/>
      <c r="E10" s="16"/>
      <c r="F10" s="22">
        <v>120</v>
      </c>
      <c r="G10" s="17">
        <f>F10/100</f>
        <v>1.2</v>
      </c>
      <c r="H10" s="15"/>
      <c r="I10" s="15"/>
      <c r="J10" s="16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</row>
    <row r="11" spans="1:56" ht="15" thickBot="1">
      <c r="A11" s="4"/>
      <c r="B11" s="18"/>
      <c r="C11" s="19"/>
      <c r="D11" s="19"/>
      <c r="E11" s="20"/>
      <c r="F11" s="4"/>
      <c r="G11" s="18"/>
      <c r="H11" s="19"/>
      <c r="I11" s="19"/>
      <c r="J11" s="20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</row>
    <row r="12" spans="1:56" ht="14.4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</row>
    <row r="13" spans="1:56" ht="14.4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</row>
    <row r="14" spans="1:56" ht="14.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</row>
    <row r="15" spans="1:56" ht="14.4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</row>
    <row r="16" spans="1:56" ht="14.4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</row>
    <row r="17" spans="1:56" ht="14.4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</row>
    <row r="18" spans="1:56" ht="14.4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</row>
    <row r="19" spans="1:56" ht="14.4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</row>
    <row r="20" spans="1:56" ht="14.4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</row>
    <row r="21" spans="1:56" ht="14.4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</row>
    <row r="22" spans="1:56" ht="14.4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</row>
    <row r="23" spans="1:56" ht="14.4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</row>
    <row r="24" spans="1:56" ht="14.4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</row>
    <row r="25" spans="1:56" ht="14.4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</row>
    <row r="26" spans="1:56" ht="14.4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</row>
    <row r="27" spans="1:56" ht="14.4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</row>
    <row r="28" spans="1:56" ht="14.4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</row>
    <row r="29" spans="1:56" ht="14.4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</row>
    <row r="30" spans="1:56" ht="14.4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</row>
    <row r="31" spans="1:56" ht="14.4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</row>
    <row r="32" spans="1:56" ht="14.4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</row>
    <row r="33" spans="1:56" ht="14.4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</row>
    <row r="34" spans="1:56" ht="14.4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</row>
    <row r="35" spans="1:56" ht="14.4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</row>
    <row r="36" spans="1:56" ht="14.4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</row>
    <row r="37" spans="1:56" ht="14.4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</row>
    <row r="38" spans="1:56" ht="14.4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</row>
    <row r="39" spans="1:56" ht="14.4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</row>
    <row r="40" spans="1:56" ht="14.4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</row>
    <row r="41" spans="1:56" ht="14.4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</row>
    <row r="42" spans="1:56" ht="14.4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</row>
    <row r="43" spans="1:56" ht="14.4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</row>
    <row r="44" spans="1:56" ht="14.4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</row>
    <row r="45" spans="1:56" ht="14.4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</row>
    <row r="46" spans="1:56" ht="14.4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</row>
    <row r="47" spans="1:56" ht="14.4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</row>
    <row r="48" spans="1:56" ht="14.4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</row>
    <row r="49" spans="1:56" ht="14.4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</row>
    <row r="50" spans="1:56" ht="14.4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</row>
    <row r="51" spans="1:56" ht="14.4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</row>
    <row r="52" spans="1:56" ht="14.4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</row>
    <row r="53" spans="1:56" ht="14.4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</row>
    <row r="54" spans="1:56" ht="14.4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</row>
    <row r="55" spans="1:56" ht="14.4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</row>
    <row r="56" spans="1:56" ht="14.4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</row>
    <row r="57" spans="1:56" ht="14.4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</row>
    <row r="58" spans="1:56" ht="14.4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</row>
    <row r="59" spans="1:56" ht="14.4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</row>
    <row r="60" spans="1:56" ht="14.4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</row>
    <row r="61" spans="1:56" ht="14.4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</row>
    <row r="62" spans="1:56" ht="14.4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</row>
    <row r="63" spans="1:56" ht="14.4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</row>
    <row r="64" spans="1:56" ht="14.4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</row>
    <row r="65" spans="1:56" ht="14.4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</row>
    <row r="66" spans="1:56" ht="14.4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</row>
    <row r="67" spans="1:56" ht="14.4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</row>
    <row r="68" spans="1:56" ht="14.4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</row>
    <row r="69" spans="1:56" ht="14.4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</row>
    <row r="70" spans="1:56" ht="14.4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</row>
    <row r="71" spans="1:56" ht="14.4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</row>
    <row r="72" spans="1:56" ht="14.4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</row>
    <row r="73" spans="1:56" ht="14.4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</row>
    <row r="74" spans="1:56" ht="14.4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</row>
    <row r="75" spans="1:56" ht="14.4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</row>
    <row r="76" spans="1:56" ht="14.4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</row>
    <row r="77" spans="1:56" ht="14.4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</row>
    <row r="78" spans="1:56" ht="14.4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</row>
    <row r="79" spans="1:56" ht="14.4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</row>
    <row r="80" spans="1:56" ht="14.4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</row>
    <row r="81" spans="1:56" ht="14.4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</row>
    <row r="82" spans="1:56" ht="14.4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</row>
    <row r="83" spans="1:56" ht="14.4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</row>
    <row r="84" spans="1:56" ht="14.4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</row>
    <row r="85" spans="1:56" ht="14.4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</row>
    <row r="86" spans="1:56" ht="14.4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</row>
    <row r="87" spans="1:56" ht="14.4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</row>
    <row r="88" spans="1:56" ht="14.4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</row>
    <row r="89" spans="1:56" ht="14.4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</row>
    <row r="90" spans="1:56" ht="14.4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</row>
    <row r="91" spans="1:56" ht="14.4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</row>
    <row r="92" spans="1:56" ht="14.4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</row>
    <row r="93" spans="1:56" ht="14.4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</row>
    <row r="94" spans="1:56" ht="14.4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</row>
    <row r="95" spans="1:56" ht="14.4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</row>
    <row r="96" spans="1:56" ht="14.4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</row>
    <row r="97" spans="1:56" ht="14.4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</row>
    <row r="98" spans="1:56" ht="14.4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</row>
    <row r="99" spans="1:56" ht="14.4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</row>
    <row r="100" spans="1:56" ht="14.4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</row>
    <row r="101" spans="1:56" ht="14.4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</row>
    <row r="102" spans="1:56" ht="14.4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</row>
    <row r="103" spans="1:56" ht="14.4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</row>
    <row r="104" spans="1:56" ht="14.4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</row>
    <row r="105" spans="1:56" ht="14.4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</row>
    <row r="106" spans="1:56" ht="14.4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</row>
    <row r="107" spans="1:56" ht="14.4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</row>
    <row r="108" spans="1:56" ht="14.4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</row>
    <row r="109" spans="1:56" ht="14.4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</row>
    <row r="110" spans="1:56" ht="14.4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</row>
    <row r="111" spans="1:56" ht="14.4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</row>
    <row r="112" spans="1:56" ht="14.4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</row>
    <row r="113" spans="1:56" ht="14.4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</row>
    <row r="114" spans="1:56" ht="14.4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</row>
    <row r="115" spans="1:56" ht="14.4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</row>
    <row r="116" spans="1:56" ht="14.4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</row>
    <row r="117" spans="1:56" ht="14.4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</row>
    <row r="118" spans="1:56" ht="14.4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</row>
    <row r="119" spans="1:56" ht="14.4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</row>
    <row r="120" spans="1:56" ht="14.4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</row>
    <row r="121" spans="1:56" ht="14.4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</row>
    <row r="122" spans="1:56" ht="14.4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</row>
    <row r="123" spans="1:56" ht="14.4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</row>
    <row r="124" spans="1:56" ht="14.4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</row>
    <row r="125" spans="1:56" ht="14.4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</row>
    <row r="126" spans="1:56" ht="14.4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</row>
    <row r="127" spans="1:56" ht="14.4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</row>
    <row r="128" spans="1:56" ht="14.4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</row>
    <row r="129" spans="1:56" ht="14.4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</row>
    <row r="130" spans="1:56" ht="14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</row>
    <row r="131" spans="1:56" ht="14.4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</row>
    <row r="132" spans="1:56" ht="14.4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</row>
  </sheetData>
  <sheetProtection/>
  <pageMargins left="0.7" right="0.7" top="0.75" bottom="0.75" header="0.3" footer="0.3"/>
  <drawing r:id="rId15"/>
  <legacyDrawing r:id="rId16"/>
  <controls>
    <mc:AlternateContent xmlns:mc="http://schemas.openxmlformats.org/markup-compatibility/2006">
      <mc:Choice Requires="x14">
        <control shapeId="1025" r:id="rId2" name="CommandButton1">
          <controlPr defaultSize="0" autoLine="0" r:id="rId1">
            <anchor moveWithCells="1">
              <from>
                <xdr:col>1</xdr:col>
                <xdr:colOff>190500</xdr:colOff>
                <xdr:row>13</xdr:row>
                <xdr:rowOff>68580</xdr:rowOff>
              </from>
              <to>
                <xdr:col>3</xdr:col>
                <xdr:colOff>175260</xdr:colOff>
                <xdr:row>16</xdr:row>
                <xdr:rowOff>7620</xdr:rowOff>
              </to>
            </anchor>
          </controlPr>
        </control>
      </mc:Choice>
      <mc:Fallback>
        <control shapeId="1025" r:id="rId2" name="CommandButton1"/>
      </mc:Fallback>
    </mc:AlternateContent>
    <mc:AlternateContent xmlns:mc="http://schemas.openxmlformats.org/markup-compatibility/2006">
      <mc:Choice Requires="x14">
        <control shapeId="1026" r:id="rId4" name="CommandButton2">
          <controlPr defaultSize="0" autoLine="0" r:id="rId3">
            <anchor moveWithCells="1">
              <from>
                <xdr:col>6</xdr:col>
                <xdr:colOff>304800</xdr:colOff>
                <xdr:row>13</xdr:row>
                <xdr:rowOff>15240</xdr:rowOff>
              </from>
              <to>
                <xdr:col>8</xdr:col>
                <xdr:colOff>228600</xdr:colOff>
                <xdr:row>15</xdr:row>
                <xdr:rowOff>160020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5">
            <anchor moveWithCells="1">
              <from>
                <xdr:col>3</xdr:col>
                <xdr:colOff>457200</xdr:colOff>
                <xdr:row>13</xdr:row>
                <xdr:rowOff>15240</xdr:rowOff>
              </from>
              <to>
                <xdr:col>6</xdr:col>
                <xdr:colOff>38100</xdr:colOff>
                <xdr:row>15</xdr:row>
                <xdr:rowOff>167640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8" r:id="rId8" name="ScrollBar1">
          <controlPr defaultSize="0" autoLine="0" linkedCell="A10" r:id="rId7">
            <anchor moveWithCells="1">
              <from>
                <xdr:col>2</xdr:col>
                <xdr:colOff>228600</xdr:colOff>
                <xdr:row>8</xdr:row>
                <xdr:rowOff>137160</xdr:rowOff>
              </from>
              <to>
                <xdr:col>4</xdr:col>
                <xdr:colOff>487680</xdr:colOff>
                <xdr:row>10</xdr:row>
                <xdr:rowOff>7620</xdr:rowOff>
              </to>
            </anchor>
          </controlPr>
        </control>
      </mc:Choice>
      <mc:Fallback>
        <control shapeId="1028" r:id="rId8" name="ScrollBar1"/>
      </mc:Fallback>
    </mc:AlternateContent>
    <mc:AlternateContent xmlns:mc="http://schemas.openxmlformats.org/markup-compatibility/2006">
      <mc:Choice Requires="x14">
        <control shapeId="1030" r:id="rId10" name="OptionButton1">
          <controlPr defaultSize="0" autoLine="0" r:id="rId9">
            <anchor moveWithCells="1">
              <from>
                <xdr:col>3</xdr:col>
                <xdr:colOff>518160</xdr:colOff>
                <xdr:row>16</xdr:row>
                <xdr:rowOff>45720</xdr:rowOff>
              </from>
              <to>
                <xdr:col>5</xdr:col>
                <xdr:colOff>556260</xdr:colOff>
                <xdr:row>17</xdr:row>
                <xdr:rowOff>129540</xdr:rowOff>
              </to>
            </anchor>
          </controlPr>
        </control>
      </mc:Choice>
      <mc:Fallback>
        <control shapeId="1030" r:id="rId10" name="OptionButton1"/>
      </mc:Fallback>
    </mc:AlternateContent>
    <mc:AlternateContent xmlns:mc="http://schemas.openxmlformats.org/markup-compatibility/2006">
      <mc:Choice Requires="x14">
        <control shapeId="1031" r:id="rId12" name="OptionButton2">
          <controlPr defaultSize="0" autoLine="0" r:id="rId11">
            <anchor moveWithCells="1">
              <from>
                <xdr:col>3</xdr:col>
                <xdr:colOff>502920</xdr:colOff>
                <xdr:row>18</xdr:row>
                <xdr:rowOff>7620</xdr:rowOff>
              </from>
              <to>
                <xdr:col>5</xdr:col>
                <xdr:colOff>525780</xdr:colOff>
                <xdr:row>19</xdr:row>
                <xdr:rowOff>83820</xdr:rowOff>
              </to>
            </anchor>
          </controlPr>
        </control>
      </mc:Choice>
      <mc:Fallback>
        <control shapeId="1031" r:id="rId12" name="OptionButton2"/>
      </mc:Fallback>
    </mc:AlternateContent>
    <mc:AlternateContent xmlns:mc="http://schemas.openxmlformats.org/markup-compatibility/2006">
      <mc:Choice Requires="x14">
        <control shapeId="1032" r:id="rId14" name="ScrollBar2">
          <controlPr defaultSize="0" autoLine="0" linkedCell="F10" r:id="rId13">
            <anchor moveWithCells="1">
              <from>
                <xdr:col>7</xdr:col>
                <xdr:colOff>228600</xdr:colOff>
                <xdr:row>8</xdr:row>
                <xdr:rowOff>144780</xdr:rowOff>
              </from>
              <to>
                <xdr:col>9</xdr:col>
                <xdr:colOff>457200</xdr:colOff>
                <xdr:row>10</xdr:row>
                <xdr:rowOff>60960</xdr:rowOff>
              </to>
            </anchor>
          </controlPr>
        </control>
      </mc:Choice>
      <mc:Fallback>
        <control shapeId="1032" r:id="rId14" name="ScrollBa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ac296428-2bad-4b55-85c8-9e0f54149107}">
  <sheetPr codeName="Sheet5"/>
  <dimension ref="A1:L24"/>
  <sheetViews>
    <sheetView showGridLines="0" workbookViewId="0" topLeftCell="A1">
      <selection pane="topLeft" activeCell="J6" sqref="J6"/>
    </sheetView>
  </sheetViews>
  <sheetFormatPr defaultColWidth="9.142857142857142" defaultRowHeight="14.4"/>
  <cols>
    <col min="1" max="1" width="12.571428571428571" customWidth="1"/>
    <col min="2" max="2" width="16.285714285714285" customWidth="1"/>
    <col min="3" max="3" width="14.714285714285714" customWidth="1"/>
    <col min="4" max="4" width="16.285714285714285" customWidth="1"/>
    <col min="5" max="5" width="4.285714285714286" customWidth="1"/>
    <col min="6" max="8" width="4" customWidth="1"/>
    <col min="9" max="11" width="16.285714285714285" customWidth="1"/>
    <col min="12" max="14" width="15.428571428571429" customWidth="1"/>
    <col min="15" max="145" width="5" customWidth="1"/>
    <col min="146" max="751" width="6" customWidth="1"/>
    <col min="752" max="1238" width="7" customWidth="1"/>
    <col min="1239" max="1452" width="8" customWidth="1"/>
    <col min="1453" max="1486" width="9" customWidth="1"/>
    <col min="1487" max="1487" width="10.714285714285714" customWidth="1"/>
  </cols>
  <sheetData>
    <row r="1" spans="1:1" ht="15" thickBot="1">
      <c r="A1" s="23" t="s">
        <v>1106</v>
      </c>
    </row>
    <row r="2" ht="15" thickBot="1"/>
    <row r="3" spans="1:9" ht="14.4">
      <c r="A3" s="11" t="s">
        <v>1107</v>
      </c>
      <c r="B3" s="24">
        <f>Interface!B10</f>
        <v>0.59999999999999998</v>
      </c>
      <c r="C3" s="11"/>
      <c r="D3" s="33"/>
      <c r="E3" s="11"/>
      <c r="F3" s="34"/>
      <c r="G3" s="34"/>
      <c r="H3" s="34"/>
      <c r="I3" s="33"/>
    </row>
    <row r="4" spans="1:9" ht="14.4">
      <c r="A4" s="25" t="s">
        <v>1101</v>
      </c>
      <c r="B4" s="26">
        <f>Interface!G10</f>
        <v>1.2</v>
      </c>
      <c r="C4" s="25"/>
      <c r="D4" s="27"/>
      <c r="E4" s="25"/>
      <c r="F4" s="35"/>
      <c r="G4" s="35"/>
      <c r="H4" s="35"/>
      <c r="I4" s="27"/>
    </row>
    <row r="5" spans="1:9" ht="14.4">
      <c r="A5" s="25"/>
      <c r="B5" s="27"/>
      <c r="C5" s="25"/>
      <c r="D5" s="27"/>
      <c r="E5" s="25"/>
      <c r="F5" s="35"/>
      <c r="G5" s="35"/>
      <c r="H5" s="35"/>
      <c r="I5" s="27"/>
    </row>
    <row r="6" spans="1:9" ht="14.4">
      <c r="A6" s="25" t="s">
        <v>1108</v>
      </c>
      <c r="B6" s="28">
        <f>GETPIVOTDATA("Total Losses",$A$12)+GETPIVOTDATA("Total Losses",$I$12)</f>
        <v>6627519209</v>
      </c>
      <c r="C6" s="25"/>
      <c r="D6" s="28">
        <f>GETPIVOTDATA("Total Losses",$A$12)</f>
        <v>1657372693</v>
      </c>
      <c r="E6" s="36"/>
      <c r="F6" s="37"/>
      <c r="G6" s="37"/>
      <c r="H6" s="37"/>
      <c r="I6" s="28">
        <f>GETPIVOTDATA("Total Losses",$I$12)</f>
        <v>4970146516</v>
      </c>
    </row>
    <row r="7" spans="1:9" ht="14.4">
      <c r="A7" s="25"/>
      <c r="B7" s="27"/>
      <c r="C7" s="25"/>
      <c r="D7" s="28"/>
      <c r="E7" s="36"/>
      <c r="F7" s="37"/>
      <c r="G7" s="37"/>
      <c r="H7" s="37"/>
      <c r="I7" s="28"/>
    </row>
    <row r="8" spans="1:9" ht="15" thickBot="1">
      <c r="A8" s="29" t="s">
        <v>1109</v>
      </c>
      <c r="B8" s="30">
        <f>B3*B4*B6</f>
        <v>4771813830.4799995</v>
      </c>
      <c r="C8" s="29" t="s">
        <v>2004</v>
      </c>
      <c r="D8" s="30">
        <f>B3*B4*D6</f>
        <v>1193308338.96</v>
      </c>
      <c r="E8" s="29" t="s">
        <v>2003</v>
      </c>
      <c r="F8" s="38"/>
      <c r="G8" s="38"/>
      <c r="H8" s="38"/>
      <c r="I8" s="30">
        <f>B3*B4*I6</f>
        <v>3578505491.52</v>
      </c>
    </row>
    <row r="11" spans="1:9" ht="14.4">
      <c r="A11" s="8" t="s">
        <v>1104</v>
      </c>
      <c r="I11" s="8" t="s">
        <v>1110</v>
      </c>
    </row>
    <row r="12" spans="1:12" ht="14.4">
      <c r="A12" s="6" t="s">
        <v>1102</v>
      </c>
      <c r="B12" t="s">
        <v>1112</v>
      </c>
      <c r="C12" t="s">
        <v>1111</v>
      </c>
      <c r="D12" t="s">
        <v>1105</v>
      </c>
      <c r="I12" s="6" t="s">
        <v>1102</v>
      </c>
      <c r="J12" t="s">
        <v>1112</v>
      </c>
      <c r="K12" t="s">
        <v>1111</v>
      </c>
      <c r="L12" t="s">
        <v>1105</v>
      </c>
    </row>
    <row r="13" spans="1:12" ht="14.4">
      <c r="A13" s="7">
        <v>4085</v>
      </c>
      <c r="B13" s="9">
        <v>878043378</v>
      </c>
      <c r="C13" s="9">
        <v>286807500</v>
      </c>
      <c r="D13" s="10">
        <v>0.32664388478538242</v>
      </c>
      <c r="I13" s="7">
        <v>4085</v>
      </c>
      <c r="J13" s="9">
        <v>3061184246</v>
      </c>
      <c r="K13" s="9">
        <v>1288393500</v>
      </c>
      <c r="L13" s="10">
        <v>0.42088074302731793</v>
      </c>
    </row>
    <row r="14" spans="1:12" ht="14.4">
      <c r="A14" s="7">
        <v>4086</v>
      </c>
      <c r="B14" s="9">
        <v>646711878</v>
      </c>
      <c r="C14" s="9">
        <v>208550500</v>
      </c>
      <c r="D14" s="10">
        <v>0.32247822731346215</v>
      </c>
      <c r="I14" s="7">
        <v>4086</v>
      </c>
      <c r="J14" s="9">
        <v>1638295019</v>
      </c>
      <c r="K14" s="9">
        <v>639165800</v>
      </c>
      <c r="L14" s="10">
        <v>0.39014084312490971</v>
      </c>
    </row>
    <row r="15" spans="1:12" ht="14.4">
      <c r="A15" s="7">
        <v>4087</v>
      </c>
      <c r="B15" s="9">
        <v>30418113</v>
      </c>
      <c r="C15" s="9">
        <v>13737800</v>
      </c>
      <c r="D15" s="10">
        <v>0.45163222320858626</v>
      </c>
      <c r="I15" s="7">
        <v>4087</v>
      </c>
      <c r="J15" s="9">
        <v>83544693</v>
      </c>
      <c r="K15" s="9">
        <v>38744700</v>
      </c>
      <c r="L15" s="10">
        <v>0.46376015769188356</v>
      </c>
    </row>
    <row r="16" spans="1:12" ht="14.4">
      <c r="A16" s="7">
        <v>4089</v>
      </c>
      <c r="B16" s="9">
        <v>3594871</v>
      </c>
      <c r="C16" s="9">
        <v>1411200</v>
      </c>
      <c r="D16" s="10">
        <v>0.39255928794106937</v>
      </c>
      <c r="I16" s="7">
        <v>4089</v>
      </c>
      <c r="J16" s="9">
        <v>3349897</v>
      </c>
      <c r="K16" s="9">
        <v>1278000</v>
      </c>
      <c r="L16" s="10">
        <v>0.38150426714612418</v>
      </c>
    </row>
    <row r="17" spans="1:12" ht="14.4">
      <c r="A17" s="7">
        <v>4091</v>
      </c>
      <c r="B17" s="9">
        <v>4125717</v>
      </c>
      <c r="C17" s="9">
        <v>836800</v>
      </c>
      <c r="D17" s="10">
        <v>0.20282535132681179</v>
      </c>
      <c r="I17" s="7">
        <v>4091</v>
      </c>
      <c r="J17" s="9">
        <v>7128080</v>
      </c>
      <c r="K17" s="9">
        <v>2050500</v>
      </c>
      <c r="L17" s="10">
        <v>0.28766512160357349</v>
      </c>
    </row>
    <row r="18" spans="1:12" ht="14.4">
      <c r="A18" s="7">
        <v>4101</v>
      </c>
      <c r="B18" s="9">
        <v>5446439</v>
      </c>
      <c r="C18" s="9">
        <v>1190900</v>
      </c>
      <c r="D18" s="10">
        <v>0.21865663050664846</v>
      </c>
      <c r="I18" s="7">
        <v>4101</v>
      </c>
      <c r="J18" s="9">
        <v>12865679</v>
      </c>
      <c r="K18" s="9">
        <v>4041600</v>
      </c>
      <c r="L18" s="10">
        <v>0.31413810339897336</v>
      </c>
    </row>
    <row r="19" spans="1:12" ht="14.4">
      <c r="A19" s="7">
        <v>4116</v>
      </c>
      <c r="B19" s="9">
        <v>16830021</v>
      </c>
      <c r="C19" s="9">
        <v>6664300</v>
      </c>
      <c r="D19" s="10">
        <v>0.39597692718268146</v>
      </c>
      <c r="I19" s="7">
        <v>4116</v>
      </c>
      <c r="J19" s="9">
        <v>135231346</v>
      </c>
      <c r="K19" s="9">
        <v>64988900</v>
      </c>
      <c r="L19" s="10">
        <v>0.48057570912590042</v>
      </c>
    </row>
    <row r="20" spans="1:12" ht="14.4">
      <c r="A20" s="7">
        <v>4117</v>
      </c>
      <c r="B20" s="9">
        <v>15612980</v>
      </c>
      <c r="C20" s="9">
        <v>4771800</v>
      </c>
      <c r="D20" s="10">
        <v>0.30563031528894546</v>
      </c>
      <c r="I20" s="7">
        <v>3363</v>
      </c>
      <c r="J20" s="9">
        <v>28547556</v>
      </c>
      <c r="K20" s="9">
        <v>8442700</v>
      </c>
      <c r="L20" s="10">
        <v>0.29574160393975585</v>
      </c>
    </row>
    <row r="21" spans="1:12" ht="14.4">
      <c r="A21" s="7">
        <v>4122</v>
      </c>
      <c r="B21" s="9">
        <v>1232173</v>
      </c>
      <c r="C21" s="9">
        <v>437300</v>
      </c>
      <c r="D21" s="10">
        <v>0.3549014627004487</v>
      </c>
      <c r="I21" s="7" t="s">
        <v>2005</v>
      </c>
      <c r="J21" s="9"/>
      <c r="K21" s="9"/>
      <c r="L21" s="10" t="e">
        <v>#DIV/0!</v>
      </c>
    </row>
    <row r="22" spans="1:12" ht="14.4">
      <c r="A22" s="7">
        <v>4145</v>
      </c>
      <c r="B22" s="9">
        <v>55357123</v>
      </c>
      <c r="C22" s="9">
        <v>29307400</v>
      </c>
      <c r="D22" s="10">
        <v>0.5294241899095804</v>
      </c>
      <c r="I22" s="7" t="s">
        <v>1103</v>
      </c>
      <c r="J22" s="9">
        <v>4970146516</v>
      </c>
      <c r="K22" s="9">
        <v>2047105700</v>
      </c>
      <c r="L22" s="10">
        <v>0.41188035270387185</v>
      </c>
    </row>
    <row r="23" spans="1:4" ht="14.4">
      <c r="A23" s="7" t="s">
        <v>2005</v>
      </c>
      <c r="B23" s="9"/>
      <c r="C23" s="9"/>
      <c r="D23" s="10" t="e">
        <v>#DIV/0!</v>
      </c>
    </row>
    <row r="24" spans="1:4" ht="14.4">
      <c r="A24" s="7" t="s">
        <v>1103</v>
      </c>
      <c r="B24" s="9">
        <v>1657372693</v>
      </c>
      <c r="C24" s="9">
        <v>553715500</v>
      </c>
      <c r="D24" s="10">
        <v>0.33409232717459764</v>
      </c>
    </row>
  </sheetData>
  <sheetProtection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fbb550eb-01db-4400-b3ac-e3d500b89cb7}">
  <sheetPr codeName="Sheet4"/>
  <dimension ref="A7:D41"/>
  <sheetViews>
    <sheetView workbookViewId="0" topLeftCell="A1">
      <selection pane="topLeft" activeCell="M6" sqref="M6"/>
    </sheetView>
  </sheetViews>
  <sheetFormatPr defaultColWidth="9.142857142857142" defaultRowHeight="14.4"/>
  <cols>
    <col min="1" max="1" width="15.428571428571429" customWidth="1"/>
    <col min="2" max="3" width="17.714285714285715" customWidth="1"/>
    <col min="4" max="4" width="16.571428571428573" customWidth="1"/>
  </cols>
  <sheetData>
    <row r="7" spans="1:4" ht="14.4">
      <c r="A7" t="s">
        <v>1998</v>
      </c>
      <c r="B7" t="s">
        <v>1999</v>
      </c>
      <c r="C7" t="s">
        <v>2000</v>
      </c>
      <c r="D7" t="s">
        <v>2001</v>
      </c>
    </row>
    <row r="8" spans="1:4" ht="14.4">
      <c r="A8" s="31">
        <v>0</v>
      </c>
      <c r="B8" s="32">
        <v>0</v>
      </c>
      <c r="C8" s="32">
        <v>0</v>
      </c>
      <c r="D8" s="32">
        <v>0</v>
      </c>
    </row>
    <row r="9" spans="1:4" ht="14.4">
      <c r="A9" s="31">
        <v>0.10</v>
      </c>
      <c r="B9" s="32">
        <v>795302305.08000004</v>
      </c>
      <c r="C9" s="32">
        <v>198884723.16</v>
      </c>
      <c r="D9" s="32">
        <v>596417581.91999996</v>
      </c>
    </row>
    <row r="10" spans="1:4" ht="14.4">
      <c r="A10" s="31">
        <v>0.20</v>
      </c>
      <c r="B10" s="32">
        <v>1590604610.1600001</v>
      </c>
      <c r="C10" s="32">
        <v>397769446.31999999</v>
      </c>
      <c r="D10" s="32">
        <v>1192835163.8399999</v>
      </c>
    </row>
    <row r="11" spans="1:4" ht="14.4">
      <c r="A11" s="31">
        <v>0.30</v>
      </c>
      <c r="B11" s="32">
        <v>2385906915.2399998</v>
      </c>
      <c r="C11" s="32">
        <v>596654169.48000002</v>
      </c>
      <c r="D11" s="32">
        <v>1789252745.76</v>
      </c>
    </row>
    <row r="12" spans="1:4" ht="14.4">
      <c r="A12" s="31">
        <v>0.40</v>
      </c>
      <c r="B12" s="32">
        <v>3181209220.3200002</v>
      </c>
      <c r="C12" s="32">
        <v>795538892.63999999</v>
      </c>
      <c r="D12" s="32">
        <v>2385670327.6799998</v>
      </c>
    </row>
    <row r="13" spans="1:4" ht="14.4">
      <c r="A13" s="31">
        <v>0.5</v>
      </c>
      <c r="B13" s="32">
        <v>3976511525.4000001</v>
      </c>
      <c r="C13" s="32">
        <v>994423615.79999995</v>
      </c>
      <c r="D13" s="32">
        <v>2982087909.5999999</v>
      </c>
    </row>
    <row r="14" spans="1:4" ht="14.4">
      <c r="A14" s="31">
        <v>0.60</v>
      </c>
      <c r="B14" s="32">
        <v>4771813830.4799995</v>
      </c>
      <c r="C14" s="32">
        <v>1193308338.96</v>
      </c>
      <c r="D14" s="32">
        <v>3578505491.52</v>
      </c>
    </row>
    <row r="15" spans="1:4" ht="14.4">
      <c r="A15" s="31">
        <v>0.70</v>
      </c>
      <c r="B15" s="32">
        <v>5567116135.5600004</v>
      </c>
      <c r="C15" s="32">
        <v>1392193062.1199999</v>
      </c>
      <c r="D15" s="32">
        <v>4174923073.4400001</v>
      </c>
    </row>
    <row r="16" spans="1:4" ht="14.4">
      <c r="A16" s="31">
        <v>0.80</v>
      </c>
      <c r="B16" s="32">
        <v>6362418440.6400003</v>
      </c>
      <c r="C16" s="32">
        <v>1591077785.28</v>
      </c>
      <c r="D16" s="32">
        <v>4771340655.3599997</v>
      </c>
    </row>
    <row r="17" spans="1:4" ht="14.4">
      <c r="A17" s="31">
        <v>0.90</v>
      </c>
      <c r="B17" s="32">
        <v>7157720745.7200003</v>
      </c>
      <c r="C17" s="32">
        <v>1789962508.4400001</v>
      </c>
      <c r="D17" s="32">
        <v>5367758237.2799997</v>
      </c>
    </row>
    <row r="18" spans="1:4" ht="14.4">
      <c r="A18" s="31">
        <v>1</v>
      </c>
      <c r="B18" s="32">
        <v>7953023050.8000002</v>
      </c>
      <c r="C18" s="32">
        <v>1988847231.5999999</v>
      </c>
      <c r="D18" s="32">
        <v>5964175819.1999998</v>
      </c>
    </row>
    <row r="20" spans="1:4" ht="14.4">
      <c r="A20" t="s">
        <v>2002</v>
      </c>
      <c r="B20" t="s">
        <v>1999</v>
      </c>
      <c r="C20" t="s">
        <v>2000</v>
      </c>
      <c r="D20" t="s">
        <v>2003</v>
      </c>
    </row>
    <row r="21" spans="1:4" ht="14.4">
      <c r="A21" s="31">
        <v>0</v>
      </c>
      <c r="B21" s="32">
        <v>0</v>
      </c>
      <c r="C21" s="32">
        <v>0</v>
      </c>
      <c r="D21" s="32">
        <v>0</v>
      </c>
    </row>
    <row r="22" spans="1:4" ht="14.4">
      <c r="A22" s="31">
        <v>0.25</v>
      </c>
      <c r="B22" s="32">
        <v>994127881.35000002</v>
      </c>
      <c r="C22" s="32">
        <v>248605903.94999999</v>
      </c>
      <c r="D22" s="32">
        <v>745521977.39999998</v>
      </c>
    </row>
    <row r="23" spans="1:4" ht="14.4">
      <c r="A23" s="31">
        <v>0.5</v>
      </c>
      <c r="B23" s="32">
        <v>1988255762.7</v>
      </c>
      <c r="C23" s="32">
        <v>497211807.89999998</v>
      </c>
      <c r="D23" s="32">
        <v>1491043954.8</v>
      </c>
    </row>
    <row r="24" spans="1:4" ht="14.4">
      <c r="A24" s="31">
        <v>0.75</v>
      </c>
      <c r="B24" s="32">
        <v>2982383644.0500002</v>
      </c>
      <c r="C24" s="32">
        <v>745817711.85000002</v>
      </c>
      <c r="D24" s="32">
        <v>2236565932.1999998</v>
      </c>
    </row>
    <row r="25" spans="1:4" ht="14.4">
      <c r="A25" s="31">
        <v>1</v>
      </c>
      <c r="B25" s="32">
        <v>3976511525.4000001</v>
      </c>
      <c r="C25" s="32">
        <v>994423615.79999995</v>
      </c>
      <c r="D25" s="32">
        <v>2982087909.5999999</v>
      </c>
    </row>
    <row r="26" spans="1:4" ht="14.4">
      <c r="A26" s="31">
        <v>1.25</v>
      </c>
      <c r="B26" s="32">
        <v>4970639406.75</v>
      </c>
      <c r="C26" s="32">
        <v>1243029519.75</v>
      </c>
      <c r="D26" s="32">
        <v>3727609887</v>
      </c>
    </row>
    <row r="27" spans="1:4" ht="14.4">
      <c r="A27" s="31">
        <v>1.5</v>
      </c>
      <c r="B27" s="32">
        <v>5964767288.1000004</v>
      </c>
      <c r="C27" s="32">
        <v>1491635423.7</v>
      </c>
      <c r="D27" s="32">
        <v>4473131864.3999996</v>
      </c>
    </row>
    <row r="28" spans="1:4" ht="14.4">
      <c r="A28" s="31">
        <v>1.75</v>
      </c>
      <c r="B28" s="32">
        <v>6958895169.4499998</v>
      </c>
      <c r="C28" s="32">
        <v>1740241327.6500001</v>
      </c>
      <c r="D28" s="32">
        <v>5218653841.8000002</v>
      </c>
    </row>
    <row r="29" spans="1:4" ht="14.4">
      <c r="A29" s="31">
        <v>2</v>
      </c>
      <c r="B29" s="32">
        <v>7953023050.8000002</v>
      </c>
      <c r="C29" s="32">
        <v>1988847231.5999999</v>
      </c>
      <c r="D29" s="32">
        <v>5964175819.1999998</v>
      </c>
    </row>
    <row r="30" spans="1:4" ht="14.4">
      <c r="A30" s="31">
        <v>2.25</v>
      </c>
      <c r="B30" s="32">
        <v>8947150932.1499996</v>
      </c>
      <c r="C30" s="32">
        <v>2237453135.5500002</v>
      </c>
      <c r="D30" s="32">
        <v>6709697796.6000004</v>
      </c>
    </row>
    <row r="31" spans="1:4" ht="14.4">
      <c r="A31" s="31">
        <v>2.5</v>
      </c>
      <c r="B31" s="32">
        <v>9941278813.5</v>
      </c>
      <c r="C31" s="32">
        <v>2486059039.5</v>
      </c>
      <c r="D31" s="32">
        <v>7455219774</v>
      </c>
    </row>
    <row r="32" spans="1:4" ht="14.4">
      <c r="A32" s="31">
        <v>2.75</v>
      </c>
      <c r="B32" s="32">
        <v>10935406694.85</v>
      </c>
      <c r="C32" s="32">
        <v>2734664943.4499998</v>
      </c>
      <c r="D32" s="32">
        <v>8200741751.3999996</v>
      </c>
    </row>
    <row r="33" spans="1:4" ht="14.4">
      <c r="A33" s="31">
        <v>3</v>
      </c>
      <c r="B33" s="32">
        <v>11929534576.200001</v>
      </c>
      <c r="C33" s="32">
        <v>2983270847.4000001</v>
      </c>
      <c r="D33" s="32">
        <v>8946263728.7999992</v>
      </c>
    </row>
    <row r="34" spans="1:4" ht="14.4">
      <c r="A34" s="31">
        <v>3.25</v>
      </c>
      <c r="B34" s="32">
        <v>12923662457.549999</v>
      </c>
      <c r="C34" s="32">
        <v>3231876751.3499999</v>
      </c>
      <c r="D34" s="32">
        <v>9691785706.2000008</v>
      </c>
    </row>
    <row r="35" spans="1:4" ht="14.4">
      <c r="A35" s="31">
        <v>3.5</v>
      </c>
      <c r="B35" s="32">
        <v>13917790338.9</v>
      </c>
      <c r="C35" s="32">
        <v>3480482655.3000002</v>
      </c>
      <c r="D35" s="32">
        <v>10437307683.6</v>
      </c>
    </row>
    <row r="36" spans="1:4" ht="14.4">
      <c r="A36" s="31">
        <v>3.75</v>
      </c>
      <c r="B36" s="32">
        <v>14911918220.25</v>
      </c>
      <c r="C36" s="32">
        <v>3729088559.25</v>
      </c>
      <c r="D36" s="32">
        <v>11182829661</v>
      </c>
    </row>
    <row r="37" spans="1:4" ht="14.4">
      <c r="A37" s="31">
        <v>4</v>
      </c>
      <c r="B37" s="32">
        <v>15906046101.6</v>
      </c>
      <c r="C37" s="32">
        <v>3977694463.1999998</v>
      </c>
      <c r="D37" s="32">
        <v>11928351638.4</v>
      </c>
    </row>
    <row r="38" spans="1:4" ht="14.4">
      <c r="A38" s="31">
        <v>4.25</v>
      </c>
      <c r="B38" s="32">
        <v>16900173982.950001</v>
      </c>
      <c r="C38" s="32">
        <v>4226300367.1500001</v>
      </c>
      <c r="D38" s="32">
        <v>12673873615.799999</v>
      </c>
    </row>
    <row r="39" spans="1:4" ht="14.4">
      <c r="A39" s="31">
        <v>4.5</v>
      </c>
      <c r="B39" s="32">
        <v>17894301864.299999</v>
      </c>
      <c r="C39" s="32">
        <v>4474906271.1000004</v>
      </c>
      <c r="D39" s="32">
        <v>13419395593.200001</v>
      </c>
    </row>
    <row r="40" spans="1:4" ht="14.4">
      <c r="A40" s="31">
        <v>4.75</v>
      </c>
      <c r="B40" s="32">
        <v>18888429745.650002</v>
      </c>
      <c r="C40" s="32">
        <v>4723512175.0500002</v>
      </c>
      <c r="D40" s="32">
        <v>14164917570.6</v>
      </c>
    </row>
    <row r="41" spans="1:4" ht="14.4" thickBot="1">
      <c r="A41" s="31">
        <v>5</v>
      </c>
      <c r="B41" s="32">
        <v>19882557627</v>
      </c>
      <c r="C41" s="32">
        <v>4972118079</v>
      </c>
      <c r="D41" s="32">
        <v>14910439548</v>
      </c>
    </row>
  </sheetData>
  <sheetProtection/>
  <pageMargins left="0.7" right="0.7" top="0.75" bottom="0.75" header="0.3" footer="0.3"/>
  <drawing r:id="rId5"/>
  <legacyDrawing r:id="rId6"/>
  <controls>
    <mc:AlternateContent xmlns:mc="http://schemas.openxmlformats.org/markup-compatibility/2006">
      <mc:Choice Requires="x14">
        <control shapeId="3074" r:id="rId2" name="CommandButton1">
          <controlPr defaultSize="0" autoLine="0" r:id="rId1">
            <anchor moveWithCells="1">
              <from>
                <xdr:col>0</xdr:col>
                <xdr:colOff>335280</xdr:colOff>
                <xdr:row>1</xdr:row>
                <xdr:rowOff>137160</xdr:rowOff>
              </from>
              <to>
                <xdr:col>2</xdr:col>
                <xdr:colOff>236220</xdr:colOff>
                <xdr:row>4</xdr:row>
                <xdr:rowOff>152400</xdr:rowOff>
              </to>
            </anchor>
          </controlPr>
        </control>
      </mc:Choice>
      <mc:Fallback>
        <control shapeId="3074" r:id="rId2" name="CommandButton1"/>
      </mc:Fallback>
    </mc:AlternateContent>
    <mc:AlternateContent xmlns:mc="http://schemas.openxmlformats.org/markup-compatibility/2006">
      <mc:Choice Requires="x14">
        <control shapeId="3075" r:id="rId4" name="CommandButton2">
          <controlPr defaultSize="0" autoLine="0" r:id="rId3">
            <anchor moveWithCells="1">
              <from>
                <xdr:col>2</xdr:col>
                <xdr:colOff>1165860</xdr:colOff>
                <xdr:row>1</xdr:row>
                <xdr:rowOff>137160</xdr:rowOff>
              </from>
              <to>
                <xdr:col>3</xdr:col>
                <xdr:colOff>708660</xdr:colOff>
                <xdr:row>4</xdr:row>
                <xdr:rowOff>60960</xdr:rowOff>
              </to>
            </anchor>
          </controlPr>
        </control>
      </mc:Choice>
      <mc:Fallback>
        <control shapeId="3075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2701dc71-43f7-43c7-a5a7-86c09d78079f}">
  <sheetPr codeName="Sheet2"/>
  <dimension ref="A1:O1618"/>
  <sheetViews>
    <sheetView workbookViewId="0" topLeftCell="A1">
      <selection pane="topLeft" activeCell="A1" sqref="A1:N1621"/>
    </sheetView>
  </sheetViews>
  <sheetFormatPr defaultColWidth="9.142857142857142" defaultRowHeight="14.4"/>
  <sheetData>
    <row r="1" spans="1:14" ht="17.4">
      <c r="A1" s="1" t="s">
        <v>0</v>
      </c>
      <c r="B1" s="2"/>
      <c r="C1" s="2"/>
      <c r="D1" s="2"/>
      <c r="E1" s="2"/>
      <c r="F1" s="2"/>
      <c r="G1" s="2"/>
      <c r="H1" s="2" t="s">
        <v>1</v>
      </c>
      <c r="I1" s="2"/>
      <c r="J1" s="2"/>
      <c r="K1" s="2"/>
      <c r="L1" s="2"/>
      <c r="M1" s="2"/>
      <c r="N1" s="2"/>
    </row>
    <row r="2" spans="1:14" ht="14.4">
      <c r="A2" s="2"/>
      <c r="B2" s="2"/>
      <c r="C2" s="2"/>
      <c r="D2" s="2"/>
      <c r="E2" s="2"/>
      <c r="F2" s="2"/>
      <c r="G2" s="2"/>
      <c r="H2" s="2" t="s">
        <v>2</v>
      </c>
      <c r="I2" s="2"/>
      <c r="J2" s="2"/>
      <c r="K2" s="2"/>
      <c r="L2" s="2"/>
      <c r="M2" s="2"/>
      <c r="N2" s="2"/>
    </row>
    <row r="3" spans="1:14" ht="14.4">
      <c r="A3" s="3" t="s">
        <v>3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5" ht="14.4">
      <c r="A4" s="3" t="s">
        <v>4</v>
      </c>
      <c r="B4" s="3" t="s">
        <v>5</v>
      </c>
      <c r="C4" s="3" t="s">
        <v>6</v>
      </c>
      <c r="D4" s="3" t="s">
        <v>7</v>
      </c>
      <c r="E4" s="3" t="s">
        <v>8</v>
      </c>
      <c r="F4" s="3" t="s">
        <v>9</v>
      </c>
      <c r="G4" s="3" t="s">
        <v>10</v>
      </c>
      <c r="H4" s="3" t="s">
        <v>11</v>
      </c>
      <c r="I4" s="3" t="s">
        <v>12</v>
      </c>
      <c r="J4" s="3" t="s">
        <v>13</v>
      </c>
      <c r="K4" s="3" t="s">
        <v>14</v>
      </c>
      <c r="L4" s="3" t="s">
        <v>15</v>
      </c>
      <c r="M4" s="3" t="s">
        <v>16</v>
      </c>
      <c r="N4" s="3" t="s">
        <v>17</v>
      </c>
      <c r="O4" s="3"/>
    </row>
    <row r="5" spans="1:14" ht="14.4">
      <c r="A5" s="3">
        <v>13365</v>
      </c>
      <c r="B5" s="3">
        <v>13366</v>
      </c>
      <c r="C5" s="3">
        <v>4085</v>
      </c>
      <c r="D5" s="3" t="s">
        <v>18</v>
      </c>
      <c r="E5" s="3" t="s">
        <v>19</v>
      </c>
      <c r="F5" s="3">
        <v>11507</v>
      </c>
      <c r="G5" s="3" t="s">
        <v>20</v>
      </c>
      <c r="H5" s="3" t="s">
        <v>21</v>
      </c>
      <c r="I5" s="3">
        <v>51955</v>
      </c>
      <c r="J5" s="3">
        <v>42355</v>
      </c>
      <c r="K5" s="3">
        <v>9600</v>
      </c>
      <c r="L5" s="3">
        <v>50400</v>
      </c>
      <c r="M5" s="3">
        <v>0</v>
      </c>
      <c r="N5" s="3">
        <v>0</v>
      </c>
    </row>
    <row r="6" spans="1:14" ht="14.4">
      <c r="A6" s="3">
        <v>13365</v>
      </c>
      <c r="B6" s="3">
        <v>13366</v>
      </c>
      <c r="C6" s="3">
        <v>4085</v>
      </c>
      <c r="D6" s="3" t="s">
        <v>18</v>
      </c>
      <c r="E6" s="3" t="s">
        <v>22</v>
      </c>
      <c r="F6" s="3">
        <v>11701</v>
      </c>
      <c r="G6" s="3" t="s">
        <v>23</v>
      </c>
      <c r="H6" s="3" t="s">
        <v>21</v>
      </c>
      <c r="I6" s="3">
        <v>471587</v>
      </c>
      <c r="J6" s="3">
        <v>407182</v>
      </c>
      <c r="K6" s="3">
        <v>64405</v>
      </c>
      <c r="L6" s="3">
        <v>175300</v>
      </c>
      <c r="M6" s="3">
        <v>105400</v>
      </c>
      <c r="N6" s="3">
        <v>55700</v>
      </c>
    </row>
    <row r="7" spans="1:14" ht="14.4">
      <c r="A7" s="3">
        <v>13365</v>
      </c>
      <c r="B7" s="3">
        <v>13366</v>
      </c>
      <c r="C7" s="3">
        <v>4085</v>
      </c>
      <c r="D7" s="3" t="s">
        <v>18</v>
      </c>
      <c r="E7" s="3" t="s">
        <v>24</v>
      </c>
      <c r="F7" s="3">
        <v>11701</v>
      </c>
      <c r="G7" s="3" t="s">
        <v>23</v>
      </c>
      <c r="H7" s="3" t="s">
        <v>21</v>
      </c>
      <c r="I7" s="3">
        <v>0</v>
      </c>
      <c r="J7" s="3">
        <v>0</v>
      </c>
      <c r="K7" s="3">
        <v>0</v>
      </c>
      <c r="L7" s="3">
        <v>18500</v>
      </c>
      <c r="M7" s="3">
        <v>0</v>
      </c>
      <c r="N7" s="3">
        <v>0</v>
      </c>
    </row>
    <row r="8" spans="1:14" ht="14.4">
      <c r="A8" s="3">
        <v>13365</v>
      </c>
      <c r="B8" s="3">
        <v>13366</v>
      </c>
      <c r="C8" s="3">
        <v>4085</v>
      </c>
      <c r="D8" s="3" t="s">
        <v>18</v>
      </c>
      <c r="E8" s="3" t="s">
        <v>25</v>
      </c>
      <c r="F8" s="3">
        <v>11701</v>
      </c>
      <c r="G8" s="3" t="s">
        <v>20</v>
      </c>
      <c r="H8" s="3" t="s">
        <v>21</v>
      </c>
      <c r="I8" s="3">
        <v>27812</v>
      </c>
      <c r="J8" s="3">
        <v>16712</v>
      </c>
      <c r="K8" s="3">
        <v>11100</v>
      </c>
      <c r="L8" s="3">
        <v>0</v>
      </c>
      <c r="M8" s="3">
        <v>0</v>
      </c>
      <c r="N8" s="3">
        <v>0</v>
      </c>
    </row>
    <row r="9" spans="1:14" ht="14.4">
      <c r="A9" s="3">
        <v>13365</v>
      </c>
      <c r="B9" s="3">
        <v>13366</v>
      </c>
      <c r="C9" s="3">
        <v>4085</v>
      </c>
      <c r="D9" s="3" t="s">
        <v>18</v>
      </c>
      <c r="E9" s="3" t="s">
        <v>25</v>
      </c>
      <c r="F9" s="3">
        <v>11701</v>
      </c>
      <c r="G9" s="3" t="s">
        <v>23</v>
      </c>
      <c r="H9" s="3" t="s">
        <v>21</v>
      </c>
      <c r="I9" s="3">
        <v>4205242</v>
      </c>
      <c r="J9" s="3">
        <v>3300857</v>
      </c>
      <c r="K9" s="3">
        <v>904385</v>
      </c>
      <c r="L9" s="3">
        <v>1552600</v>
      </c>
      <c r="M9" s="3">
        <v>899400</v>
      </c>
      <c r="N9" s="3">
        <v>279900</v>
      </c>
    </row>
    <row r="10" spans="1:14" ht="14.4">
      <c r="A10" s="3">
        <v>13365</v>
      </c>
      <c r="B10" s="3">
        <v>13366</v>
      </c>
      <c r="C10" s="3">
        <v>4085</v>
      </c>
      <c r="D10" s="3" t="s">
        <v>18</v>
      </c>
      <c r="E10" s="3" t="s">
        <v>26</v>
      </c>
      <c r="F10" s="3">
        <v>11931</v>
      </c>
      <c r="G10" s="3" t="s">
        <v>23</v>
      </c>
      <c r="H10" s="3" t="s">
        <v>21</v>
      </c>
      <c r="I10" s="3">
        <v>66164</v>
      </c>
      <c r="J10" s="3">
        <v>66164</v>
      </c>
      <c r="K10" s="3">
        <v>0</v>
      </c>
      <c r="L10" s="3">
        <v>66200</v>
      </c>
      <c r="M10" s="3">
        <v>66200</v>
      </c>
      <c r="N10" s="3">
        <v>0</v>
      </c>
    </row>
    <row r="11" spans="1:14" ht="14.4">
      <c r="A11" s="3">
        <v>13365</v>
      </c>
      <c r="B11" s="3">
        <v>13366</v>
      </c>
      <c r="C11" s="3">
        <v>4085</v>
      </c>
      <c r="D11" s="3" t="s">
        <v>18</v>
      </c>
      <c r="E11" s="3" t="s">
        <v>27</v>
      </c>
      <c r="F11" s="3">
        <v>11692</v>
      </c>
      <c r="G11" s="3" t="s">
        <v>28</v>
      </c>
      <c r="H11" s="3" t="s">
        <v>21</v>
      </c>
      <c r="I11" s="3">
        <v>43178</v>
      </c>
      <c r="J11" s="3">
        <v>43178</v>
      </c>
      <c r="K11" s="3">
        <v>0</v>
      </c>
      <c r="L11" s="3">
        <v>0</v>
      </c>
      <c r="M11" s="3">
        <v>0</v>
      </c>
      <c r="N11" s="3">
        <v>0</v>
      </c>
    </row>
    <row r="12" spans="1:14" ht="14.4">
      <c r="A12" s="3">
        <v>13365</v>
      </c>
      <c r="B12" s="3">
        <v>13366</v>
      </c>
      <c r="C12" s="3">
        <v>4085</v>
      </c>
      <c r="D12" s="3" t="s">
        <v>18</v>
      </c>
      <c r="E12" s="3" t="s">
        <v>29</v>
      </c>
      <c r="F12" s="3">
        <v>11520</v>
      </c>
      <c r="G12" s="3" t="s">
        <v>28</v>
      </c>
      <c r="H12" s="3" t="s">
        <v>21</v>
      </c>
      <c r="I12" s="3">
        <v>59192</v>
      </c>
      <c r="J12" s="3">
        <v>57092</v>
      </c>
      <c r="K12" s="3">
        <v>2100</v>
      </c>
      <c r="L12" s="3">
        <v>0</v>
      </c>
      <c r="M12" s="3">
        <v>0</v>
      </c>
      <c r="N12" s="3">
        <v>0</v>
      </c>
    </row>
    <row r="13" spans="1:14" ht="14.4">
      <c r="A13" s="3">
        <v>13365</v>
      </c>
      <c r="B13" s="3">
        <v>13366</v>
      </c>
      <c r="C13" s="3">
        <v>4085</v>
      </c>
      <c r="D13" s="3" t="s">
        <v>18</v>
      </c>
      <c r="E13" s="3" t="s">
        <v>29</v>
      </c>
      <c r="F13" s="3">
        <v>11692</v>
      </c>
      <c r="G13" s="3" t="s">
        <v>28</v>
      </c>
      <c r="H13" s="3" t="s">
        <v>21</v>
      </c>
      <c r="I13" s="3">
        <v>11695230</v>
      </c>
      <c r="J13" s="3">
        <v>6784459</v>
      </c>
      <c r="K13" s="3">
        <v>4910771</v>
      </c>
      <c r="L13" s="3">
        <v>4044000</v>
      </c>
      <c r="M13" s="3">
        <v>2735900</v>
      </c>
      <c r="N13" s="3">
        <v>994200</v>
      </c>
    </row>
    <row r="14" spans="1:14" ht="14.4">
      <c r="A14" s="3">
        <v>13365</v>
      </c>
      <c r="B14" s="3">
        <v>13366</v>
      </c>
      <c r="C14" s="3">
        <v>4085</v>
      </c>
      <c r="D14" s="3" t="s">
        <v>18</v>
      </c>
      <c r="E14" s="3" t="s">
        <v>30</v>
      </c>
      <c r="F14" s="3">
        <v>11101</v>
      </c>
      <c r="G14" s="3" t="s">
        <v>28</v>
      </c>
      <c r="H14" s="3" t="s">
        <v>21</v>
      </c>
      <c r="I14" s="3">
        <v>13920</v>
      </c>
      <c r="J14" s="3">
        <v>13920</v>
      </c>
      <c r="K14" s="3">
        <v>0</v>
      </c>
      <c r="L14" s="3">
        <v>0</v>
      </c>
      <c r="M14" s="3">
        <v>0</v>
      </c>
      <c r="N14" s="3">
        <v>0</v>
      </c>
    </row>
    <row r="15" spans="1:14" ht="14.4">
      <c r="A15" s="3">
        <v>13365</v>
      </c>
      <c r="B15" s="3">
        <v>13366</v>
      </c>
      <c r="C15" s="3">
        <v>4085</v>
      </c>
      <c r="D15" s="3" t="s">
        <v>18</v>
      </c>
      <c r="E15" s="3" t="s">
        <v>30</v>
      </c>
      <c r="F15" s="3">
        <v>11102</v>
      </c>
      <c r="G15" s="3" t="s">
        <v>28</v>
      </c>
      <c r="H15" s="3" t="s">
        <v>21</v>
      </c>
      <c r="I15" s="3">
        <v>515505</v>
      </c>
      <c r="J15" s="3">
        <v>111031</v>
      </c>
      <c r="K15" s="3">
        <v>404474</v>
      </c>
      <c r="L15" s="3">
        <v>47800</v>
      </c>
      <c r="M15" s="3">
        <v>0</v>
      </c>
      <c r="N15" s="3">
        <v>47800</v>
      </c>
    </row>
    <row r="16" spans="1:14" ht="14.4">
      <c r="A16" s="3">
        <v>13365</v>
      </c>
      <c r="B16" s="3">
        <v>13366</v>
      </c>
      <c r="C16" s="3">
        <v>4085</v>
      </c>
      <c r="D16" s="3" t="s">
        <v>18</v>
      </c>
      <c r="E16" s="3" t="s">
        <v>30</v>
      </c>
      <c r="F16" s="3">
        <v>11105</v>
      </c>
      <c r="G16" s="3" t="s">
        <v>28</v>
      </c>
      <c r="H16" s="3" t="s">
        <v>21</v>
      </c>
      <c r="I16" s="3">
        <v>3740</v>
      </c>
      <c r="J16" s="3">
        <v>0</v>
      </c>
      <c r="K16" s="3">
        <v>3740</v>
      </c>
      <c r="L16" s="3">
        <v>0</v>
      </c>
      <c r="M16" s="3">
        <v>0</v>
      </c>
      <c r="N16" s="3">
        <v>0</v>
      </c>
    </row>
    <row r="17" spans="1:14" ht="14.4">
      <c r="A17" s="3">
        <v>13365</v>
      </c>
      <c r="B17" s="3">
        <v>13366</v>
      </c>
      <c r="C17" s="3">
        <v>4085</v>
      </c>
      <c r="D17" s="3" t="s">
        <v>18</v>
      </c>
      <c r="E17" s="3" t="s">
        <v>30</v>
      </c>
      <c r="F17" s="3">
        <v>11106</v>
      </c>
      <c r="G17" s="3" t="s">
        <v>28</v>
      </c>
      <c r="H17" s="3" t="s">
        <v>21</v>
      </c>
      <c r="I17" s="3">
        <v>183325</v>
      </c>
      <c r="J17" s="3">
        <v>5075</v>
      </c>
      <c r="K17" s="3">
        <v>178250</v>
      </c>
      <c r="L17" s="3">
        <v>37600</v>
      </c>
      <c r="M17" s="3">
        <v>2200</v>
      </c>
      <c r="N17" s="3">
        <v>13100</v>
      </c>
    </row>
    <row r="18" spans="1:14" ht="14.4">
      <c r="A18" s="3">
        <v>13365</v>
      </c>
      <c r="B18" s="3">
        <v>13366</v>
      </c>
      <c r="C18" s="3">
        <v>4085</v>
      </c>
      <c r="D18" s="3" t="s">
        <v>18</v>
      </c>
      <c r="E18" s="3" t="s">
        <v>31</v>
      </c>
      <c r="F18" s="3">
        <v>11509</v>
      </c>
      <c r="G18" s="3" t="s">
        <v>20</v>
      </c>
      <c r="H18" s="3" t="s">
        <v>21</v>
      </c>
      <c r="I18" s="3">
        <v>4051405</v>
      </c>
      <c r="J18" s="3">
        <v>3435394</v>
      </c>
      <c r="K18" s="3">
        <v>616011</v>
      </c>
      <c r="L18" s="3">
        <v>1077500</v>
      </c>
      <c r="M18" s="3">
        <v>794500</v>
      </c>
      <c r="N18" s="3">
        <v>235200</v>
      </c>
    </row>
    <row r="19" spans="1:14" ht="14.4">
      <c r="A19" s="3">
        <v>13365</v>
      </c>
      <c r="B19" s="3">
        <v>13366</v>
      </c>
      <c r="C19" s="3">
        <v>4085</v>
      </c>
      <c r="D19" s="3" t="s">
        <v>18</v>
      </c>
      <c r="E19" s="3" t="s">
        <v>31</v>
      </c>
      <c r="F19" s="3">
        <v>11561</v>
      </c>
      <c r="G19" s="3" t="s">
        <v>20</v>
      </c>
      <c r="H19" s="3" t="s">
        <v>21</v>
      </c>
      <c r="I19" s="3">
        <v>121236</v>
      </c>
      <c r="J19" s="3">
        <v>94886</v>
      </c>
      <c r="K19" s="3">
        <v>26350</v>
      </c>
      <c r="L19" s="3">
        <v>0</v>
      </c>
      <c r="M19" s="3">
        <v>0</v>
      </c>
      <c r="N19" s="3">
        <v>0</v>
      </c>
    </row>
    <row r="20" spans="1:14" ht="14.4">
      <c r="A20" s="3">
        <v>13365</v>
      </c>
      <c r="B20" s="3">
        <v>13366</v>
      </c>
      <c r="C20" s="3">
        <v>4085</v>
      </c>
      <c r="D20" s="3" t="s">
        <v>18</v>
      </c>
      <c r="E20" s="3" t="s">
        <v>31</v>
      </c>
      <c r="F20" s="3">
        <v>11509</v>
      </c>
      <c r="G20" s="3" t="s">
        <v>32</v>
      </c>
      <c r="H20" s="3" t="s">
        <v>21</v>
      </c>
      <c r="I20" s="3">
        <v>2997417</v>
      </c>
      <c r="J20" s="3">
        <v>2859367</v>
      </c>
      <c r="K20" s="3">
        <v>138050</v>
      </c>
      <c r="L20" s="3">
        <v>2000000</v>
      </c>
      <c r="M20" s="3">
        <v>2000000</v>
      </c>
      <c r="N20" s="3">
        <v>0</v>
      </c>
    </row>
    <row r="21" spans="1:14" ht="14.4">
      <c r="A21" s="3">
        <v>13365</v>
      </c>
      <c r="B21" s="3">
        <v>13366</v>
      </c>
      <c r="C21" s="3">
        <v>4085</v>
      </c>
      <c r="D21" s="3" t="s">
        <v>18</v>
      </c>
      <c r="E21" s="3" t="s">
        <v>33</v>
      </c>
      <c r="F21" s="3">
        <v>11702</v>
      </c>
      <c r="G21" s="3" t="s">
        <v>23</v>
      </c>
      <c r="H21" s="3" t="s">
        <v>21</v>
      </c>
      <c r="I21" s="3">
        <v>7252526</v>
      </c>
      <c r="J21" s="3">
        <v>4914784</v>
      </c>
      <c r="K21" s="3">
        <v>2337742</v>
      </c>
      <c r="L21" s="3">
        <v>1673200</v>
      </c>
      <c r="M21" s="3">
        <v>727200</v>
      </c>
      <c r="N21" s="3">
        <v>433600</v>
      </c>
    </row>
    <row r="22" spans="1:14" ht="14.4">
      <c r="A22" s="3">
        <v>13365</v>
      </c>
      <c r="B22" s="3">
        <v>13366</v>
      </c>
      <c r="C22" s="3">
        <v>4085</v>
      </c>
      <c r="D22" s="3" t="s">
        <v>18</v>
      </c>
      <c r="E22" s="3" t="s">
        <v>34</v>
      </c>
      <c r="F22" s="3">
        <v>11510</v>
      </c>
      <c r="G22" s="3" t="s">
        <v>20</v>
      </c>
      <c r="H22" s="3" t="s">
        <v>21</v>
      </c>
      <c r="I22" s="3">
        <v>2211109</v>
      </c>
      <c r="J22" s="3">
        <v>1684453</v>
      </c>
      <c r="K22" s="3">
        <v>526656</v>
      </c>
      <c r="L22" s="3">
        <v>513600</v>
      </c>
      <c r="M22" s="3">
        <v>379000</v>
      </c>
      <c r="N22" s="3">
        <v>42600</v>
      </c>
    </row>
    <row r="23" spans="1:14" ht="14.4">
      <c r="A23" s="3">
        <v>13365</v>
      </c>
      <c r="B23" s="3">
        <v>13366</v>
      </c>
      <c r="C23" s="3">
        <v>4085</v>
      </c>
      <c r="D23" s="3" t="s">
        <v>18</v>
      </c>
      <c r="E23" s="3" t="s">
        <v>35</v>
      </c>
      <c r="F23" s="3">
        <v>11706</v>
      </c>
      <c r="G23" s="3" t="s">
        <v>23</v>
      </c>
      <c r="H23" s="3" t="s">
        <v>21</v>
      </c>
      <c r="I23" s="3">
        <v>2197394</v>
      </c>
      <c r="J23" s="3">
        <v>1401468</v>
      </c>
      <c r="K23" s="3">
        <v>795926</v>
      </c>
      <c r="L23" s="3">
        <v>653300</v>
      </c>
      <c r="M23" s="3">
        <v>258600</v>
      </c>
      <c r="N23" s="3">
        <v>123400</v>
      </c>
    </row>
    <row r="24" spans="1:14" ht="14.4">
      <c r="A24" s="3">
        <v>13365</v>
      </c>
      <c r="B24" s="3">
        <v>13366</v>
      </c>
      <c r="C24" s="3">
        <v>4085</v>
      </c>
      <c r="D24" s="3" t="s">
        <v>18</v>
      </c>
      <c r="E24" s="3" t="s">
        <v>36</v>
      </c>
      <c r="F24" s="3">
        <v>7002</v>
      </c>
      <c r="G24" s="3" t="s">
        <v>37</v>
      </c>
      <c r="H24" s="3" t="s">
        <v>38</v>
      </c>
      <c r="I24" s="3">
        <v>0</v>
      </c>
      <c r="J24" s="3">
        <v>0</v>
      </c>
      <c r="K24" s="3">
        <v>0</v>
      </c>
      <c r="L24" s="3">
        <v>240100</v>
      </c>
      <c r="M24" s="3">
        <v>0</v>
      </c>
      <c r="N24" s="3">
        <v>0</v>
      </c>
    </row>
    <row r="25" spans="1:14" ht="14.4">
      <c r="A25" s="3">
        <v>13365</v>
      </c>
      <c r="B25" s="3">
        <v>13366</v>
      </c>
      <c r="C25" s="3">
        <v>4085</v>
      </c>
      <c r="D25" s="3" t="s">
        <v>18</v>
      </c>
      <c r="E25" s="3" t="s">
        <v>39</v>
      </c>
      <c r="F25" s="3">
        <v>11706</v>
      </c>
      <c r="G25" s="3" t="s">
        <v>23</v>
      </c>
      <c r="H25" s="3" t="s">
        <v>21</v>
      </c>
      <c r="I25" s="3">
        <v>206723</v>
      </c>
      <c r="J25" s="3">
        <v>166841</v>
      </c>
      <c r="K25" s="3">
        <v>39882</v>
      </c>
      <c r="L25" s="3">
        <v>115300</v>
      </c>
      <c r="M25" s="3">
        <v>107400</v>
      </c>
      <c r="N25" s="3">
        <v>3700</v>
      </c>
    </row>
    <row r="26" spans="1:14" ht="14.4">
      <c r="A26" s="3">
        <v>13365</v>
      </c>
      <c r="B26" s="3">
        <v>13366</v>
      </c>
      <c r="C26" s="3">
        <v>4085</v>
      </c>
      <c r="D26" s="3" t="s">
        <v>18</v>
      </c>
      <c r="E26" s="3" t="s">
        <v>40</v>
      </c>
      <c r="F26" s="3">
        <v>11361</v>
      </c>
      <c r="G26" s="3" t="s">
        <v>28</v>
      </c>
      <c r="H26" s="3" t="s">
        <v>21</v>
      </c>
      <c r="I26" s="3">
        <v>18193</v>
      </c>
      <c r="J26" s="3">
        <v>4568</v>
      </c>
      <c r="K26" s="3">
        <v>13625</v>
      </c>
      <c r="L26" s="3">
        <v>0</v>
      </c>
      <c r="M26" s="3">
        <v>0</v>
      </c>
      <c r="N26" s="3">
        <v>0</v>
      </c>
    </row>
    <row r="27" spans="1:14" ht="14.4">
      <c r="A27" s="3">
        <v>13365</v>
      </c>
      <c r="B27" s="3">
        <v>13366</v>
      </c>
      <c r="C27" s="3">
        <v>4085</v>
      </c>
      <c r="D27" s="3" t="s">
        <v>18</v>
      </c>
      <c r="E27" s="3" t="s">
        <v>40</v>
      </c>
      <c r="F27" s="3">
        <v>11364</v>
      </c>
      <c r="G27" s="3" t="s">
        <v>28</v>
      </c>
      <c r="H27" s="3" t="s">
        <v>21</v>
      </c>
      <c r="I27" s="3">
        <v>18173</v>
      </c>
      <c r="J27" s="3">
        <v>18173</v>
      </c>
      <c r="K27" s="3">
        <v>0</v>
      </c>
      <c r="L27" s="3">
        <v>0</v>
      </c>
      <c r="M27" s="3">
        <v>0</v>
      </c>
      <c r="N27" s="3">
        <v>0</v>
      </c>
    </row>
    <row r="28" spans="1:14" ht="14.4">
      <c r="A28" s="3">
        <v>13365</v>
      </c>
      <c r="B28" s="3">
        <v>13366</v>
      </c>
      <c r="C28" s="3">
        <v>4085</v>
      </c>
      <c r="D28" s="3" t="s">
        <v>18</v>
      </c>
      <c r="E28" s="3" t="s">
        <v>41</v>
      </c>
      <c r="F28" s="3">
        <v>11709</v>
      </c>
      <c r="G28" s="3" t="s">
        <v>20</v>
      </c>
      <c r="H28" s="3" t="s">
        <v>21</v>
      </c>
      <c r="I28" s="3">
        <v>598046</v>
      </c>
      <c r="J28" s="3">
        <v>352227</v>
      </c>
      <c r="K28" s="3">
        <v>245819</v>
      </c>
      <c r="L28" s="3">
        <v>167900</v>
      </c>
      <c r="M28" s="3">
        <v>131100</v>
      </c>
      <c r="N28" s="3">
        <v>16500</v>
      </c>
    </row>
    <row r="29" spans="1:14" ht="14.4">
      <c r="A29" s="3">
        <v>13365</v>
      </c>
      <c r="B29" s="3">
        <v>13366</v>
      </c>
      <c r="C29" s="3">
        <v>4085</v>
      </c>
      <c r="D29" s="3" t="s">
        <v>18</v>
      </c>
      <c r="E29" s="3" t="s">
        <v>42</v>
      </c>
      <c r="F29" s="3">
        <v>11694</v>
      </c>
      <c r="G29" s="3" t="s">
        <v>43</v>
      </c>
      <c r="H29" s="3" t="s">
        <v>21</v>
      </c>
      <c r="I29" s="3">
        <v>906829</v>
      </c>
      <c r="J29" s="3">
        <v>855681</v>
      </c>
      <c r="K29" s="3">
        <v>51148</v>
      </c>
      <c r="L29" s="3">
        <v>0</v>
      </c>
      <c r="M29" s="3">
        <v>0</v>
      </c>
      <c r="N29" s="3">
        <v>0</v>
      </c>
    </row>
    <row r="30" spans="1:14" ht="14.4">
      <c r="A30" s="3">
        <v>13365</v>
      </c>
      <c r="B30" s="3">
        <v>13366</v>
      </c>
      <c r="C30" s="3">
        <v>4085</v>
      </c>
      <c r="D30" s="3" t="s">
        <v>18</v>
      </c>
      <c r="E30" s="3" t="s">
        <v>42</v>
      </c>
      <c r="F30" s="3">
        <v>10314</v>
      </c>
      <c r="G30" s="3" t="s">
        <v>28</v>
      </c>
      <c r="H30" s="3" t="s">
        <v>21</v>
      </c>
      <c r="I30" s="3">
        <v>854105</v>
      </c>
      <c r="J30" s="3">
        <v>742648</v>
      </c>
      <c r="K30" s="3">
        <v>111457</v>
      </c>
      <c r="L30" s="3">
        <v>999700</v>
      </c>
      <c r="M30" s="3">
        <v>742700</v>
      </c>
      <c r="N30" s="3">
        <v>111500</v>
      </c>
    </row>
    <row r="31" spans="1:14" ht="14.4">
      <c r="A31" s="3">
        <v>13365</v>
      </c>
      <c r="B31" s="3">
        <v>13366</v>
      </c>
      <c r="C31" s="3">
        <v>4085</v>
      </c>
      <c r="D31" s="3" t="s">
        <v>18</v>
      </c>
      <c r="E31" s="3" t="s">
        <v>42</v>
      </c>
      <c r="F31" s="3">
        <v>11694</v>
      </c>
      <c r="G31" s="3" t="s">
        <v>28</v>
      </c>
      <c r="H31" s="3" t="s">
        <v>21</v>
      </c>
      <c r="I31" s="3">
        <v>5260584</v>
      </c>
      <c r="J31" s="3">
        <v>3777886</v>
      </c>
      <c r="K31" s="3">
        <v>1482698</v>
      </c>
      <c r="L31" s="3">
        <v>1777600</v>
      </c>
      <c r="M31" s="3">
        <v>978800</v>
      </c>
      <c r="N31" s="3">
        <v>473400</v>
      </c>
    </row>
    <row r="32" spans="1:14" ht="14.4">
      <c r="A32" s="3">
        <v>13365</v>
      </c>
      <c r="B32" s="3">
        <v>13366</v>
      </c>
      <c r="C32" s="3">
        <v>4085</v>
      </c>
      <c r="D32" s="3" t="s">
        <v>18</v>
      </c>
      <c r="E32" s="3" t="s">
        <v>44</v>
      </c>
      <c r="F32" s="3">
        <v>11694</v>
      </c>
      <c r="G32" s="3" t="s">
        <v>28</v>
      </c>
      <c r="H32" s="3" t="s">
        <v>21</v>
      </c>
      <c r="I32" s="3">
        <v>72544</v>
      </c>
      <c r="J32" s="3">
        <v>0</v>
      </c>
      <c r="K32" s="3">
        <v>72544</v>
      </c>
      <c r="L32" s="3">
        <v>0</v>
      </c>
      <c r="M32" s="3">
        <v>0</v>
      </c>
      <c r="N32" s="3">
        <v>0</v>
      </c>
    </row>
    <row r="33" spans="1:14" ht="14.4">
      <c r="A33" s="3">
        <v>13365</v>
      </c>
      <c r="B33" s="3">
        <v>13366</v>
      </c>
      <c r="C33" s="3">
        <v>4085</v>
      </c>
      <c r="D33" s="3" t="s">
        <v>18</v>
      </c>
      <c r="E33" s="3" t="s">
        <v>45</v>
      </c>
      <c r="F33" s="3">
        <v>11426</v>
      </c>
      <c r="G33" s="3" t="s">
        <v>28</v>
      </c>
      <c r="H33" s="3" t="s">
        <v>21</v>
      </c>
      <c r="I33" s="3">
        <v>51458</v>
      </c>
      <c r="J33" s="3">
        <v>50458</v>
      </c>
      <c r="K33" s="3">
        <v>1000</v>
      </c>
      <c r="L33" s="3">
        <v>0</v>
      </c>
      <c r="M33" s="3">
        <v>0</v>
      </c>
      <c r="N33" s="3">
        <v>0</v>
      </c>
    </row>
    <row r="34" spans="1:14" ht="14.4">
      <c r="A34" s="3">
        <v>13365</v>
      </c>
      <c r="B34" s="3">
        <v>13366</v>
      </c>
      <c r="C34" s="3">
        <v>4085</v>
      </c>
      <c r="D34" s="3" t="s">
        <v>18</v>
      </c>
      <c r="E34" s="3" t="s">
        <v>46</v>
      </c>
      <c r="F34" s="3">
        <v>11710</v>
      </c>
      <c r="G34" s="3" t="s">
        <v>20</v>
      </c>
      <c r="H34" s="3" t="s">
        <v>21</v>
      </c>
      <c r="I34" s="3">
        <v>2115652</v>
      </c>
      <c r="J34" s="3">
        <v>1562940</v>
      </c>
      <c r="K34" s="3">
        <v>552712</v>
      </c>
      <c r="L34" s="3">
        <v>925500</v>
      </c>
      <c r="M34" s="3">
        <v>438100</v>
      </c>
      <c r="N34" s="3">
        <v>157800</v>
      </c>
    </row>
    <row r="35" spans="1:14" ht="14.4">
      <c r="A35" s="3">
        <v>13365</v>
      </c>
      <c r="B35" s="3">
        <v>13366</v>
      </c>
      <c r="C35" s="3">
        <v>4085</v>
      </c>
      <c r="D35" s="3" t="s">
        <v>18</v>
      </c>
      <c r="E35" s="3" t="s">
        <v>47</v>
      </c>
      <c r="F35" s="3">
        <v>11713</v>
      </c>
      <c r="G35" s="3" t="s">
        <v>23</v>
      </c>
      <c r="H35" s="3" t="s">
        <v>21</v>
      </c>
      <c r="I35" s="3">
        <v>9040</v>
      </c>
      <c r="J35" s="3">
        <v>0</v>
      </c>
      <c r="K35" s="3">
        <v>9040</v>
      </c>
      <c r="L35" s="3">
        <v>4100</v>
      </c>
      <c r="M35" s="3">
        <v>0</v>
      </c>
      <c r="N35" s="3">
        <v>1600</v>
      </c>
    </row>
    <row r="36" spans="1:14" ht="14.4">
      <c r="A36" s="3">
        <v>13365</v>
      </c>
      <c r="B36" s="3">
        <v>13366</v>
      </c>
      <c r="C36" s="3">
        <v>4085</v>
      </c>
      <c r="D36" s="3" t="s">
        <v>18</v>
      </c>
      <c r="E36" s="3" t="s">
        <v>48</v>
      </c>
      <c r="F36" s="3">
        <v>11714</v>
      </c>
      <c r="G36" s="3" t="s">
        <v>20</v>
      </c>
      <c r="H36" s="3" t="s">
        <v>21</v>
      </c>
      <c r="I36" s="3">
        <v>49111</v>
      </c>
      <c r="J36" s="3">
        <v>46026</v>
      </c>
      <c r="K36" s="3">
        <v>3085</v>
      </c>
      <c r="L36" s="3">
        <v>77700</v>
      </c>
      <c r="M36" s="3">
        <v>0</v>
      </c>
      <c r="N36" s="3">
        <v>0</v>
      </c>
    </row>
    <row r="37" spans="1:14" ht="14.4">
      <c r="A37" s="3">
        <v>13365</v>
      </c>
      <c r="B37" s="3">
        <v>13366</v>
      </c>
      <c r="C37" s="3">
        <v>4085</v>
      </c>
      <c r="D37" s="3" t="s">
        <v>18</v>
      </c>
      <c r="E37" s="3" t="s">
        <v>49</v>
      </c>
      <c r="F37" s="3">
        <v>11229</v>
      </c>
      <c r="G37" s="3" t="s">
        <v>43</v>
      </c>
      <c r="H37" s="3" t="s">
        <v>21</v>
      </c>
      <c r="I37" s="3">
        <v>17725</v>
      </c>
      <c r="J37" s="3">
        <v>0</v>
      </c>
      <c r="K37" s="3">
        <v>17725</v>
      </c>
      <c r="L37" s="3">
        <v>14000</v>
      </c>
      <c r="M37" s="3">
        <v>0</v>
      </c>
      <c r="N37" s="3">
        <v>14000</v>
      </c>
    </row>
    <row r="38" spans="1:14" ht="14.4">
      <c r="A38" s="3">
        <v>13365</v>
      </c>
      <c r="B38" s="3">
        <v>13366</v>
      </c>
      <c r="C38" s="3">
        <v>4085</v>
      </c>
      <c r="D38" s="3" t="s">
        <v>18</v>
      </c>
      <c r="E38" s="3" t="s">
        <v>50</v>
      </c>
      <c r="F38" s="3">
        <v>10914</v>
      </c>
      <c r="G38" s="3" t="s">
        <v>51</v>
      </c>
      <c r="H38" s="3" t="s">
        <v>21</v>
      </c>
      <c r="I38" s="3">
        <v>1870</v>
      </c>
      <c r="J38" s="3">
        <v>0</v>
      </c>
      <c r="K38" s="3">
        <v>1870</v>
      </c>
      <c r="L38" s="3">
        <v>0</v>
      </c>
      <c r="M38" s="3">
        <v>0</v>
      </c>
      <c r="N38" s="3">
        <v>0</v>
      </c>
    </row>
    <row r="39" spans="1:14" ht="14.4">
      <c r="A39" s="3">
        <v>13365</v>
      </c>
      <c r="B39" s="3">
        <v>13366</v>
      </c>
      <c r="C39" s="3">
        <v>4085</v>
      </c>
      <c r="D39" s="3" t="s">
        <v>18</v>
      </c>
      <c r="E39" s="3" t="s">
        <v>52</v>
      </c>
      <c r="F39" s="3">
        <v>11715</v>
      </c>
      <c r="G39" s="3" t="s">
        <v>23</v>
      </c>
      <c r="H39" s="3" t="s">
        <v>21</v>
      </c>
      <c r="I39" s="3">
        <v>15000</v>
      </c>
      <c r="J39" s="3">
        <v>12850</v>
      </c>
      <c r="K39" s="3">
        <v>2150</v>
      </c>
      <c r="L39" s="3">
        <v>0</v>
      </c>
      <c r="M39" s="3">
        <v>0</v>
      </c>
      <c r="N39" s="3">
        <v>0</v>
      </c>
    </row>
    <row r="40" spans="1:14" ht="14.4">
      <c r="A40" s="3">
        <v>13365</v>
      </c>
      <c r="B40" s="3">
        <v>13366</v>
      </c>
      <c r="C40" s="3">
        <v>4085</v>
      </c>
      <c r="D40" s="3" t="s">
        <v>18</v>
      </c>
      <c r="E40" s="3" t="s">
        <v>53</v>
      </c>
      <c r="F40" s="3">
        <v>11716</v>
      </c>
      <c r="G40" s="3" t="s">
        <v>23</v>
      </c>
      <c r="H40" s="3" t="s">
        <v>21</v>
      </c>
      <c r="I40" s="3">
        <v>0</v>
      </c>
      <c r="J40" s="3">
        <v>0</v>
      </c>
      <c r="K40" s="3">
        <v>0</v>
      </c>
      <c r="L40" s="3">
        <v>713000</v>
      </c>
      <c r="M40" s="3">
        <v>0</v>
      </c>
      <c r="N40" s="3">
        <v>0</v>
      </c>
    </row>
    <row r="41" spans="1:14" ht="14.4">
      <c r="A41" s="3">
        <v>13365</v>
      </c>
      <c r="B41" s="3">
        <v>13366</v>
      </c>
      <c r="C41" s="3">
        <v>4085</v>
      </c>
      <c r="D41" s="3" t="s">
        <v>18</v>
      </c>
      <c r="E41" s="3" t="s">
        <v>54</v>
      </c>
      <c r="F41" s="3">
        <v>11235</v>
      </c>
      <c r="G41" s="3" t="s">
        <v>43</v>
      </c>
      <c r="H41" s="3" t="s">
        <v>21</v>
      </c>
      <c r="I41" s="3">
        <v>171384</v>
      </c>
      <c r="J41" s="3">
        <v>140826</v>
      </c>
      <c r="K41" s="3">
        <v>30558</v>
      </c>
      <c r="L41" s="3">
        <v>0</v>
      </c>
      <c r="M41" s="3">
        <v>0</v>
      </c>
      <c r="N41" s="3">
        <v>0</v>
      </c>
    </row>
    <row r="42" spans="1:14" ht="14.4">
      <c r="A42" s="3">
        <v>13365</v>
      </c>
      <c r="B42" s="3">
        <v>13366</v>
      </c>
      <c r="C42" s="3">
        <v>4085</v>
      </c>
      <c r="D42" s="3" t="s">
        <v>18</v>
      </c>
      <c r="E42" s="3" t="s">
        <v>55</v>
      </c>
      <c r="F42" s="3">
        <v>11697</v>
      </c>
      <c r="G42" s="3" t="s">
        <v>28</v>
      </c>
      <c r="H42" s="3" t="s">
        <v>21</v>
      </c>
      <c r="I42" s="3">
        <v>5735054</v>
      </c>
      <c r="J42" s="3">
        <v>4817656</v>
      </c>
      <c r="K42" s="3">
        <v>917398</v>
      </c>
      <c r="L42" s="3">
        <v>380600</v>
      </c>
      <c r="M42" s="3">
        <v>169300</v>
      </c>
      <c r="N42" s="3">
        <v>178400</v>
      </c>
    </row>
    <row r="43" spans="1:14" ht="14.4">
      <c r="A43" s="3">
        <v>13365</v>
      </c>
      <c r="B43" s="3">
        <v>13366</v>
      </c>
      <c r="C43" s="3">
        <v>4085</v>
      </c>
      <c r="D43" s="3" t="s">
        <v>18</v>
      </c>
      <c r="E43" s="3" t="s">
        <v>56</v>
      </c>
      <c r="F43" s="3">
        <v>11717</v>
      </c>
      <c r="G43" s="3" t="s">
        <v>23</v>
      </c>
      <c r="H43" s="3" t="s">
        <v>21</v>
      </c>
      <c r="I43" s="3">
        <v>134903</v>
      </c>
      <c r="J43" s="3">
        <v>100375</v>
      </c>
      <c r="K43" s="3">
        <v>34528</v>
      </c>
      <c r="L43" s="3">
        <v>192800</v>
      </c>
      <c r="M43" s="3">
        <v>6100</v>
      </c>
      <c r="N43" s="3">
        <v>2400</v>
      </c>
    </row>
    <row r="44" spans="1:14" ht="14.4">
      <c r="A44" s="3">
        <v>13365</v>
      </c>
      <c r="B44" s="3">
        <v>13366</v>
      </c>
      <c r="C44" s="3">
        <v>4085</v>
      </c>
      <c r="D44" s="3" t="s">
        <v>18</v>
      </c>
      <c r="E44" s="3" t="s">
        <v>57</v>
      </c>
      <c r="F44" s="3">
        <v>10509</v>
      </c>
      <c r="G44" s="3" t="s">
        <v>58</v>
      </c>
      <c r="H44" s="3" t="s">
        <v>21</v>
      </c>
      <c r="I44" s="3">
        <v>50405</v>
      </c>
      <c r="J44" s="3">
        <v>0</v>
      </c>
      <c r="K44" s="3">
        <v>50405</v>
      </c>
      <c r="L44" s="3">
        <v>0</v>
      </c>
      <c r="M44" s="3">
        <v>0</v>
      </c>
      <c r="N44" s="3">
        <v>0</v>
      </c>
    </row>
    <row r="45" spans="1:14" ht="14.4">
      <c r="A45" s="3">
        <v>13365</v>
      </c>
      <c r="B45" s="3">
        <v>13366</v>
      </c>
      <c r="C45" s="3">
        <v>4085</v>
      </c>
      <c r="D45" s="3" t="s">
        <v>18</v>
      </c>
      <c r="E45" s="3" t="s">
        <v>59</v>
      </c>
      <c r="F45" s="3">
        <v>11718</v>
      </c>
      <c r="G45" s="3" t="s">
        <v>23</v>
      </c>
      <c r="H45" s="3" t="s">
        <v>21</v>
      </c>
      <c r="I45" s="3">
        <v>0</v>
      </c>
      <c r="J45" s="3">
        <v>0</v>
      </c>
      <c r="K45" s="3">
        <v>0</v>
      </c>
      <c r="L45" s="3">
        <v>18200</v>
      </c>
      <c r="M45" s="3">
        <v>0</v>
      </c>
      <c r="N45" s="3">
        <v>0</v>
      </c>
    </row>
    <row r="46" spans="1:14" ht="14.4">
      <c r="A46" s="3">
        <v>13365</v>
      </c>
      <c r="B46" s="3">
        <v>13366</v>
      </c>
      <c r="C46" s="3">
        <v>4085</v>
      </c>
      <c r="D46" s="3" t="s">
        <v>18</v>
      </c>
      <c r="E46" s="3" t="s">
        <v>60</v>
      </c>
      <c r="F46" s="3">
        <v>11693</v>
      </c>
      <c r="G46" s="3" t="s">
        <v>28</v>
      </c>
      <c r="H46" s="3" t="s">
        <v>21</v>
      </c>
      <c r="I46" s="3">
        <v>5539568</v>
      </c>
      <c r="J46" s="3">
        <v>3904232</v>
      </c>
      <c r="K46" s="3">
        <v>1635336</v>
      </c>
      <c r="L46" s="3">
        <v>1153000</v>
      </c>
      <c r="M46" s="3">
        <v>954600</v>
      </c>
      <c r="N46" s="3">
        <v>165500</v>
      </c>
    </row>
    <row r="47" spans="1:14" ht="14.4">
      <c r="A47" s="3">
        <v>13365</v>
      </c>
      <c r="B47" s="3">
        <v>13366</v>
      </c>
      <c r="C47" s="3">
        <v>4085</v>
      </c>
      <c r="D47" s="3" t="s">
        <v>18</v>
      </c>
      <c r="E47" s="3" t="s">
        <v>61</v>
      </c>
      <c r="F47" s="3">
        <v>10451</v>
      </c>
      <c r="G47" s="3" t="s">
        <v>61</v>
      </c>
      <c r="H47" s="3" t="s">
        <v>21</v>
      </c>
      <c r="I47" s="3">
        <v>247010</v>
      </c>
      <c r="J47" s="3">
        <v>194497</v>
      </c>
      <c r="K47" s="3">
        <v>52513</v>
      </c>
      <c r="L47" s="3">
        <v>99100</v>
      </c>
      <c r="M47" s="3">
        <v>12100</v>
      </c>
      <c r="N47" s="3">
        <v>51900</v>
      </c>
    </row>
    <row r="48" spans="1:14" ht="14.4">
      <c r="A48" s="3">
        <v>13365</v>
      </c>
      <c r="B48" s="3">
        <v>13366</v>
      </c>
      <c r="C48" s="3">
        <v>4085</v>
      </c>
      <c r="D48" s="3" t="s">
        <v>18</v>
      </c>
      <c r="E48" s="3" t="s">
        <v>61</v>
      </c>
      <c r="F48" s="3">
        <v>10452</v>
      </c>
      <c r="G48" s="3" t="s">
        <v>61</v>
      </c>
      <c r="H48" s="3" t="s">
        <v>21</v>
      </c>
      <c r="I48" s="3">
        <v>86591</v>
      </c>
      <c r="J48" s="3">
        <v>86591</v>
      </c>
      <c r="K48" s="3">
        <v>0</v>
      </c>
      <c r="L48" s="3">
        <v>0</v>
      </c>
      <c r="M48" s="3">
        <v>0</v>
      </c>
      <c r="N48" s="3">
        <v>0</v>
      </c>
    </row>
    <row r="49" spans="1:14" ht="14.4">
      <c r="A49" s="3">
        <v>13365</v>
      </c>
      <c r="B49" s="3">
        <v>13366</v>
      </c>
      <c r="C49" s="3">
        <v>4085</v>
      </c>
      <c r="D49" s="3" t="s">
        <v>18</v>
      </c>
      <c r="E49" s="3" t="s">
        <v>61</v>
      </c>
      <c r="F49" s="3">
        <v>10454</v>
      </c>
      <c r="G49" s="3" t="s">
        <v>61</v>
      </c>
      <c r="H49" s="3" t="s">
        <v>21</v>
      </c>
      <c r="I49" s="3">
        <v>78808</v>
      </c>
      <c r="J49" s="3">
        <v>8700</v>
      </c>
      <c r="K49" s="3">
        <v>70108</v>
      </c>
      <c r="L49" s="3">
        <v>68700</v>
      </c>
      <c r="M49" s="3">
        <v>8700</v>
      </c>
      <c r="N49" s="3">
        <v>3100</v>
      </c>
    </row>
    <row r="50" spans="1:14" ht="14.4">
      <c r="A50" s="3">
        <v>13365</v>
      </c>
      <c r="B50" s="3">
        <v>13366</v>
      </c>
      <c r="C50" s="3">
        <v>4085</v>
      </c>
      <c r="D50" s="3" t="s">
        <v>18</v>
      </c>
      <c r="E50" s="3" t="s">
        <v>61</v>
      </c>
      <c r="F50" s="3">
        <v>10456</v>
      </c>
      <c r="G50" s="3" t="s">
        <v>61</v>
      </c>
      <c r="H50" s="3" t="s">
        <v>21</v>
      </c>
      <c r="I50" s="3">
        <v>86330</v>
      </c>
      <c r="J50" s="3">
        <v>69470</v>
      </c>
      <c r="K50" s="3">
        <v>16860</v>
      </c>
      <c r="L50" s="3">
        <v>0</v>
      </c>
      <c r="M50" s="3">
        <v>0</v>
      </c>
      <c r="N50" s="3">
        <v>0</v>
      </c>
    </row>
    <row r="51" spans="1:14" ht="14.4">
      <c r="A51" s="3">
        <v>13365</v>
      </c>
      <c r="B51" s="3">
        <v>13366</v>
      </c>
      <c r="C51" s="3">
        <v>4085</v>
      </c>
      <c r="D51" s="3" t="s">
        <v>18</v>
      </c>
      <c r="E51" s="3" t="s">
        <v>61</v>
      </c>
      <c r="F51" s="3">
        <v>10457</v>
      </c>
      <c r="G51" s="3" t="s">
        <v>61</v>
      </c>
      <c r="H51" s="3" t="s">
        <v>21</v>
      </c>
      <c r="I51" s="3">
        <v>84208</v>
      </c>
      <c r="J51" s="3">
        <v>84208</v>
      </c>
      <c r="K51" s="3">
        <v>0</v>
      </c>
      <c r="L51" s="3">
        <v>0</v>
      </c>
      <c r="M51" s="3">
        <v>0</v>
      </c>
      <c r="N51" s="3">
        <v>0</v>
      </c>
    </row>
    <row r="52" spans="1:14" ht="14.4">
      <c r="A52" s="3">
        <v>13365</v>
      </c>
      <c r="B52" s="3">
        <v>13366</v>
      </c>
      <c r="C52" s="3">
        <v>4085</v>
      </c>
      <c r="D52" s="3" t="s">
        <v>18</v>
      </c>
      <c r="E52" s="3" t="s">
        <v>61</v>
      </c>
      <c r="F52" s="3">
        <v>10458</v>
      </c>
      <c r="G52" s="3" t="s">
        <v>61</v>
      </c>
      <c r="H52" s="3" t="s">
        <v>21</v>
      </c>
      <c r="I52" s="3">
        <v>6158</v>
      </c>
      <c r="J52" s="3">
        <v>6158</v>
      </c>
      <c r="K52" s="3">
        <v>0</v>
      </c>
      <c r="L52" s="3">
        <v>157600</v>
      </c>
      <c r="M52" s="3">
        <v>0</v>
      </c>
      <c r="N52" s="3">
        <v>0</v>
      </c>
    </row>
    <row r="53" spans="1:14" ht="14.4">
      <c r="A53" s="3">
        <v>13365</v>
      </c>
      <c r="B53" s="3">
        <v>13366</v>
      </c>
      <c r="C53" s="3">
        <v>4085</v>
      </c>
      <c r="D53" s="3" t="s">
        <v>18</v>
      </c>
      <c r="E53" s="3" t="s">
        <v>61</v>
      </c>
      <c r="F53" s="3">
        <v>10460</v>
      </c>
      <c r="G53" s="3" t="s">
        <v>61</v>
      </c>
      <c r="H53" s="3" t="s">
        <v>21</v>
      </c>
      <c r="I53" s="3">
        <v>47562</v>
      </c>
      <c r="J53" s="3">
        <v>47562</v>
      </c>
      <c r="K53" s="3">
        <v>0</v>
      </c>
      <c r="L53" s="3">
        <v>29800</v>
      </c>
      <c r="M53" s="3">
        <v>29800</v>
      </c>
      <c r="N53" s="3">
        <v>0</v>
      </c>
    </row>
    <row r="54" spans="1:14" ht="14.4">
      <c r="A54" s="3">
        <v>13365</v>
      </c>
      <c r="B54" s="3">
        <v>13366</v>
      </c>
      <c r="C54" s="3">
        <v>4085</v>
      </c>
      <c r="D54" s="3" t="s">
        <v>18</v>
      </c>
      <c r="E54" s="3" t="s">
        <v>61</v>
      </c>
      <c r="F54" s="3">
        <v>10461</v>
      </c>
      <c r="G54" s="3" t="s">
        <v>61</v>
      </c>
      <c r="H54" s="3" t="s">
        <v>21</v>
      </c>
      <c r="I54" s="3">
        <v>56386</v>
      </c>
      <c r="J54" s="3">
        <v>0</v>
      </c>
      <c r="K54" s="3">
        <v>56386</v>
      </c>
      <c r="L54" s="3">
        <v>101400</v>
      </c>
      <c r="M54" s="3">
        <v>0</v>
      </c>
      <c r="N54" s="3">
        <v>21800</v>
      </c>
    </row>
    <row r="55" spans="1:14" ht="14.4">
      <c r="A55" s="3">
        <v>13365</v>
      </c>
      <c r="B55" s="3">
        <v>13366</v>
      </c>
      <c r="C55" s="3">
        <v>4085</v>
      </c>
      <c r="D55" s="3" t="s">
        <v>18</v>
      </c>
      <c r="E55" s="3" t="s">
        <v>61</v>
      </c>
      <c r="F55" s="3">
        <v>10462</v>
      </c>
      <c r="G55" s="3" t="s">
        <v>61</v>
      </c>
      <c r="H55" s="3" t="s">
        <v>21</v>
      </c>
      <c r="I55" s="3">
        <v>2139</v>
      </c>
      <c r="J55" s="3">
        <v>2139</v>
      </c>
      <c r="K55" s="3">
        <v>0</v>
      </c>
      <c r="L55" s="3">
        <v>0</v>
      </c>
      <c r="M55" s="3">
        <v>0</v>
      </c>
      <c r="N55" s="3">
        <v>0</v>
      </c>
    </row>
    <row r="56" spans="1:14" ht="14.4">
      <c r="A56" s="3">
        <v>13365</v>
      </c>
      <c r="B56" s="3">
        <v>13366</v>
      </c>
      <c r="C56" s="3">
        <v>4085</v>
      </c>
      <c r="D56" s="3" t="s">
        <v>18</v>
      </c>
      <c r="E56" s="3" t="s">
        <v>61</v>
      </c>
      <c r="F56" s="3">
        <v>10463</v>
      </c>
      <c r="G56" s="3" t="s">
        <v>61</v>
      </c>
      <c r="H56" s="3" t="s">
        <v>21</v>
      </c>
      <c r="I56" s="3">
        <v>16400</v>
      </c>
      <c r="J56" s="3">
        <v>0</v>
      </c>
      <c r="K56" s="3">
        <v>16400</v>
      </c>
      <c r="L56" s="3">
        <v>0</v>
      </c>
      <c r="M56" s="3">
        <v>0</v>
      </c>
      <c r="N56" s="3">
        <v>0</v>
      </c>
    </row>
    <row r="57" spans="1:14" ht="14.4">
      <c r="A57" s="3">
        <v>13365</v>
      </c>
      <c r="B57" s="3">
        <v>13366</v>
      </c>
      <c r="C57" s="3">
        <v>4085</v>
      </c>
      <c r="D57" s="3" t="s">
        <v>18</v>
      </c>
      <c r="E57" s="3" t="s">
        <v>61</v>
      </c>
      <c r="F57" s="3">
        <v>10464</v>
      </c>
      <c r="G57" s="3" t="s">
        <v>61</v>
      </c>
      <c r="H57" s="3" t="s">
        <v>21</v>
      </c>
      <c r="I57" s="3">
        <v>3014689</v>
      </c>
      <c r="J57" s="3">
        <v>2980693</v>
      </c>
      <c r="K57" s="3">
        <v>33996</v>
      </c>
      <c r="L57" s="3">
        <v>754100</v>
      </c>
      <c r="M57" s="3">
        <v>754100</v>
      </c>
      <c r="N57" s="3">
        <v>0</v>
      </c>
    </row>
    <row r="58" spans="1:14" ht="14.4">
      <c r="A58" s="3">
        <v>13365</v>
      </c>
      <c r="B58" s="3">
        <v>13366</v>
      </c>
      <c r="C58" s="3">
        <v>4085</v>
      </c>
      <c r="D58" s="3" t="s">
        <v>18</v>
      </c>
      <c r="E58" s="3" t="s">
        <v>61</v>
      </c>
      <c r="F58" s="3">
        <v>10465</v>
      </c>
      <c r="G58" s="3" t="s">
        <v>61</v>
      </c>
      <c r="H58" s="3" t="s">
        <v>21</v>
      </c>
      <c r="I58" s="3">
        <v>2618080</v>
      </c>
      <c r="J58" s="3">
        <v>2379123</v>
      </c>
      <c r="K58" s="3">
        <v>238957</v>
      </c>
      <c r="L58" s="3">
        <v>1914800</v>
      </c>
      <c r="M58" s="3">
        <v>1658700</v>
      </c>
      <c r="N58" s="3">
        <v>129000</v>
      </c>
    </row>
    <row r="59" spans="1:14" ht="14.4">
      <c r="A59" s="3">
        <v>13365</v>
      </c>
      <c r="B59" s="3">
        <v>13366</v>
      </c>
      <c r="C59" s="3">
        <v>4085</v>
      </c>
      <c r="D59" s="3" t="s">
        <v>18</v>
      </c>
      <c r="E59" s="3" t="s">
        <v>61</v>
      </c>
      <c r="F59" s="3">
        <v>10466</v>
      </c>
      <c r="G59" s="3" t="s">
        <v>61</v>
      </c>
      <c r="H59" s="3" t="s">
        <v>21</v>
      </c>
      <c r="I59" s="3">
        <v>21015</v>
      </c>
      <c r="J59" s="3">
        <v>1015</v>
      </c>
      <c r="K59" s="3">
        <v>20000</v>
      </c>
      <c r="L59" s="3">
        <v>0</v>
      </c>
      <c r="M59" s="3">
        <v>0</v>
      </c>
      <c r="N59" s="3">
        <v>0</v>
      </c>
    </row>
    <row r="60" spans="1:14" ht="14.4">
      <c r="A60" s="3">
        <v>13365</v>
      </c>
      <c r="B60" s="3">
        <v>13366</v>
      </c>
      <c r="C60" s="3">
        <v>4085</v>
      </c>
      <c r="D60" s="3" t="s">
        <v>18</v>
      </c>
      <c r="E60" s="3" t="s">
        <v>61</v>
      </c>
      <c r="F60" s="3">
        <v>10467</v>
      </c>
      <c r="G60" s="3" t="s">
        <v>61</v>
      </c>
      <c r="H60" s="3" t="s">
        <v>21</v>
      </c>
      <c r="I60" s="3">
        <v>62460</v>
      </c>
      <c r="J60" s="3">
        <v>55575</v>
      </c>
      <c r="K60" s="3">
        <v>6885</v>
      </c>
      <c r="L60" s="3">
        <v>36200</v>
      </c>
      <c r="M60" s="3">
        <v>29300</v>
      </c>
      <c r="N60" s="3">
        <v>6900</v>
      </c>
    </row>
    <row r="61" spans="1:14" ht="14.4">
      <c r="A61" s="3">
        <v>13365</v>
      </c>
      <c r="B61" s="3">
        <v>13366</v>
      </c>
      <c r="C61" s="3">
        <v>4085</v>
      </c>
      <c r="D61" s="3" t="s">
        <v>18</v>
      </c>
      <c r="E61" s="3" t="s">
        <v>61</v>
      </c>
      <c r="F61" s="3">
        <v>10468</v>
      </c>
      <c r="G61" s="3" t="s">
        <v>61</v>
      </c>
      <c r="H61" s="3" t="s">
        <v>21</v>
      </c>
      <c r="I61" s="3">
        <v>1668</v>
      </c>
      <c r="J61" s="3">
        <v>1668</v>
      </c>
      <c r="K61" s="3">
        <v>0</v>
      </c>
      <c r="L61" s="3">
        <v>0</v>
      </c>
      <c r="M61" s="3">
        <v>0</v>
      </c>
      <c r="N61" s="3">
        <v>0</v>
      </c>
    </row>
    <row r="62" spans="1:14" ht="14.4">
      <c r="A62" s="3">
        <v>13365</v>
      </c>
      <c r="B62" s="3">
        <v>13366</v>
      </c>
      <c r="C62" s="3">
        <v>4085</v>
      </c>
      <c r="D62" s="3" t="s">
        <v>18</v>
      </c>
      <c r="E62" s="3" t="s">
        <v>61</v>
      </c>
      <c r="F62" s="3">
        <v>10469</v>
      </c>
      <c r="G62" s="3" t="s">
        <v>61</v>
      </c>
      <c r="H62" s="3" t="s">
        <v>21</v>
      </c>
      <c r="I62" s="3">
        <v>8800</v>
      </c>
      <c r="J62" s="3">
        <v>0</v>
      </c>
      <c r="K62" s="3">
        <v>8800</v>
      </c>
      <c r="L62" s="3">
        <v>77300</v>
      </c>
      <c r="M62" s="3">
        <v>0</v>
      </c>
      <c r="N62" s="3">
        <v>1500</v>
      </c>
    </row>
    <row r="63" spans="1:14" ht="14.4">
      <c r="A63" s="3">
        <v>13365</v>
      </c>
      <c r="B63" s="3">
        <v>13366</v>
      </c>
      <c r="C63" s="3">
        <v>4085</v>
      </c>
      <c r="D63" s="3" t="s">
        <v>18</v>
      </c>
      <c r="E63" s="3" t="s">
        <v>61</v>
      </c>
      <c r="F63" s="3">
        <v>10470</v>
      </c>
      <c r="G63" s="3" t="s">
        <v>61</v>
      </c>
      <c r="H63" s="3" t="s">
        <v>21</v>
      </c>
      <c r="I63" s="3">
        <v>0</v>
      </c>
      <c r="J63" s="3">
        <v>0</v>
      </c>
      <c r="K63" s="3">
        <v>0</v>
      </c>
      <c r="L63" s="3">
        <v>26500</v>
      </c>
      <c r="M63" s="3">
        <v>0</v>
      </c>
      <c r="N63" s="3">
        <v>0</v>
      </c>
    </row>
    <row r="64" spans="1:14" ht="14.4">
      <c r="A64" s="3">
        <v>13365</v>
      </c>
      <c r="B64" s="3">
        <v>13366</v>
      </c>
      <c r="C64" s="3">
        <v>4085</v>
      </c>
      <c r="D64" s="3" t="s">
        <v>18</v>
      </c>
      <c r="E64" s="3" t="s">
        <v>61</v>
      </c>
      <c r="F64" s="3">
        <v>10471</v>
      </c>
      <c r="G64" s="3" t="s">
        <v>61</v>
      </c>
      <c r="H64" s="3" t="s">
        <v>21</v>
      </c>
      <c r="I64" s="3">
        <v>0</v>
      </c>
      <c r="J64" s="3">
        <v>0</v>
      </c>
      <c r="K64" s="3">
        <v>0</v>
      </c>
      <c r="L64" s="3">
        <v>319200</v>
      </c>
      <c r="M64" s="3">
        <v>0</v>
      </c>
      <c r="N64" s="3">
        <v>0</v>
      </c>
    </row>
    <row r="65" spans="1:14" ht="14.4">
      <c r="A65" s="3">
        <v>13365</v>
      </c>
      <c r="B65" s="3">
        <v>13366</v>
      </c>
      <c r="C65" s="3">
        <v>4085</v>
      </c>
      <c r="D65" s="3" t="s">
        <v>18</v>
      </c>
      <c r="E65" s="3" t="s">
        <v>61</v>
      </c>
      <c r="F65" s="3">
        <v>10473</v>
      </c>
      <c r="G65" s="3" t="s">
        <v>61</v>
      </c>
      <c r="H65" s="3" t="s">
        <v>21</v>
      </c>
      <c r="I65" s="3">
        <v>364036</v>
      </c>
      <c r="J65" s="3">
        <v>348316</v>
      </c>
      <c r="K65" s="3">
        <v>15720</v>
      </c>
      <c r="L65" s="3">
        <v>4600</v>
      </c>
      <c r="M65" s="3">
        <v>4600</v>
      </c>
      <c r="N65" s="3">
        <v>0</v>
      </c>
    </row>
    <row r="66" spans="1:14" ht="14.4">
      <c r="A66" s="3">
        <v>13365</v>
      </c>
      <c r="B66" s="3">
        <v>13366</v>
      </c>
      <c r="C66" s="3">
        <v>4085</v>
      </c>
      <c r="D66" s="3" t="s">
        <v>18</v>
      </c>
      <c r="E66" s="3" t="s">
        <v>61</v>
      </c>
      <c r="F66" s="3">
        <v>10474</v>
      </c>
      <c r="G66" s="3" t="s">
        <v>61</v>
      </c>
      <c r="H66" s="3" t="s">
        <v>21</v>
      </c>
      <c r="I66" s="3">
        <v>196062</v>
      </c>
      <c r="J66" s="3">
        <v>151146</v>
      </c>
      <c r="K66" s="3">
        <v>44916</v>
      </c>
      <c r="L66" s="3">
        <v>192000</v>
      </c>
      <c r="M66" s="3">
        <v>149200</v>
      </c>
      <c r="N66" s="3">
        <v>42800</v>
      </c>
    </row>
    <row r="67" spans="1:14" ht="14.4">
      <c r="A67" s="3">
        <v>13365</v>
      </c>
      <c r="B67" s="3">
        <v>13366</v>
      </c>
      <c r="C67" s="3">
        <v>4085</v>
      </c>
      <c r="D67" s="3" t="s">
        <v>18</v>
      </c>
      <c r="E67" s="3" t="s">
        <v>61</v>
      </c>
      <c r="F67" s="3">
        <v>10475</v>
      </c>
      <c r="G67" s="3" t="s">
        <v>61</v>
      </c>
      <c r="H67" s="3" t="s">
        <v>21</v>
      </c>
      <c r="I67" s="3">
        <v>225167</v>
      </c>
      <c r="J67" s="3">
        <v>13912</v>
      </c>
      <c r="K67" s="3">
        <v>211255</v>
      </c>
      <c r="L67" s="3">
        <v>0</v>
      </c>
      <c r="M67" s="3">
        <v>0</v>
      </c>
      <c r="N67" s="3">
        <v>0</v>
      </c>
    </row>
    <row r="68" spans="1:14" ht="14.4">
      <c r="A68" s="3">
        <v>13365</v>
      </c>
      <c r="B68" s="3">
        <v>13366</v>
      </c>
      <c r="C68" s="3">
        <v>4085</v>
      </c>
      <c r="D68" s="3" t="s">
        <v>18</v>
      </c>
      <c r="E68" s="3" t="s">
        <v>61</v>
      </c>
      <c r="F68" s="3">
        <v>10471</v>
      </c>
      <c r="G68" s="3" t="s">
        <v>62</v>
      </c>
      <c r="H68" s="3" t="s">
        <v>21</v>
      </c>
      <c r="I68" s="3">
        <v>46126</v>
      </c>
      <c r="J68" s="3">
        <v>46126</v>
      </c>
      <c r="K68" s="3">
        <v>0</v>
      </c>
      <c r="L68" s="3">
        <v>0</v>
      </c>
      <c r="M68" s="3">
        <v>0</v>
      </c>
      <c r="N68" s="3">
        <v>0</v>
      </c>
    </row>
    <row r="69" spans="1:14" ht="14.4">
      <c r="A69" s="3">
        <v>13365</v>
      </c>
      <c r="B69" s="3">
        <v>13366</v>
      </c>
      <c r="C69" s="3">
        <v>4085</v>
      </c>
      <c r="D69" s="3" t="s">
        <v>18</v>
      </c>
      <c r="E69" s="3" t="s">
        <v>63</v>
      </c>
      <c r="F69" s="3">
        <v>10708</v>
      </c>
      <c r="G69" s="3" t="s">
        <v>64</v>
      </c>
      <c r="H69" s="3" t="s">
        <v>21</v>
      </c>
      <c r="I69" s="3">
        <v>2500</v>
      </c>
      <c r="J69" s="3">
        <v>0</v>
      </c>
      <c r="K69" s="3">
        <v>2500</v>
      </c>
      <c r="L69" s="3">
        <v>0</v>
      </c>
      <c r="M69" s="3">
        <v>0</v>
      </c>
      <c r="N69" s="3">
        <v>0</v>
      </c>
    </row>
    <row r="70" spans="1:14" ht="14.4">
      <c r="A70" s="3">
        <v>13365</v>
      </c>
      <c r="B70" s="3">
        <v>13366</v>
      </c>
      <c r="C70" s="3">
        <v>4085</v>
      </c>
      <c r="D70" s="3" t="s">
        <v>18</v>
      </c>
      <c r="E70" s="3" t="s">
        <v>65</v>
      </c>
      <c r="F70" s="3">
        <v>11719</v>
      </c>
      <c r="G70" s="3" t="s">
        <v>23</v>
      </c>
      <c r="H70" s="3" t="s">
        <v>21</v>
      </c>
      <c r="I70" s="3">
        <v>23063</v>
      </c>
      <c r="J70" s="3">
        <v>0</v>
      </c>
      <c r="K70" s="3">
        <v>23063</v>
      </c>
      <c r="L70" s="3">
        <v>0</v>
      </c>
      <c r="M70" s="3">
        <v>0</v>
      </c>
      <c r="N70" s="3">
        <v>0</v>
      </c>
    </row>
    <row r="71" spans="1:14" ht="14.4">
      <c r="A71" s="3">
        <v>13365</v>
      </c>
      <c r="B71" s="3">
        <v>13366</v>
      </c>
      <c r="C71" s="3">
        <v>4085</v>
      </c>
      <c r="D71" s="3" t="s">
        <v>18</v>
      </c>
      <c r="E71" s="3" t="s">
        <v>66</v>
      </c>
      <c r="F71" s="3">
        <v>11221</v>
      </c>
      <c r="G71" s="3" t="s">
        <v>43</v>
      </c>
      <c r="H71" s="3" t="s">
        <v>21</v>
      </c>
      <c r="I71" s="3">
        <v>1624</v>
      </c>
      <c r="J71" s="3">
        <v>1624</v>
      </c>
      <c r="K71" s="3">
        <v>0</v>
      </c>
      <c r="L71" s="3">
        <v>0</v>
      </c>
      <c r="M71" s="3">
        <v>0</v>
      </c>
      <c r="N71" s="3">
        <v>0</v>
      </c>
    </row>
    <row r="72" spans="1:14" ht="14.4">
      <c r="A72" s="3">
        <v>13365</v>
      </c>
      <c r="B72" s="3">
        <v>13366</v>
      </c>
      <c r="C72" s="3">
        <v>4085</v>
      </c>
      <c r="D72" s="3" t="s">
        <v>18</v>
      </c>
      <c r="E72" s="3" t="s">
        <v>67</v>
      </c>
      <c r="F72" s="3">
        <v>11214</v>
      </c>
      <c r="G72" s="3" t="s">
        <v>43</v>
      </c>
      <c r="H72" s="3" t="s">
        <v>21</v>
      </c>
      <c r="I72" s="3">
        <v>3850</v>
      </c>
      <c r="J72" s="3">
        <v>0</v>
      </c>
      <c r="K72" s="3">
        <v>3850</v>
      </c>
      <c r="L72" s="3">
        <v>0</v>
      </c>
      <c r="M72" s="3">
        <v>0</v>
      </c>
      <c r="N72" s="3">
        <v>0</v>
      </c>
    </row>
    <row r="73" spans="1:14" ht="14.4">
      <c r="A73" s="3">
        <v>13365</v>
      </c>
      <c r="B73" s="3">
        <v>13366</v>
      </c>
      <c r="C73" s="3">
        <v>4085</v>
      </c>
      <c r="D73" s="3" t="s">
        <v>18</v>
      </c>
      <c r="E73" s="3" t="s">
        <v>68</v>
      </c>
      <c r="F73" s="3">
        <v>11224</v>
      </c>
      <c r="G73" s="3" t="s">
        <v>43</v>
      </c>
      <c r="H73" s="3" t="s">
        <v>21</v>
      </c>
      <c r="I73" s="3">
        <v>77862</v>
      </c>
      <c r="J73" s="3">
        <v>30106</v>
      </c>
      <c r="K73" s="3">
        <v>47756</v>
      </c>
      <c r="L73" s="3">
        <v>0</v>
      </c>
      <c r="M73" s="3">
        <v>0</v>
      </c>
      <c r="N73" s="3">
        <v>0</v>
      </c>
    </row>
    <row r="74" spans="1:14" ht="14.4">
      <c r="A74" s="3">
        <v>13365</v>
      </c>
      <c r="B74" s="3">
        <v>13366</v>
      </c>
      <c r="C74" s="3">
        <v>4085</v>
      </c>
      <c r="D74" s="3" t="s">
        <v>18</v>
      </c>
      <c r="E74" s="3" t="s">
        <v>69</v>
      </c>
      <c r="F74" s="3">
        <v>11236</v>
      </c>
      <c r="G74" s="3" t="s">
        <v>70</v>
      </c>
      <c r="H74" s="3" t="s">
        <v>21</v>
      </c>
      <c r="I74" s="3">
        <v>38876</v>
      </c>
      <c r="J74" s="3">
        <v>37026</v>
      </c>
      <c r="K74" s="3">
        <v>1850</v>
      </c>
      <c r="L74" s="3">
        <v>0</v>
      </c>
      <c r="M74" s="3">
        <v>0</v>
      </c>
      <c r="N74" s="3">
        <v>0</v>
      </c>
    </row>
    <row r="75" spans="1:14" ht="14.4">
      <c r="A75" s="3">
        <v>13365</v>
      </c>
      <c r="B75" s="3">
        <v>13366</v>
      </c>
      <c r="C75" s="3">
        <v>4085</v>
      </c>
      <c r="D75" s="3" t="s">
        <v>18</v>
      </c>
      <c r="E75" s="3" t="s">
        <v>69</v>
      </c>
      <c r="F75" s="3">
        <v>7732</v>
      </c>
      <c r="G75" s="3" t="s">
        <v>43</v>
      </c>
      <c r="H75" s="3" t="s">
        <v>21</v>
      </c>
      <c r="I75" s="3">
        <v>267122</v>
      </c>
      <c r="J75" s="3">
        <v>200122</v>
      </c>
      <c r="K75" s="3">
        <v>67000</v>
      </c>
      <c r="L75" s="3">
        <v>0</v>
      </c>
      <c r="M75" s="3">
        <v>0</v>
      </c>
      <c r="N75" s="3">
        <v>0</v>
      </c>
    </row>
    <row r="76" spans="1:14" ht="14.4">
      <c r="A76" s="3">
        <v>13365</v>
      </c>
      <c r="B76" s="3">
        <v>13366</v>
      </c>
      <c r="C76" s="3">
        <v>4085</v>
      </c>
      <c r="D76" s="3" t="s">
        <v>18</v>
      </c>
      <c r="E76" s="3" t="s">
        <v>69</v>
      </c>
      <c r="F76" s="3">
        <v>10038</v>
      </c>
      <c r="G76" s="3" t="s">
        <v>43</v>
      </c>
      <c r="H76" s="3" t="s">
        <v>21</v>
      </c>
      <c r="I76" s="3">
        <v>394732</v>
      </c>
      <c r="J76" s="3">
        <v>283482</v>
      </c>
      <c r="K76" s="3">
        <v>111250</v>
      </c>
      <c r="L76" s="3">
        <v>452400</v>
      </c>
      <c r="M76" s="3">
        <v>283500</v>
      </c>
      <c r="N76" s="3">
        <v>111300</v>
      </c>
    </row>
    <row r="77" spans="1:14" ht="14.4">
      <c r="A77" s="3">
        <v>13365</v>
      </c>
      <c r="B77" s="3">
        <v>13366</v>
      </c>
      <c r="C77" s="3">
        <v>4085</v>
      </c>
      <c r="D77" s="3" t="s">
        <v>18</v>
      </c>
      <c r="E77" s="3" t="s">
        <v>69</v>
      </c>
      <c r="F77" s="3">
        <v>11201</v>
      </c>
      <c r="G77" s="3" t="s">
        <v>43</v>
      </c>
      <c r="H77" s="3" t="s">
        <v>21</v>
      </c>
      <c r="I77" s="3">
        <v>2032124</v>
      </c>
      <c r="J77" s="3">
        <v>1476403</v>
      </c>
      <c r="K77" s="3">
        <v>555721</v>
      </c>
      <c r="L77" s="3">
        <v>827000</v>
      </c>
      <c r="M77" s="3">
        <v>153400</v>
      </c>
      <c r="N77" s="3">
        <v>319000</v>
      </c>
    </row>
    <row r="78" spans="1:14" ht="14.4">
      <c r="A78" s="3">
        <v>13365</v>
      </c>
      <c r="B78" s="3">
        <v>13366</v>
      </c>
      <c r="C78" s="3">
        <v>4085</v>
      </c>
      <c r="D78" s="3" t="s">
        <v>18</v>
      </c>
      <c r="E78" s="3" t="s">
        <v>69</v>
      </c>
      <c r="F78" s="3">
        <v>11203</v>
      </c>
      <c r="G78" s="3" t="s">
        <v>43</v>
      </c>
      <c r="H78" s="3" t="s">
        <v>21</v>
      </c>
      <c r="I78" s="3">
        <v>44282</v>
      </c>
      <c r="J78" s="3">
        <v>39482</v>
      </c>
      <c r="K78" s="3">
        <v>4800</v>
      </c>
      <c r="L78" s="3">
        <v>0</v>
      </c>
      <c r="M78" s="3">
        <v>0</v>
      </c>
      <c r="N78" s="3">
        <v>0</v>
      </c>
    </row>
    <row r="79" spans="1:14" ht="14.4">
      <c r="A79" s="3">
        <v>13365</v>
      </c>
      <c r="B79" s="3">
        <v>13366</v>
      </c>
      <c r="C79" s="3">
        <v>4085</v>
      </c>
      <c r="D79" s="3" t="s">
        <v>18</v>
      </c>
      <c r="E79" s="3" t="s">
        <v>69</v>
      </c>
      <c r="F79" s="3">
        <v>11204</v>
      </c>
      <c r="G79" s="3" t="s">
        <v>43</v>
      </c>
      <c r="H79" s="3" t="s">
        <v>21</v>
      </c>
      <c r="I79" s="3">
        <v>605401</v>
      </c>
      <c r="J79" s="3">
        <v>199739</v>
      </c>
      <c r="K79" s="3">
        <v>405662</v>
      </c>
      <c r="L79" s="3">
        <v>0</v>
      </c>
      <c r="M79" s="3">
        <v>0</v>
      </c>
      <c r="N79" s="3">
        <v>0</v>
      </c>
    </row>
    <row r="80" spans="1:14" ht="14.4">
      <c r="A80" s="3">
        <v>13365</v>
      </c>
      <c r="B80" s="3">
        <v>13366</v>
      </c>
      <c r="C80" s="3">
        <v>4085</v>
      </c>
      <c r="D80" s="3" t="s">
        <v>18</v>
      </c>
      <c r="E80" s="3" t="s">
        <v>69</v>
      </c>
      <c r="F80" s="3">
        <v>11205</v>
      </c>
      <c r="G80" s="3" t="s">
        <v>43</v>
      </c>
      <c r="H80" s="3" t="s">
        <v>21</v>
      </c>
      <c r="I80" s="3">
        <v>24687308</v>
      </c>
      <c r="J80" s="3">
        <v>6168767</v>
      </c>
      <c r="K80" s="3">
        <v>18518541</v>
      </c>
      <c r="L80" s="3">
        <v>4112700</v>
      </c>
      <c r="M80" s="3">
        <v>0</v>
      </c>
      <c r="N80" s="3">
        <v>3306400</v>
      </c>
    </row>
    <row r="81" spans="1:14" ht="14.4">
      <c r="A81" s="3">
        <v>13365</v>
      </c>
      <c r="B81" s="3">
        <v>13366</v>
      </c>
      <c r="C81" s="3">
        <v>4085</v>
      </c>
      <c r="D81" s="3" t="s">
        <v>18</v>
      </c>
      <c r="E81" s="3" t="s">
        <v>69</v>
      </c>
      <c r="F81" s="3">
        <v>11206</v>
      </c>
      <c r="G81" s="3" t="s">
        <v>43</v>
      </c>
      <c r="H81" s="3" t="s">
        <v>21</v>
      </c>
      <c r="I81" s="3">
        <v>142840</v>
      </c>
      <c r="J81" s="3">
        <v>102720</v>
      </c>
      <c r="K81" s="3">
        <v>40120</v>
      </c>
      <c r="L81" s="3">
        <v>360000</v>
      </c>
      <c r="M81" s="3">
        <v>102800</v>
      </c>
      <c r="N81" s="3">
        <v>33800</v>
      </c>
    </row>
    <row r="82" spans="1:14" ht="14.4">
      <c r="A82" s="3">
        <v>13365</v>
      </c>
      <c r="B82" s="3">
        <v>13366</v>
      </c>
      <c r="C82" s="3">
        <v>4085</v>
      </c>
      <c r="D82" s="3" t="s">
        <v>18</v>
      </c>
      <c r="E82" s="3" t="s">
        <v>69</v>
      </c>
      <c r="F82" s="3">
        <v>11207</v>
      </c>
      <c r="G82" s="3" t="s">
        <v>43</v>
      </c>
      <c r="H82" s="3" t="s">
        <v>21</v>
      </c>
      <c r="I82" s="3">
        <v>353715</v>
      </c>
      <c r="J82" s="3">
        <v>350790</v>
      </c>
      <c r="K82" s="3">
        <v>2925</v>
      </c>
      <c r="L82" s="3">
        <v>0</v>
      </c>
      <c r="M82" s="3">
        <v>0</v>
      </c>
      <c r="N82" s="3">
        <v>0</v>
      </c>
    </row>
    <row r="83" spans="1:14" ht="14.4">
      <c r="A83" s="3">
        <v>13365</v>
      </c>
      <c r="B83" s="3">
        <v>13366</v>
      </c>
      <c r="C83" s="3">
        <v>4085</v>
      </c>
      <c r="D83" s="3" t="s">
        <v>18</v>
      </c>
      <c r="E83" s="3" t="s">
        <v>69</v>
      </c>
      <c r="F83" s="3">
        <v>11208</v>
      </c>
      <c r="G83" s="3" t="s">
        <v>43</v>
      </c>
      <c r="H83" s="3" t="s">
        <v>21</v>
      </c>
      <c r="I83" s="3">
        <v>281767</v>
      </c>
      <c r="J83" s="3">
        <v>85492</v>
      </c>
      <c r="K83" s="3">
        <v>196275</v>
      </c>
      <c r="L83" s="3">
        <v>97900</v>
      </c>
      <c r="M83" s="3">
        <v>85600</v>
      </c>
      <c r="N83" s="3">
        <v>9500</v>
      </c>
    </row>
    <row r="84" spans="1:14" ht="14.4">
      <c r="A84" s="3">
        <v>13365</v>
      </c>
      <c r="B84" s="3">
        <v>13366</v>
      </c>
      <c r="C84" s="3">
        <v>4085</v>
      </c>
      <c r="D84" s="3" t="s">
        <v>18</v>
      </c>
      <c r="E84" s="3" t="s">
        <v>69</v>
      </c>
      <c r="F84" s="3">
        <v>11209</v>
      </c>
      <c r="G84" s="3" t="s">
        <v>43</v>
      </c>
      <c r="H84" s="3" t="s">
        <v>21</v>
      </c>
      <c r="I84" s="3">
        <v>9807331</v>
      </c>
      <c r="J84" s="3">
        <v>0</v>
      </c>
      <c r="K84" s="3">
        <v>9807331</v>
      </c>
      <c r="L84" s="3">
        <v>270900</v>
      </c>
      <c r="M84" s="3">
        <v>0</v>
      </c>
      <c r="N84" s="3">
        <v>0</v>
      </c>
    </row>
    <row r="85" spans="1:14" ht="14.4">
      <c r="A85" s="3">
        <v>13365</v>
      </c>
      <c r="B85" s="3">
        <v>13366</v>
      </c>
      <c r="C85" s="3">
        <v>4085</v>
      </c>
      <c r="D85" s="3" t="s">
        <v>18</v>
      </c>
      <c r="E85" s="3" t="s">
        <v>69</v>
      </c>
      <c r="F85" s="3">
        <v>11210</v>
      </c>
      <c r="G85" s="3" t="s">
        <v>43</v>
      </c>
      <c r="H85" s="3" t="s">
        <v>21</v>
      </c>
      <c r="I85" s="3">
        <v>353135</v>
      </c>
      <c r="J85" s="3">
        <v>271212</v>
      </c>
      <c r="K85" s="3">
        <v>81923</v>
      </c>
      <c r="L85" s="3">
        <v>24200</v>
      </c>
      <c r="M85" s="3">
        <v>0</v>
      </c>
      <c r="N85" s="3">
        <v>24200</v>
      </c>
    </row>
    <row r="86" spans="1:14" ht="14.4">
      <c r="A86" s="3">
        <v>13365</v>
      </c>
      <c r="B86" s="3">
        <v>13366</v>
      </c>
      <c r="C86" s="3">
        <v>4085</v>
      </c>
      <c r="D86" s="3" t="s">
        <v>18</v>
      </c>
      <c r="E86" s="3" t="s">
        <v>69</v>
      </c>
      <c r="F86" s="3">
        <v>11211</v>
      </c>
      <c r="G86" s="3" t="s">
        <v>43</v>
      </c>
      <c r="H86" s="3" t="s">
        <v>21</v>
      </c>
      <c r="I86" s="3">
        <v>1218762</v>
      </c>
      <c r="J86" s="3">
        <v>63735</v>
      </c>
      <c r="K86" s="3">
        <v>1155027</v>
      </c>
      <c r="L86" s="3">
        <v>1040200</v>
      </c>
      <c r="M86" s="3">
        <v>0</v>
      </c>
      <c r="N86" s="3">
        <v>790200</v>
      </c>
    </row>
    <row r="87" spans="1:14" ht="14.4">
      <c r="A87" s="3">
        <v>13365</v>
      </c>
      <c r="B87" s="3">
        <v>13366</v>
      </c>
      <c r="C87" s="3">
        <v>4085</v>
      </c>
      <c r="D87" s="3" t="s">
        <v>18</v>
      </c>
      <c r="E87" s="3" t="s">
        <v>69</v>
      </c>
      <c r="F87" s="3">
        <v>11212</v>
      </c>
      <c r="G87" s="3" t="s">
        <v>43</v>
      </c>
      <c r="H87" s="3" t="s">
        <v>21</v>
      </c>
      <c r="I87" s="3">
        <v>110080</v>
      </c>
      <c r="J87" s="3">
        <v>70385</v>
      </c>
      <c r="K87" s="3">
        <v>39695</v>
      </c>
      <c r="L87" s="3">
        <v>14000</v>
      </c>
      <c r="M87" s="3">
        <v>14000</v>
      </c>
      <c r="N87" s="3">
        <v>0</v>
      </c>
    </row>
    <row r="88" spans="1:14" ht="14.4">
      <c r="A88" s="3">
        <v>13365</v>
      </c>
      <c r="B88" s="3">
        <v>13366</v>
      </c>
      <c r="C88" s="3">
        <v>4085</v>
      </c>
      <c r="D88" s="3" t="s">
        <v>18</v>
      </c>
      <c r="E88" s="3" t="s">
        <v>69</v>
      </c>
      <c r="F88" s="3">
        <v>11213</v>
      </c>
      <c r="G88" s="3" t="s">
        <v>43</v>
      </c>
      <c r="H88" s="3" t="s">
        <v>21</v>
      </c>
      <c r="I88" s="3">
        <v>125511</v>
      </c>
      <c r="J88" s="3">
        <v>101761</v>
      </c>
      <c r="K88" s="3">
        <v>23750</v>
      </c>
      <c r="L88" s="3">
        <v>0</v>
      </c>
      <c r="M88" s="3">
        <v>0</v>
      </c>
      <c r="N88" s="3">
        <v>0</v>
      </c>
    </row>
    <row r="89" spans="1:14" ht="14.4">
      <c r="A89" s="3">
        <v>13365</v>
      </c>
      <c r="B89" s="3">
        <v>13366</v>
      </c>
      <c r="C89" s="3">
        <v>4085</v>
      </c>
      <c r="D89" s="3" t="s">
        <v>18</v>
      </c>
      <c r="E89" s="3" t="s">
        <v>69</v>
      </c>
      <c r="F89" s="3">
        <v>11214</v>
      </c>
      <c r="G89" s="3" t="s">
        <v>43</v>
      </c>
      <c r="H89" s="3" t="s">
        <v>21</v>
      </c>
      <c r="I89" s="3">
        <v>1651735</v>
      </c>
      <c r="J89" s="3">
        <v>1205372</v>
      </c>
      <c r="K89" s="3">
        <v>446363</v>
      </c>
      <c r="L89" s="3">
        <v>544700</v>
      </c>
      <c r="M89" s="3">
        <v>379600</v>
      </c>
      <c r="N89" s="3">
        <v>83000</v>
      </c>
    </row>
    <row r="90" spans="1:14" ht="14.4">
      <c r="A90" s="3">
        <v>13365</v>
      </c>
      <c r="B90" s="3">
        <v>13366</v>
      </c>
      <c r="C90" s="3">
        <v>4085</v>
      </c>
      <c r="D90" s="3" t="s">
        <v>18</v>
      </c>
      <c r="E90" s="3" t="s">
        <v>69</v>
      </c>
      <c r="F90" s="3">
        <v>11215</v>
      </c>
      <c r="G90" s="3" t="s">
        <v>43</v>
      </c>
      <c r="H90" s="3" t="s">
        <v>21</v>
      </c>
      <c r="I90" s="3">
        <v>9951192</v>
      </c>
      <c r="J90" s="3">
        <v>1474336</v>
      </c>
      <c r="K90" s="3">
        <v>8476856</v>
      </c>
      <c r="L90" s="3">
        <v>3164900</v>
      </c>
      <c r="M90" s="3">
        <v>65300</v>
      </c>
      <c r="N90" s="3">
        <v>2732500</v>
      </c>
    </row>
    <row r="91" spans="1:14" ht="14.4">
      <c r="A91" s="3">
        <v>13365</v>
      </c>
      <c r="B91" s="3">
        <v>13366</v>
      </c>
      <c r="C91" s="3">
        <v>4085</v>
      </c>
      <c r="D91" s="3" t="s">
        <v>18</v>
      </c>
      <c r="E91" s="3" t="s">
        <v>69</v>
      </c>
      <c r="F91" s="3">
        <v>11216</v>
      </c>
      <c r="G91" s="3" t="s">
        <v>43</v>
      </c>
      <c r="H91" s="3" t="s">
        <v>21</v>
      </c>
      <c r="I91" s="3">
        <v>59581</v>
      </c>
      <c r="J91" s="3">
        <v>53026</v>
      </c>
      <c r="K91" s="3">
        <v>6555</v>
      </c>
      <c r="L91" s="3">
        <v>33400</v>
      </c>
      <c r="M91" s="3">
        <v>33100</v>
      </c>
      <c r="N91" s="3">
        <v>300</v>
      </c>
    </row>
    <row r="92" spans="1:14" ht="14.4">
      <c r="A92" s="3">
        <v>13365</v>
      </c>
      <c r="B92" s="3">
        <v>13366</v>
      </c>
      <c r="C92" s="3">
        <v>4085</v>
      </c>
      <c r="D92" s="3" t="s">
        <v>18</v>
      </c>
      <c r="E92" s="3" t="s">
        <v>69</v>
      </c>
      <c r="F92" s="3">
        <v>11217</v>
      </c>
      <c r="G92" s="3" t="s">
        <v>43</v>
      </c>
      <c r="H92" s="3" t="s">
        <v>21</v>
      </c>
      <c r="I92" s="3">
        <v>3927338</v>
      </c>
      <c r="J92" s="3">
        <v>338498</v>
      </c>
      <c r="K92" s="3">
        <v>3588840</v>
      </c>
      <c r="L92" s="3">
        <v>488700</v>
      </c>
      <c r="M92" s="3">
        <v>98300</v>
      </c>
      <c r="N92" s="3">
        <v>258500</v>
      </c>
    </row>
    <row r="93" spans="1:14" ht="14.4">
      <c r="A93" s="3">
        <v>13365</v>
      </c>
      <c r="B93" s="3">
        <v>13366</v>
      </c>
      <c r="C93" s="3">
        <v>4085</v>
      </c>
      <c r="D93" s="3" t="s">
        <v>18</v>
      </c>
      <c r="E93" s="3" t="s">
        <v>69</v>
      </c>
      <c r="F93" s="3">
        <v>11218</v>
      </c>
      <c r="G93" s="3" t="s">
        <v>43</v>
      </c>
      <c r="H93" s="3" t="s">
        <v>21</v>
      </c>
      <c r="I93" s="3">
        <v>76949</v>
      </c>
      <c r="J93" s="3">
        <v>76949</v>
      </c>
      <c r="K93" s="3">
        <v>0</v>
      </c>
      <c r="L93" s="3">
        <v>22300</v>
      </c>
      <c r="M93" s="3">
        <v>0</v>
      </c>
      <c r="N93" s="3">
        <v>0</v>
      </c>
    </row>
    <row r="94" spans="1:14" ht="14.4">
      <c r="A94" s="3">
        <v>13365</v>
      </c>
      <c r="B94" s="3">
        <v>13366</v>
      </c>
      <c r="C94" s="3">
        <v>4085</v>
      </c>
      <c r="D94" s="3" t="s">
        <v>18</v>
      </c>
      <c r="E94" s="3" t="s">
        <v>69</v>
      </c>
      <c r="F94" s="3">
        <v>11219</v>
      </c>
      <c r="G94" s="3" t="s">
        <v>43</v>
      </c>
      <c r="H94" s="3" t="s">
        <v>21</v>
      </c>
      <c r="I94" s="3">
        <v>119701</v>
      </c>
      <c r="J94" s="3">
        <v>42471</v>
      </c>
      <c r="K94" s="3">
        <v>77230</v>
      </c>
      <c r="L94" s="3">
        <v>123500</v>
      </c>
      <c r="M94" s="3">
        <v>42500</v>
      </c>
      <c r="N94" s="3">
        <v>49600</v>
      </c>
    </row>
    <row r="95" spans="1:14" ht="14.4">
      <c r="A95" s="3">
        <v>13365</v>
      </c>
      <c r="B95" s="3">
        <v>13366</v>
      </c>
      <c r="C95" s="3">
        <v>4085</v>
      </c>
      <c r="D95" s="3" t="s">
        <v>18</v>
      </c>
      <c r="E95" s="3" t="s">
        <v>69</v>
      </c>
      <c r="F95" s="3">
        <v>11220</v>
      </c>
      <c r="G95" s="3" t="s">
        <v>43</v>
      </c>
      <c r="H95" s="3" t="s">
        <v>21</v>
      </c>
      <c r="I95" s="3">
        <v>417982</v>
      </c>
      <c r="J95" s="3">
        <v>210990</v>
      </c>
      <c r="K95" s="3">
        <v>206992</v>
      </c>
      <c r="L95" s="3">
        <v>51800</v>
      </c>
      <c r="M95" s="3">
        <v>14700</v>
      </c>
      <c r="N95" s="3">
        <v>37100</v>
      </c>
    </row>
    <row r="96" spans="1:14" ht="14.4">
      <c r="A96" s="3">
        <v>13365</v>
      </c>
      <c r="B96" s="3">
        <v>13366</v>
      </c>
      <c r="C96" s="3">
        <v>4085</v>
      </c>
      <c r="D96" s="3" t="s">
        <v>18</v>
      </c>
      <c r="E96" s="3" t="s">
        <v>69</v>
      </c>
      <c r="F96" s="3">
        <v>11221</v>
      </c>
      <c r="G96" s="3" t="s">
        <v>43</v>
      </c>
      <c r="H96" s="3" t="s">
        <v>21</v>
      </c>
      <c r="I96" s="3">
        <v>6000</v>
      </c>
      <c r="J96" s="3">
        <v>0</v>
      </c>
      <c r="K96" s="3">
        <v>6000</v>
      </c>
      <c r="L96" s="3">
        <v>0</v>
      </c>
      <c r="M96" s="3">
        <v>0</v>
      </c>
      <c r="N96" s="3">
        <v>0</v>
      </c>
    </row>
    <row r="97" spans="1:14" ht="14.4">
      <c r="A97" s="3">
        <v>13365</v>
      </c>
      <c r="B97" s="3">
        <v>13366</v>
      </c>
      <c r="C97" s="3">
        <v>4085</v>
      </c>
      <c r="D97" s="3" t="s">
        <v>18</v>
      </c>
      <c r="E97" s="3" t="s">
        <v>69</v>
      </c>
      <c r="F97" s="3">
        <v>11222</v>
      </c>
      <c r="G97" s="3" t="s">
        <v>43</v>
      </c>
      <c r="H97" s="3" t="s">
        <v>21</v>
      </c>
      <c r="I97" s="3">
        <v>2796132</v>
      </c>
      <c r="J97" s="3">
        <v>2407902</v>
      </c>
      <c r="K97" s="3">
        <v>388230</v>
      </c>
      <c r="L97" s="3">
        <v>254100</v>
      </c>
      <c r="M97" s="3">
        <v>223171.24</v>
      </c>
      <c r="N97" s="3">
        <v>30928.76</v>
      </c>
    </row>
    <row r="98" spans="1:14" ht="14.4">
      <c r="A98" s="3">
        <v>13365</v>
      </c>
      <c r="B98" s="3">
        <v>13366</v>
      </c>
      <c r="C98" s="3">
        <v>4085</v>
      </c>
      <c r="D98" s="3" t="s">
        <v>18</v>
      </c>
      <c r="E98" s="3" t="s">
        <v>69</v>
      </c>
      <c r="F98" s="3">
        <v>11223</v>
      </c>
      <c r="G98" s="3" t="s">
        <v>43</v>
      </c>
      <c r="H98" s="3" t="s">
        <v>21</v>
      </c>
      <c r="I98" s="3">
        <v>1456657</v>
      </c>
      <c r="J98" s="3">
        <v>694563</v>
      </c>
      <c r="K98" s="3">
        <v>762094</v>
      </c>
      <c r="L98" s="3">
        <v>1959100</v>
      </c>
      <c r="M98" s="3">
        <v>447000</v>
      </c>
      <c r="N98" s="3">
        <v>500200</v>
      </c>
    </row>
    <row r="99" spans="1:14" ht="14.4">
      <c r="A99" s="3">
        <v>13365</v>
      </c>
      <c r="B99" s="3">
        <v>13366</v>
      </c>
      <c r="C99" s="3">
        <v>4085</v>
      </c>
      <c r="D99" s="3" t="s">
        <v>18</v>
      </c>
      <c r="E99" s="3" t="s">
        <v>69</v>
      </c>
      <c r="F99" s="3">
        <v>11224</v>
      </c>
      <c r="G99" s="3" t="s">
        <v>43</v>
      </c>
      <c r="H99" s="3" t="s">
        <v>21</v>
      </c>
      <c r="I99" s="3">
        <v>51577359</v>
      </c>
      <c r="J99" s="3">
        <v>30331809</v>
      </c>
      <c r="K99" s="3">
        <v>21245550</v>
      </c>
      <c r="L99" s="3">
        <v>15007600</v>
      </c>
      <c r="M99" s="3">
        <v>6497100</v>
      </c>
      <c r="N99" s="3">
        <v>7773400</v>
      </c>
    </row>
    <row r="100" spans="1:14" ht="14.4">
      <c r="A100" s="3">
        <v>13365</v>
      </c>
      <c r="B100" s="3">
        <v>13366</v>
      </c>
      <c r="C100" s="3">
        <v>4085</v>
      </c>
      <c r="D100" s="3" t="s">
        <v>18</v>
      </c>
      <c r="E100" s="3" t="s">
        <v>69</v>
      </c>
      <c r="F100" s="3">
        <v>11225</v>
      </c>
      <c r="G100" s="3" t="s">
        <v>43</v>
      </c>
      <c r="H100" s="3" t="s">
        <v>21</v>
      </c>
      <c r="I100" s="3">
        <v>8852</v>
      </c>
      <c r="J100" s="3">
        <v>5452</v>
      </c>
      <c r="K100" s="3">
        <v>3400</v>
      </c>
      <c r="L100" s="3">
        <v>0</v>
      </c>
      <c r="M100" s="3">
        <v>0</v>
      </c>
      <c r="N100" s="3">
        <v>0</v>
      </c>
    </row>
    <row r="101" spans="1:14" ht="14.4">
      <c r="A101" s="3">
        <v>13365</v>
      </c>
      <c r="B101" s="3">
        <v>13366</v>
      </c>
      <c r="C101" s="3">
        <v>4085</v>
      </c>
      <c r="D101" s="3" t="s">
        <v>18</v>
      </c>
      <c r="E101" s="3" t="s">
        <v>69</v>
      </c>
      <c r="F101" s="3">
        <v>11226</v>
      </c>
      <c r="G101" s="3" t="s">
        <v>43</v>
      </c>
      <c r="H101" s="3" t="s">
        <v>21</v>
      </c>
      <c r="I101" s="3">
        <v>119892</v>
      </c>
      <c r="J101" s="3">
        <v>74795</v>
      </c>
      <c r="K101" s="3">
        <v>45097</v>
      </c>
      <c r="L101" s="3">
        <v>0</v>
      </c>
      <c r="M101" s="3">
        <v>0</v>
      </c>
      <c r="N101" s="3">
        <v>0</v>
      </c>
    </row>
    <row r="102" spans="1:14" ht="14.4">
      <c r="A102" s="3">
        <v>13365</v>
      </c>
      <c r="B102" s="3">
        <v>13366</v>
      </c>
      <c r="C102" s="3">
        <v>4085</v>
      </c>
      <c r="D102" s="3" t="s">
        <v>18</v>
      </c>
      <c r="E102" s="3" t="s">
        <v>69</v>
      </c>
      <c r="F102" s="3">
        <v>11228</v>
      </c>
      <c r="G102" s="3" t="s">
        <v>43</v>
      </c>
      <c r="H102" s="3" t="s">
        <v>21</v>
      </c>
      <c r="I102" s="3">
        <v>657736</v>
      </c>
      <c r="J102" s="3">
        <v>318350</v>
      </c>
      <c r="K102" s="3">
        <v>339386</v>
      </c>
      <c r="L102" s="3">
        <v>341200</v>
      </c>
      <c r="M102" s="3">
        <v>0</v>
      </c>
      <c r="N102" s="3">
        <v>215900</v>
      </c>
    </row>
    <row r="103" spans="1:14" ht="14.4">
      <c r="A103" s="3">
        <v>13365</v>
      </c>
      <c r="B103" s="3">
        <v>13366</v>
      </c>
      <c r="C103" s="3">
        <v>4085</v>
      </c>
      <c r="D103" s="3" t="s">
        <v>18</v>
      </c>
      <c r="E103" s="3" t="s">
        <v>69</v>
      </c>
      <c r="F103" s="3">
        <v>11229</v>
      </c>
      <c r="G103" s="3" t="s">
        <v>43</v>
      </c>
      <c r="H103" s="3" t="s">
        <v>21</v>
      </c>
      <c r="I103" s="3">
        <v>2932937</v>
      </c>
      <c r="J103" s="3">
        <v>2029524</v>
      </c>
      <c r="K103" s="3">
        <v>903413</v>
      </c>
      <c r="L103" s="3">
        <v>1904900</v>
      </c>
      <c r="M103" s="3">
        <v>736400</v>
      </c>
      <c r="N103" s="3">
        <v>467600</v>
      </c>
    </row>
    <row r="104" spans="1:14" ht="14.4">
      <c r="A104" s="3">
        <v>13365</v>
      </c>
      <c r="B104" s="3">
        <v>13366</v>
      </c>
      <c r="C104" s="3">
        <v>4085</v>
      </c>
      <c r="D104" s="3" t="s">
        <v>18</v>
      </c>
      <c r="E104" s="3" t="s">
        <v>69</v>
      </c>
      <c r="F104" s="3">
        <v>11230</v>
      </c>
      <c r="G104" s="3" t="s">
        <v>43</v>
      </c>
      <c r="H104" s="3" t="s">
        <v>21</v>
      </c>
      <c r="I104" s="3">
        <v>2046995</v>
      </c>
      <c r="J104" s="3">
        <v>278171</v>
      </c>
      <c r="K104" s="3">
        <v>1768824</v>
      </c>
      <c r="L104" s="3">
        <v>417700</v>
      </c>
      <c r="M104" s="3">
        <v>0</v>
      </c>
      <c r="N104" s="3">
        <v>339500</v>
      </c>
    </row>
    <row r="105" spans="1:14" ht="14.4">
      <c r="A105" s="3">
        <v>13365</v>
      </c>
      <c r="B105" s="3">
        <v>13366</v>
      </c>
      <c r="C105" s="3">
        <v>4085</v>
      </c>
      <c r="D105" s="3" t="s">
        <v>18</v>
      </c>
      <c r="E105" s="3" t="s">
        <v>69</v>
      </c>
      <c r="F105" s="3">
        <v>11231</v>
      </c>
      <c r="G105" s="3" t="s">
        <v>43</v>
      </c>
      <c r="H105" s="3" t="s">
        <v>21</v>
      </c>
      <c r="I105" s="3">
        <v>26080073</v>
      </c>
      <c r="J105" s="3">
        <v>5100949</v>
      </c>
      <c r="K105" s="3">
        <v>20979124</v>
      </c>
      <c r="L105" s="3">
        <v>10808900</v>
      </c>
      <c r="M105" s="3">
        <v>1013000</v>
      </c>
      <c r="N105" s="3">
        <v>8551700</v>
      </c>
    </row>
    <row r="106" spans="1:14" ht="14.4">
      <c r="A106" s="3">
        <v>13365</v>
      </c>
      <c r="B106" s="3">
        <v>13366</v>
      </c>
      <c r="C106" s="3">
        <v>4085</v>
      </c>
      <c r="D106" s="3" t="s">
        <v>18</v>
      </c>
      <c r="E106" s="3" t="s">
        <v>69</v>
      </c>
      <c r="F106" s="3">
        <v>11232</v>
      </c>
      <c r="G106" s="3" t="s">
        <v>43</v>
      </c>
      <c r="H106" s="3" t="s">
        <v>21</v>
      </c>
      <c r="I106" s="3">
        <v>8600311</v>
      </c>
      <c r="J106" s="3">
        <v>1492488</v>
      </c>
      <c r="K106" s="3">
        <v>7107823</v>
      </c>
      <c r="L106" s="3">
        <v>3957000</v>
      </c>
      <c r="M106" s="3">
        <v>235200</v>
      </c>
      <c r="N106" s="3">
        <v>3033800</v>
      </c>
    </row>
    <row r="107" spans="1:14" ht="14.4">
      <c r="A107" s="3">
        <v>13365</v>
      </c>
      <c r="B107" s="3">
        <v>13366</v>
      </c>
      <c r="C107" s="3">
        <v>4085</v>
      </c>
      <c r="D107" s="3" t="s">
        <v>18</v>
      </c>
      <c r="E107" s="3" t="s">
        <v>69</v>
      </c>
      <c r="F107" s="3">
        <v>11233</v>
      </c>
      <c r="G107" s="3" t="s">
        <v>43</v>
      </c>
      <c r="H107" s="3" t="s">
        <v>21</v>
      </c>
      <c r="I107" s="3">
        <v>358366</v>
      </c>
      <c r="J107" s="3">
        <v>193731</v>
      </c>
      <c r="K107" s="3">
        <v>164635</v>
      </c>
      <c r="L107" s="3">
        <v>7800</v>
      </c>
      <c r="M107" s="3">
        <v>4600</v>
      </c>
      <c r="N107" s="3">
        <v>3200</v>
      </c>
    </row>
    <row r="108" spans="1:14" ht="14.4">
      <c r="A108" s="3">
        <v>13365</v>
      </c>
      <c r="B108" s="3">
        <v>13366</v>
      </c>
      <c r="C108" s="3">
        <v>4085</v>
      </c>
      <c r="D108" s="3" t="s">
        <v>18</v>
      </c>
      <c r="E108" s="3" t="s">
        <v>69</v>
      </c>
      <c r="F108" s="3">
        <v>11234</v>
      </c>
      <c r="G108" s="3" t="s">
        <v>43</v>
      </c>
      <c r="H108" s="3" t="s">
        <v>21</v>
      </c>
      <c r="I108" s="3">
        <v>5645164</v>
      </c>
      <c r="J108" s="3">
        <v>3486998</v>
      </c>
      <c r="K108" s="3">
        <v>2158166</v>
      </c>
      <c r="L108" s="3">
        <v>2815600</v>
      </c>
      <c r="M108" s="3">
        <v>1632300</v>
      </c>
      <c r="N108" s="3">
        <v>1054500</v>
      </c>
    </row>
    <row r="109" spans="1:14" ht="14.4">
      <c r="A109" s="3">
        <v>13365</v>
      </c>
      <c r="B109" s="3">
        <v>13366</v>
      </c>
      <c r="C109" s="3">
        <v>4085</v>
      </c>
      <c r="D109" s="3" t="s">
        <v>18</v>
      </c>
      <c r="E109" s="3" t="s">
        <v>69</v>
      </c>
      <c r="F109" s="3">
        <v>11235</v>
      </c>
      <c r="G109" s="3" t="s">
        <v>43</v>
      </c>
      <c r="H109" s="3" t="s">
        <v>21</v>
      </c>
      <c r="I109" s="3">
        <v>72667614</v>
      </c>
      <c r="J109" s="3">
        <v>43114226</v>
      </c>
      <c r="K109" s="3">
        <v>29553388</v>
      </c>
      <c r="L109" s="3">
        <v>21391700</v>
      </c>
      <c r="M109" s="3">
        <v>11177600</v>
      </c>
      <c r="N109" s="3">
        <v>7998900</v>
      </c>
    </row>
    <row r="110" spans="1:14" ht="14.4">
      <c r="A110" s="3">
        <v>13365</v>
      </c>
      <c r="B110" s="3">
        <v>13366</v>
      </c>
      <c r="C110" s="3">
        <v>4085</v>
      </c>
      <c r="D110" s="3" t="s">
        <v>18</v>
      </c>
      <c r="E110" s="3" t="s">
        <v>69</v>
      </c>
      <c r="F110" s="3">
        <v>11236</v>
      </c>
      <c r="G110" s="3" t="s">
        <v>43</v>
      </c>
      <c r="H110" s="3" t="s">
        <v>21</v>
      </c>
      <c r="I110" s="3">
        <v>6175686</v>
      </c>
      <c r="J110" s="3">
        <v>5123130</v>
      </c>
      <c r="K110" s="3">
        <v>1052556</v>
      </c>
      <c r="L110" s="3">
        <v>2379500</v>
      </c>
      <c r="M110" s="3">
        <v>1585600</v>
      </c>
      <c r="N110" s="3">
        <v>380800</v>
      </c>
    </row>
    <row r="111" spans="1:14" ht="14.4">
      <c r="A111" s="3">
        <v>13365</v>
      </c>
      <c r="B111" s="3">
        <v>13366</v>
      </c>
      <c r="C111" s="3">
        <v>4085</v>
      </c>
      <c r="D111" s="3" t="s">
        <v>18</v>
      </c>
      <c r="E111" s="3" t="s">
        <v>69</v>
      </c>
      <c r="F111" s="3">
        <v>11237</v>
      </c>
      <c r="G111" s="3" t="s">
        <v>43</v>
      </c>
      <c r="H111" s="3" t="s">
        <v>21</v>
      </c>
      <c r="I111" s="3">
        <v>605845</v>
      </c>
      <c r="J111" s="3">
        <v>231998</v>
      </c>
      <c r="K111" s="3">
        <v>373847</v>
      </c>
      <c r="L111" s="3">
        <v>0</v>
      </c>
      <c r="M111" s="3">
        <v>0</v>
      </c>
      <c r="N111" s="3">
        <v>0</v>
      </c>
    </row>
    <row r="112" spans="1:14" ht="14.4">
      <c r="A112" s="3">
        <v>13365</v>
      </c>
      <c r="B112" s="3">
        <v>13366</v>
      </c>
      <c r="C112" s="3">
        <v>4085</v>
      </c>
      <c r="D112" s="3" t="s">
        <v>18</v>
      </c>
      <c r="E112" s="3" t="s">
        <v>69</v>
      </c>
      <c r="F112" s="3">
        <v>11238</v>
      </c>
      <c r="G112" s="3" t="s">
        <v>43</v>
      </c>
      <c r="H112" s="3" t="s">
        <v>21</v>
      </c>
      <c r="I112" s="3">
        <v>108493</v>
      </c>
      <c r="J112" s="3">
        <v>18272</v>
      </c>
      <c r="K112" s="3">
        <v>90221</v>
      </c>
      <c r="L112" s="3">
        <v>191000</v>
      </c>
      <c r="M112" s="3">
        <v>0</v>
      </c>
      <c r="N112" s="3">
        <v>71300</v>
      </c>
    </row>
    <row r="113" spans="1:14" ht="14.4">
      <c r="A113" s="3">
        <v>13365</v>
      </c>
      <c r="B113" s="3">
        <v>13366</v>
      </c>
      <c r="C113" s="3">
        <v>4085</v>
      </c>
      <c r="D113" s="3" t="s">
        <v>18</v>
      </c>
      <c r="E113" s="3" t="s">
        <v>69</v>
      </c>
      <c r="F113" s="3">
        <v>11239</v>
      </c>
      <c r="G113" s="3" t="s">
        <v>43</v>
      </c>
      <c r="H113" s="3" t="s">
        <v>21</v>
      </c>
      <c r="I113" s="3">
        <v>0</v>
      </c>
      <c r="J113" s="3">
        <v>0</v>
      </c>
      <c r="K113" s="3">
        <v>0</v>
      </c>
      <c r="L113" s="3">
        <v>16100</v>
      </c>
      <c r="M113" s="3">
        <v>0</v>
      </c>
      <c r="N113" s="3">
        <v>0</v>
      </c>
    </row>
    <row r="114" spans="1:14" ht="14.4">
      <c r="A114" s="3">
        <v>13365</v>
      </c>
      <c r="B114" s="3">
        <v>13366</v>
      </c>
      <c r="C114" s="3">
        <v>4085</v>
      </c>
      <c r="D114" s="3" t="s">
        <v>18</v>
      </c>
      <c r="E114" s="3" t="s">
        <v>69</v>
      </c>
      <c r="F114" s="3">
        <v>11249</v>
      </c>
      <c r="G114" s="3" t="s">
        <v>43</v>
      </c>
      <c r="H114" s="3" t="s">
        <v>21</v>
      </c>
      <c r="I114" s="3">
        <v>17868</v>
      </c>
      <c r="J114" s="3">
        <v>0</v>
      </c>
      <c r="K114" s="3">
        <v>17868</v>
      </c>
      <c r="L114" s="3">
        <v>72700</v>
      </c>
      <c r="M114" s="3">
        <v>0</v>
      </c>
      <c r="N114" s="3">
        <v>0</v>
      </c>
    </row>
    <row r="115" spans="1:14" ht="14.4">
      <c r="A115" s="3">
        <v>13365</v>
      </c>
      <c r="B115" s="3">
        <v>13366</v>
      </c>
      <c r="C115" s="3">
        <v>4085</v>
      </c>
      <c r="D115" s="3" t="s">
        <v>18</v>
      </c>
      <c r="E115" s="3" t="s">
        <v>69</v>
      </c>
      <c r="F115" s="3">
        <v>11520</v>
      </c>
      <c r="G115" s="3" t="s">
        <v>43</v>
      </c>
      <c r="H115" s="3" t="s">
        <v>21</v>
      </c>
      <c r="I115" s="3">
        <v>46931</v>
      </c>
      <c r="J115" s="3">
        <v>20141</v>
      </c>
      <c r="K115" s="3">
        <v>26790</v>
      </c>
      <c r="L115" s="3">
        <v>0</v>
      </c>
      <c r="M115" s="3">
        <v>0</v>
      </c>
      <c r="N115" s="3">
        <v>0</v>
      </c>
    </row>
    <row r="116" spans="1:14" ht="14.4">
      <c r="A116" s="3">
        <v>13365</v>
      </c>
      <c r="B116" s="3">
        <v>13366</v>
      </c>
      <c r="C116" s="3">
        <v>4085</v>
      </c>
      <c r="D116" s="3" t="s">
        <v>18</v>
      </c>
      <c r="E116" s="3" t="s">
        <v>69</v>
      </c>
      <c r="F116" s="3">
        <v>11235</v>
      </c>
      <c r="G116" s="3" t="s">
        <v>20</v>
      </c>
      <c r="H116" s="3" t="s">
        <v>21</v>
      </c>
      <c r="I116" s="3">
        <v>6465</v>
      </c>
      <c r="J116" s="3">
        <v>0</v>
      </c>
      <c r="K116" s="3">
        <v>6465</v>
      </c>
      <c r="L116" s="3">
        <v>0</v>
      </c>
      <c r="M116" s="3">
        <v>0</v>
      </c>
      <c r="N116" s="3">
        <v>0</v>
      </c>
    </row>
    <row r="117" spans="1:14" ht="14.4">
      <c r="A117" s="3">
        <v>13365</v>
      </c>
      <c r="B117" s="3">
        <v>13366</v>
      </c>
      <c r="C117" s="3">
        <v>4085</v>
      </c>
      <c r="D117" s="3" t="s">
        <v>18</v>
      </c>
      <c r="E117" s="3" t="s">
        <v>69</v>
      </c>
      <c r="F117" s="3">
        <v>11209</v>
      </c>
      <c r="G117" s="3" t="s">
        <v>32</v>
      </c>
      <c r="H117" s="3" t="s">
        <v>21</v>
      </c>
      <c r="I117" s="3">
        <v>53145</v>
      </c>
      <c r="J117" s="3">
        <v>0</v>
      </c>
      <c r="K117" s="3">
        <v>53145</v>
      </c>
      <c r="L117" s="3">
        <v>0</v>
      </c>
      <c r="M117" s="3">
        <v>0</v>
      </c>
      <c r="N117" s="3">
        <v>0</v>
      </c>
    </row>
    <row r="118" spans="1:14" ht="14.4">
      <c r="A118" s="3">
        <v>13365</v>
      </c>
      <c r="B118" s="3">
        <v>13366</v>
      </c>
      <c r="C118" s="3">
        <v>4085</v>
      </c>
      <c r="D118" s="3" t="s">
        <v>18</v>
      </c>
      <c r="E118" s="3" t="s">
        <v>69</v>
      </c>
      <c r="F118" s="3">
        <v>11224</v>
      </c>
      <c r="G118" s="3" t="s">
        <v>32</v>
      </c>
      <c r="H118" s="3" t="s">
        <v>21</v>
      </c>
      <c r="I118" s="3">
        <v>129339</v>
      </c>
      <c r="J118" s="3">
        <v>7714</v>
      </c>
      <c r="K118" s="3">
        <v>121625</v>
      </c>
      <c r="L118" s="3">
        <v>0</v>
      </c>
      <c r="M118" s="3">
        <v>0</v>
      </c>
      <c r="N118" s="3">
        <v>0</v>
      </c>
    </row>
    <row r="119" spans="1:14" ht="14.4">
      <c r="A119" s="3">
        <v>13365</v>
      </c>
      <c r="B119" s="3">
        <v>13366</v>
      </c>
      <c r="C119" s="3">
        <v>4085</v>
      </c>
      <c r="D119" s="3" t="s">
        <v>18</v>
      </c>
      <c r="E119" s="3" t="s">
        <v>69</v>
      </c>
      <c r="F119" s="3">
        <v>11229</v>
      </c>
      <c r="G119" s="3" t="s">
        <v>32</v>
      </c>
      <c r="H119" s="3" t="s">
        <v>21</v>
      </c>
      <c r="I119" s="3">
        <v>39169</v>
      </c>
      <c r="J119" s="3">
        <v>22699</v>
      </c>
      <c r="K119" s="3">
        <v>16470</v>
      </c>
      <c r="L119" s="3">
        <v>0</v>
      </c>
      <c r="M119" s="3">
        <v>0</v>
      </c>
      <c r="N119" s="3">
        <v>0</v>
      </c>
    </row>
    <row r="120" spans="1:14" ht="14.4">
      <c r="A120" s="3">
        <v>13365</v>
      </c>
      <c r="B120" s="3">
        <v>13366</v>
      </c>
      <c r="C120" s="3">
        <v>4085</v>
      </c>
      <c r="D120" s="3" t="s">
        <v>18</v>
      </c>
      <c r="E120" s="3" t="s">
        <v>69</v>
      </c>
      <c r="F120" s="3">
        <v>11231</v>
      </c>
      <c r="G120" s="3" t="s">
        <v>32</v>
      </c>
      <c r="H120" s="3" t="s">
        <v>21</v>
      </c>
      <c r="I120" s="3">
        <v>99830</v>
      </c>
      <c r="J120" s="3">
        <v>0</v>
      </c>
      <c r="K120" s="3">
        <v>99830</v>
      </c>
      <c r="L120" s="3">
        <v>0</v>
      </c>
      <c r="M120" s="3">
        <v>0</v>
      </c>
      <c r="N120" s="3">
        <v>0</v>
      </c>
    </row>
    <row r="121" spans="1:14" ht="14.4">
      <c r="A121" s="3">
        <v>13365</v>
      </c>
      <c r="B121" s="3">
        <v>13366</v>
      </c>
      <c r="C121" s="3">
        <v>4085</v>
      </c>
      <c r="D121" s="3" t="s">
        <v>18</v>
      </c>
      <c r="E121" s="3" t="s">
        <v>69</v>
      </c>
      <c r="F121" s="3">
        <v>11232</v>
      </c>
      <c r="G121" s="3" t="s">
        <v>32</v>
      </c>
      <c r="H121" s="3" t="s">
        <v>21</v>
      </c>
      <c r="I121" s="3">
        <v>228039</v>
      </c>
      <c r="J121" s="3">
        <v>50554</v>
      </c>
      <c r="K121" s="3">
        <v>177485</v>
      </c>
      <c r="L121" s="3">
        <v>245500</v>
      </c>
      <c r="M121" s="3">
        <v>24500</v>
      </c>
      <c r="N121" s="3">
        <v>177500</v>
      </c>
    </row>
    <row r="122" spans="1:14" ht="14.4">
      <c r="A122" s="3">
        <v>13365</v>
      </c>
      <c r="B122" s="3">
        <v>13366</v>
      </c>
      <c r="C122" s="3">
        <v>4085</v>
      </c>
      <c r="D122" s="3" t="s">
        <v>18</v>
      </c>
      <c r="E122" s="3" t="s">
        <v>69</v>
      </c>
      <c r="F122" s="3">
        <v>11234</v>
      </c>
      <c r="G122" s="3" t="s">
        <v>32</v>
      </c>
      <c r="H122" s="3" t="s">
        <v>21</v>
      </c>
      <c r="I122" s="3">
        <v>162200</v>
      </c>
      <c r="J122" s="3">
        <v>0</v>
      </c>
      <c r="K122" s="3">
        <v>162200</v>
      </c>
      <c r="L122" s="3">
        <v>0</v>
      </c>
      <c r="M122" s="3">
        <v>0</v>
      </c>
      <c r="N122" s="3">
        <v>0</v>
      </c>
    </row>
    <row r="123" spans="1:14" ht="14.4">
      <c r="A123" s="3">
        <v>13365</v>
      </c>
      <c r="B123" s="3">
        <v>13366</v>
      </c>
      <c r="C123" s="3">
        <v>4085</v>
      </c>
      <c r="D123" s="3" t="s">
        <v>18</v>
      </c>
      <c r="E123" s="3" t="s">
        <v>69</v>
      </c>
      <c r="F123" s="3">
        <v>11235</v>
      </c>
      <c r="G123" s="3" t="s">
        <v>32</v>
      </c>
      <c r="H123" s="3" t="s">
        <v>21</v>
      </c>
      <c r="I123" s="3">
        <v>607353</v>
      </c>
      <c r="J123" s="3">
        <v>326678</v>
      </c>
      <c r="K123" s="3">
        <v>280675</v>
      </c>
      <c r="L123" s="3">
        <v>0</v>
      </c>
      <c r="M123" s="3">
        <v>0</v>
      </c>
      <c r="N123" s="3">
        <v>0</v>
      </c>
    </row>
    <row r="124" spans="1:14" ht="14.4">
      <c r="A124" s="3">
        <v>13365</v>
      </c>
      <c r="B124" s="3">
        <v>13366</v>
      </c>
      <c r="C124" s="3">
        <v>4085</v>
      </c>
      <c r="D124" s="3" t="s">
        <v>18</v>
      </c>
      <c r="E124" s="3" t="s">
        <v>69</v>
      </c>
      <c r="F124" s="3">
        <v>11236</v>
      </c>
      <c r="G124" s="3" t="s">
        <v>32</v>
      </c>
      <c r="H124" s="3" t="s">
        <v>21</v>
      </c>
      <c r="I124" s="3">
        <v>39425</v>
      </c>
      <c r="J124" s="3">
        <v>38425</v>
      </c>
      <c r="K124" s="3">
        <v>1000</v>
      </c>
      <c r="L124" s="3">
        <v>41500</v>
      </c>
      <c r="M124" s="3">
        <v>38500</v>
      </c>
      <c r="N124" s="3">
        <v>1000</v>
      </c>
    </row>
    <row r="125" spans="1:14" ht="14.4">
      <c r="A125" s="3">
        <v>13365</v>
      </c>
      <c r="B125" s="3">
        <v>13366</v>
      </c>
      <c r="C125" s="3">
        <v>4085</v>
      </c>
      <c r="D125" s="3" t="s">
        <v>18</v>
      </c>
      <c r="E125" s="3" t="s">
        <v>69</v>
      </c>
      <c r="F125" s="3">
        <v>11767</v>
      </c>
      <c r="G125" s="3" t="s">
        <v>32</v>
      </c>
      <c r="H125" s="3" t="s">
        <v>21</v>
      </c>
      <c r="I125" s="3">
        <v>16929</v>
      </c>
      <c r="J125" s="3">
        <v>16929</v>
      </c>
      <c r="K125" s="3">
        <v>0</v>
      </c>
      <c r="L125" s="3">
        <v>6000</v>
      </c>
      <c r="M125" s="3">
        <v>6000</v>
      </c>
      <c r="N125" s="3">
        <v>0</v>
      </c>
    </row>
    <row r="126" spans="1:14" ht="14.4">
      <c r="A126" s="3">
        <v>13365</v>
      </c>
      <c r="B126" s="3">
        <v>13366</v>
      </c>
      <c r="C126" s="3">
        <v>4085</v>
      </c>
      <c r="D126" s="3" t="s">
        <v>18</v>
      </c>
      <c r="E126" s="3" t="s">
        <v>69</v>
      </c>
      <c r="F126" s="3">
        <v>11224</v>
      </c>
      <c r="G126" s="3" t="s">
        <v>28</v>
      </c>
      <c r="H126" s="3" t="s">
        <v>21</v>
      </c>
      <c r="I126" s="3">
        <v>73000</v>
      </c>
      <c r="J126" s="3">
        <v>0</v>
      </c>
      <c r="K126" s="3">
        <v>73000</v>
      </c>
      <c r="L126" s="3">
        <v>0</v>
      </c>
      <c r="M126" s="3">
        <v>0</v>
      </c>
      <c r="N126" s="3">
        <v>0</v>
      </c>
    </row>
    <row r="127" spans="1:14" ht="14.4">
      <c r="A127" s="3">
        <v>13365</v>
      </c>
      <c r="B127" s="3">
        <v>13366</v>
      </c>
      <c r="C127" s="3">
        <v>4085</v>
      </c>
      <c r="D127" s="3" t="s">
        <v>18</v>
      </c>
      <c r="E127" s="3" t="s">
        <v>69</v>
      </c>
      <c r="F127" s="3">
        <v>11231</v>
      </c>
      <c r="G127" s="3" t="s">
        <v>28</v>
      </c>
      <c r="H127" s="3" t="s">
        <v>21</v>
      </c>
      <c r="I127" s="3">
        <v>338060</v>
      </c>
      <c r="J127" s="3">
        <v>288090</v>
      </c>
      <c r="K127" s="3">
        <v>49970</v>
      </c>
      <c r="L127" s="3">
        <v>0</v>
      </c>
      <c r="M127" s="3">
        <v>0</v>
      </c>
      <c r="N127" s="3">
        <v>0</v>
      </c>
    </row>
    <row r="128" spans="1:14" ht="14.4">
      <c r="A128" s="3">
        <v>13365</v>
      </c>
      <c r="B128" s="3">
        <v>13366</v>
      </c>
      <c r="C128" s="3">
        <v>4085</v>
      </c>
      <c r="D128" s="3" t="s">
        <v>18</v>
      </c>
      <c r="E128" s="3" t="s">
        <v>69</v>
      </c>
      <c r="F128" s="3">
        <v>11205</v>
      </c>
      <c r="G128" s="3" t="s">
        <v>71</v>
      </c>
      <c r="H128" s="3" t="s">
        <v>21</v>
      </c>
      <c r="I128" s="3">
        <v>4855065</v>
      </c>
      <c r="J128" s="3">
        <v>2934185</v>
      </c>
      <c r="K128" s="3">
        <v>1920880</v>
      </c>
      <c r="L128" s="3">
        <v>1920900</v>
      </c>
      <c r="M128" s="3">
        <v>0</v>
      </c>
      <c r="N128" s="3">
        <v>1920900</v>
      </c>
    </row>
    <row r="129" spans="1:14" ht="14.4">
      <c r="A129" s="3">
        <v>13365</v>
      </c>
      <c r="B129" s="3">
        <v>13366</v>
      </c>
      <c r="C129" s="3">
        <v>4085</v>
      </c>
      <c r="D129" s="3" t="s">
        <v>18</v>
      </c>
      <c r="E129" s="3" t="s">
        <v>69</v>
      </c>
      <c r="F129" s="3">
        <v>11209</v>
      </c>
      <c r="G129" s="3" t="s">
        <v>71</v>
      </c>
      <c r="H129" s="3" t="s">
        <v>21</v>
      </c>
      <c r="I129" s="3">
        <v>8659</v>
      </c>
      <c r="J129" s="3">
        <v>0</v>
      </c>
      <c r="K129" s="3">
        <v>8659</v>
      </c>
      <c r="L129" s="3">
        <v>0</v>
      </c>
      <c r="M129" s="3">
        <v>0</v>
      </c>
      <c r="N129" s="3">
        <v>0</v>
      </c>
    </row>
    <row r="130" spans="1:14" ht="14.4">
      <c r="A130" s="3">
        <v>13365</v>
      </c>
      <c r="B130" s="3">
        <v>13366</v>
      </c>
      <c r="C130" s="3">
        <v>4085</v>
      </c>
      <c r="D130" s="3" t="s">
        <v>18</v>
      </c>
      <c r="E130" s="3" t="s">
        <v>69</v>
      </c>
      <c r="F130" s="3">
        <v>11223</v>
      </c>
      <c r="G130" s="3" t="s">
        <v>71</v>
      </c>
      <c r="H130" s="3" t="s">
        <v>21</v>
      </c>
      <c r="I130" s="3">
        <v>2848</v>
      </c>
      <c r="J130" s="3">
        <v>0</v>
      </c>
      <c r="K130" s="3">
        <v>2848</v>
      </c>
      <c r="L130" s="3">
        <v>0</v>
      </c>
      <c r="M130" s="3">
        <v>0</v>
      </c>
      <c r="N130" s="3">
        <v>0</v>
      </c>
    </row>
    <row r="131" spans="1:14" ht="14.4">
      <c r="A131" s="3">
        <v>13365</v>
      </c>
      <c r="B131" s="3">
        <v>13366</v>
      </c>
      <c r="C131" s="3">
        <v>4085</v>
      </c>
      <c r="D131" s="3" t="s">
        <v>18</v>
      </c>
      <c r="E131" s="3" t="s">
        <v>69</v>
      </c>
      <c r="F131" s="3">
        <v>11224</v>
      </c>
      <c r="G131" s="3" t="s">
        <v>71</v>
      </c>
      <c r="H131" s="3" t="s">
        <v>21</v>
      </c>
      <c r="I131" s="3">
        <v>201537</v>
      </c>
      <c r="J131" s="3">
        <v>192437</v>
      </c>
      <c r="K131" s="3">
        <v>9100</v>
      </c>
      <c r="L131" s="3">
        <v>0</v>
      </c>
      <c r="M131" s="3">
        <v>0</v>
      </c>
      <c r="N131" s="3">
        <v>0</v>
      </c>
    </row>
    <row r="132" spans="1:14" ht="14.4">
      <c r="A132" s="3">
        <v>13365</v>
      </c>
      <c r="B132" s="3">
        <v>13366</v>
      </c>
      <c r="C132" s="3">
        <v>4085</v>
      </c>
      <c r="D132" s="3" t="s">
        <v>18</v>
      </c>
      <c r="E132" s="3" t="s">
        <v>72</v>
      </c>
      <c r="F132" s="3">
        <v>11235</v>
      </c>
      <c r="G132" s="3" t="s">
        <v>43</v>
      </c>
      <c r="H132" s="3" t="s">
        <v>21</v>
      </c>
      <c r="I132" s="3">
        <v>39364</v>
      </c>
      <c r="J132" s="3">
        <v>2871</v>
      </c>
      <c r="K132" s="3">
        <v>36493</v>
      </c>
      <c r="L132" s="3">
        <v>0</v>
      </c>
      <c r="M132" s="3">
        <v>0</v>
      </c>
      <c r="N132" s="3">
        <v>0</v>
      </c>
    </row>
    <row r="133" spans="1:14" ht="14.4">
      <c r="A133" s="3">
        <v>13365</v>
      </c>
      <c r="B133" s="3">
        <v>13366</v>
      </c>
      <c r="C133" s="3">
        <v>4085</v>
      </c>
      <c r="D133" s="3" t="s">
        <v>18</v>
      </c>
      <c r="E133" s="3" t="s">
        <v>73</v>
      </c>
      <c r="F133" s="3">
        <v>11411</v>
      </c>
      <c r="G133" s="3" t="s">
        <v>28</v>
      </c>
      <c r="H133" s="3" t="s">
        <v>21</v>
      </c>
      <c r="I133" s="3">
        <v>186293</v>
      </c>
      <c r="J133" s="3">
        <v>186293</v>
      </c>
      <c r="K133" s="3">
        <v>0</v>
      </c>
      <c r="L133" s="3">
        <v>0</v>
      </c>
      <c r="M133" s="3">
        <v>0</v>
      </c>
      <c r="N133" s="3">
        <v>0</v>
      </c>
    </row>
    <row r="134" spans="1:14" ht="14.4">
      <c r="A134" s="3">
        <v>13365</v>
      </c>
      <c r="B134" s="3">
        <v>13366</v>
      </c>
      <c r="C134" s="3">
        <v>4085</v>
      </c>
      <c r="D134" s="3" t="s">
        <v>18</v>
      </c>
      <c r="E134" s="3" t="s">
        <v>74</v>
      </c>
      <c r="F134" s="3">
        <v>11514</v>
      </c>
      <c r="G134" s="3" t="s">
        <v>20</v>
      </c>
      <c r="H134" s="3" t="s">
        <v>21</v>
      </c>
      <c r="I134" s="3">
        <v>28959</v>
      </c>
      <c r="J134" s="3">
        <v>0</v>
      </c>
      <c r="K134" s="3">
        <v>28959</v>
      </c>
      <c r="L134" s="3">
        <v>29000</v>
      </c>
      <c r="M134" s="3">
        <v>0</v>
      </c>
      <c r="N134" s="3">
        <v>29000</v>
      </c>
    </row>
    <row r="135" spans="1:14" ht="14.4">
      <c r="A135" s="3">
        <v>13365</v>
      </c>
      <c r="B135" s="3">
        <v>13366</v>
      </c>
      <c r="C135" s="3">
        <v>4085</v>
      </c>
      <c r="D135" s="3" t="s">
        <v>18</v>
      </c>
      <c r="E135" s="3" t="s">
        <v>75</v>
      </c>
      <c r="F135" s="3">
        <v>7072</v>
      </c>
      <c r="G135" s="3" t="s">
        <v>76</v>
      </c>
      <c r="H135" s="3" t="s">
        <v>38</v>
      </c>
      <c r="I135" s="3">
        <v>0</v>
      </c>
      <c r="J135" s="3">
        <v>0</v>
      </c>
      <c r="K135" s="3">
        <v>0</v>
      </c>
      <c r="L135" s="3">
        <v>226300</v>
      </c>
      <c r="M135" s="3">
        <v>0</v>
      </c>
      <c r="N135" s="3">
        <v>0</v>
      </c>
    </row>
    <row r="136" spans="1:14" ht="14.4">
      <c r="A136" s="3">
        <v>13365</v>
      </c>
      <c r="B136" s="3">
        <v>13366</v>
      </c>
      <c r="C136" s="3">
        <v>4085</v>
      </c>
      <c r="D136" s="3" t="s">
        <v>18</v>
      </c>
      <c r="E136" s="3" t="s">
        <v>77</v>
      </c>
      <c r="F136" s="3">
        <v>11516</v>
      </c>
      <c r="G136" s="3" t="s">
        <v>20</v>
      </c>
      <c r="H136" s="3" t="s">
        <v>21</v>
      </c>
      <c r="I136" s="3">
        <v>894029</v>
      </c>
      <c r="J136" s="3">
        <v>580484</v>
      </c>
      <c r="K136" s="3">
        <v>313545</v>
      </c>
      <c r="L136" s="3">
        <v>312400</v>
      </c>
      <c r="M136" s="3">
        <v>111900</v>
      </c>
      <c r="N136" s="3">
        <v>38400</v>
      </c>
    </row>
    <row r="137" spans="1:14" ht="14.4">
      <c r="A137" s="3">
        <v>13365</v>
      </c>
      <c r="B137" s="3">
        <v>13366</v>
      </c>
      <c r="C137" s="3">
        <v>4085</v>
      </c>
      <c r="D137" s="3" t="s">
        <v>18</v>
      </c>
      <c r="E137" s="3" t="s">
        <v>78</v>
      </c>
      <c r="F137" s="3">
        <v>11934</v>
      </c>
      <c r="G137" s="3" t="s">
        <v>23</v>
      </c>
      <c r="H137" s="3" t="s">
        <v>21</v>
      </c>
      <c r="I137" s="3">
        <v>348777</v>
      </c>
      <c r="J137" s="3">
        <v>347277</v>
      </c>
      <c r="K137" s="3">
        <v>1500</v>
      </c>
      <c r="L137" s="3">
        <v>6000</v>
      </c>
      <c r="M137" s="3">
        <v>0</v>
      </c>
      <c r="N137" s="3">
        <v>1500</v>
      </c>
    </row>
    <row r="138" spans="1:14" ht="14.4">
      <c r="A138" s="3">
        <v>13365</v>
      </c>
      <c r="B138" s="3">
        <v>13366</v>
      </c>
      <c r="C138" s="3">
        <v>4085</v>
      </c>
      <c r="D138" s="3" t="s">
        <v>18</v>
      </c>
      <c r="E138" s="3" t="s">
        <v>79</v>
      </c>
      <c r="F138" s="3">
        <v>11720</v>
      </c>
      <c r="G138" s="3" t="s">
        <v>23</v>
      </c>
      <c r="H138" s="3" t="s">
        <v>21</v>
      </c>
      <c r="I138" s="3">
        <v>21420</v>
      </c>
      <c r="J138" s="3">
        <v>0</v>
      </c>
      <c r="K138" s="3">
        <v>21420</v>
      </c>
      <c r="L138" s="3">
        <v>4200</v>
      </c>
      <c r="M138" s="3">
        <v>0</v>
      </c>
      <c r="N138" s="3">
        <v>4200</v>
      </c>
    </row>
    <row r="139" spans="1:14" ht="14.4">
      <c r="A139" s="3">
        <v>13365</v>
      </c>
      <c r="B139" s="3">
        <v>13366</v>
      </c>
      <c r="C139" s="3">
        <v>4085</v>
      </c>
      <c r="D139" s="3" t="s">
        <v>18</v>
      </c>
      <c r="E139" s="3" t="s">
        <v>80</v>
      </c>
      <c r="F139" s="3">
        <v>11721</v>
      </c>
      <c r="G139" s="3" t="s">
        <v>23</v>
      </c>
      <c r="H139" s="3" t="s">
        <v>21</v>
      </c>
      <c r="I139" s="3">
        <v>564132</v>
      </c>
      <c r="J139" s="3">
        <v>538482</v>
      </c>
      <c r="K139" s="3">
        <v>25650</v>
      </c>
      <c r="L139" s="3">
        <v>0</v>
      </c>
      <c r="M139" s="3">
        <v>0</v>
      </c>
      <c r="N139" s="3">
        <v>0</v>
      </c>
    </row>
    <row r="140" spans="1:14" ht="14.4">
      <c r="A140" s="3">
        <v>13365</v>
      </c>
      <c r="B140" s="3">
        <v>13366</v>
      </c>
      <c r="C140" s="3">
        <v>4085</v>
      </c>
      <c r="D140" s="3" t="s">
        <v>18</v>
      </c>
      <c r="E140" s="3" t="s">
        <v>81</v>
      </c>
      <c r="F140" s="3">
        <v>11722</v>
      </c>
      <c r="G140" s="3" t="s">
        <v>23</v>
      </c>
      <c r="H140" s="3" t="s">
        <v>21</v>
      </c>
      <c r="I140" s="3">
        <v>45726</v>
      </c>
      <c r="J140" s="3">
        <v>43591</v>
      </c>
      <c r="K140" s="3">
        <v>2135</v>
      </c>
      <c r="L140" s="3">
        <v>223200</v>
      </c>
      <c r="M140" s="3">
        <v>10800</v>
      </c>
      <c r="N140" s="3">
        <v>0</v>
      </c>
    </row>
    <row r="141" spans="1:14" ht="14.4">
      <c r="A141" s="3">
        <v>13365</v>
      </c>
      <c r="B141" s="3">
        <v>13366</v>
      </c>
      <c r="C141" s="3">
        <v>4085</v>
      </c>
      <c r="D141" s="3" t="s">
        <v>18</v>
      </c>
      <c r="E141" s="3" t="s">
        <v>82</v>
      </c>
      <c r="F141" s="3">
        <v>10514</v>
      </c>
      <c r="G141" s="3" t="s">
        <v>64</v>
      </c>
      <c r="H141" s="3" t="s">
        <v>21</v>
      </c>
      <c r="I141" s="3">
        <v>14985</v>
      </c>
      <c r="J141" s="3">
        <v>14985</v>
      </c>
      <c r="K141" s="3">
        <v>0</v>
      </c>
      <c r="L141" s="3">
        <v>2000</v>
      </c>
      <c r="M141" s="3">
        <v>2000</v>
      </c>
      <c r="N141" s="3">
        <v>0</v>
      </c>
    </row>
    <row r="142" spans="1:14" ht="14.4">
      <c r="A142" s="3">
        <v>13365</v>
      </c>
      <c r="B142" s="3">
        <v>13366</v>
      </c>
      <c r="C142" s="3">
        <v>4085</v>
      </c>
      <c r="D142" s="3" t="s">
        <v>18</v>
      </c>
      <c r="E142" s="3" t="s">
        <v>83</v>
      </c>
      <c r="F142" s="3">
        <v>11782</v>
      </c>
      <c r="G142" s="3" t="s">
        <v>23</v>
      </c>
      <c r="H142" s="3" t="s">
        <v>21</v>
      </c>
      <c r="I142" s="3">
        <v>178112</v>
      </c>
      <c r="J142" s="3">
        <v>157577</v>
      </c>
      <c r="K142" s="3">
        <v>20535</v>
      </c>
      <c r="L142" s="3">
        <v>20600</v>
      </c>
      <c r="M142" s="3">
        <v>0</v>
      </c>
      <c r="N142" s="3">
        <v>20600</v>
      </c>
    </row>
    <row r="143" spans="1:14" ht="14.4">
      <c r="A143" s="3">
        <v>13365</v>
      </c>
      <c r="B143" s="3">
        <v>13366</v>
      </c>
      <c r="C143" s="3">
        <v>4085</v>
      </c>
      <c r="D143" s="3" t="s">
        <v>18</v>
      </c>
      <c r="E143" s="3" t="s">
        <v>84</v>
      </c>
      <c r="F143" s="3">
        <v>10977</v>
      </c>
      <c r="G143" s="3" t="s">
        <v>85</v>
      </c>
      <c r="H143" s="3" t="s">
        <v>21</v>
      </c>
      <c r="I143" s="3">
        <v>47999</v>
      </c>
      <c r="J143" s="3">
        <v>38487</v>
      </c>
      <c r="K143" s="3">
        <v>9512</v>
      </c>
      <c r="L143" s="3">
        <v>0</v>
      </c>
      <c r="M143" s="3">
        <v>0</v>
      </c>
      <c r="N143" s="3">
        <v>0</v>
      </c>
    </row>
    <row r="144" spans="1:14" ht="14.4">
      <c r="A144" s="3">
        <v>13365</v>
      </c>
      <c r="B144" s="3">
        <v>13366</v>
      </c>
      <c r="C144" s="3">
        <v>4085</v>
      </c>
      <c r="D144" s="3" t="s">
        <v>18</v>
      </c>
      <c r="E144" s="3" t="s">
        <v>86</v>
      </c>
      <c r="F144" s="3">
        <v>10516</v>
      </c>
      <c r="G144" s="3" t="s">
        <v>58</v>
      </c>
      <c r="H144" s="3" t="s">
        <v>21</v>
      </c>
      <c r="I144" s="3">
        <v>1862</v>
      </c>
      <c r="J144" s="3">
        <v>1862</v>
      </c>
      <c r="K144" s="3">
        <v>0</v>
      </c>
      <c r="L144" s="3">
        <v>0</v>
      </c>
      <c r="M144" s="3">
        <v>0</v>
      </c>
      <c r="N144" s="3">
        <v>0</v>
      </c>
    </row>
    <row r="145" spans="1:14" ht="14.4">
      <c r="A145" s="3">
        <v>13365</v>
      </c>
      <c r="B145" s="3">
        <v>13366</v>
      </c>
      <c r="C145" s="3">
        <v>4085</v>
      </c>
      <c r="D145" s="3" t="s">
        <v>18</v>
      </c>
      <c r="E145" s="3" t="s">
        <v>87</v>
      </c>
      <c r="F145" s="3">
        <v>11724</v>
      </c>
      <c r="G145" s="3" t="s">
        <v>23</v>
      </c>
      <c r="H145" s="3" t="s">
        <v>21</v>
      </c>
      <c r="I145" s="3">
        <v>63296</v>
      </c>
      <c r="J145" s="3">
        <v>63296</v>
      </c>
      <c r="K145" s="3">
        <v>0</v>
      </c>
      <c r="L145" s="3">
        <v>0</v>
      </c>
      <c r="M145" s="3">
        <v>0</v>
      </c>
      <c r="N145" s="3">
        <v>0</v>
      </c>
    </row>
    <row r="146" spans="1:14" ht="14.4">
      <c r="A146" s="3">
        <v>13365</v>
      </c>
      <c r="B146" s="3">
        <v>13366</v>
      </c>
      <c r="C146" s="3">
        <v>4085</v>
      </c>
      <c r="D146" s="3" t="s">
        <v>18</v>
      </c>
      <c r="E146" s="3" t="s">
        <v>88</v>
      </c>
      <c r="F146" s="3">
        <v>11356</v>
      </c>
      <c r="G146" s="3" t="s">
        <v>28</v>
      </c>
      <c r="H146" s="3" t="s">
        <v>21</v>
      </c>
      <c r="I146" s="3">
        <v>484781</v>
      </c>
      <c r="J146" s="3">
        <v>214753</v>
      </c>
      <c r="K146" s="3">
        <v>270028</v>
      </c>
      <c r="L146" s="3">
        <v>90400</v>
      </c>
      <c r="M146" s="3">
        <v>40200</v>
      </c>
      <c r="N146" s="3">
        <v>26900</v>
      </c>
    </row>
    <row r="147" spans="1:14" ht="14.4">
      <c r="A147" s="3">
        <v>13365</v>
      </c>
      <c r="B147" s="3">
        <v>13366</v>
      </c>
      <c r="C147" s="3">
        <v>4085</v>
      </c>
      <c r="D147" s="3" t="s">
        <v>18</v>
      </c>
      <c r="E147" s="3" t="s">
        <v>88</v>
      </c>
      <c r="F147" s="3">
        <v>11361</v>
      </c>
      <c r="G147" s="3" t="s">
        <v>28</v>
      </c>
      <c r="H147" s="3" t="s">
        <v>21</v>
      </c>
      <c r="I147" s="3">
        <v>3000</v>
      </c>
      <c r="J147" s="3">
        <v>3000</v>
      </c>
      <c r="K147" s="3">
        <v>0</v>
      </c>
      <c r="L147" s="3">
        <v>0</v>
      </c>
      <c r="M147" s="3">
        <v>0</v>
      </c>
      <c r="N147" s="3">
        <v>0</v>
      </c>
    </row>
    <row r="148" spans="1:14" ht="14.4">
      <c r="A148" s="3">
        <v>13365</v>
      </c>
      <c r="B148" s="3">
        <v>13366</v>
      </c>
      <c r="C148" s="3">
        <v>4085</v>
      </c>
      <c r="D148" s="3" t="s">
        <v>18</v>
      </c>
      <c r="E148" s="3" t="s">
        <v>89</v>
      </c>
      <c r="F148" s="3">
        <v>11725</v>
      </c>
      <c r="G148" s="3" t="s">
        <v>23</v>
      </c>
      <c r="H148" s="3" t="s">
        <v>21</v>
      </c>
      <c r="I148" s="3">
        <v>360096</v>
      </c>
      <c r="J148" s="3">
        <v>341260</v>
      </c>
      <c r="K148" s="3">
        <v>18836</v>
      </c>
      <c r="L148" s="3">
        <v>230300</v>
      </c>
      <c r="M148" s="3">
        <v>400</v>
      </c>
      <c r="N148" s="3">
        <v>2400</v>
      </c>
    </row>
    <row r="149" spans="1:14" ht="14.4">
      <c r="A149" s="3">
        <v>13365</v>
      </c>
      <c r="B149" s="3">
        <v>13366</v>
      </c>
      <c r="C149" s="3">
        <v>4085</v>
      </c>
      <c r="D149" s="3" t="s">
        <v>18</v>
      </c>
      <c r="E149" s="3" t="s">
        <v>90</v>
      </c>
      <c r="F149" s="3">
        <v>10920</v>
      </c>
      <c r="G149" s="3" t="s">
        <v>85</v>
      </c>
      <c r="H149" s="3" t="s">
        <v>21</v>
      </c>
      <c r="I149" s="3">
        <v>69450</v>
      </c>
      <c r="J149" s="3">
        <v>50375</v>
      </c>
      <c r="K149" s="3">
        <v>19075</v>
      </c>
      <c r="L149" s="3">
        <v>0</v>
      </c>
      <c r="M149" s="3">
        <v>0</v>
      </c>
      <c r="N149" s="3">
        <v>0</v>
      </c>
    </row>
    <row r="150" spans="1:14" ht="14.4">
      <c r="A150" s="3">
        <v>13365</v>
      </c>
      <c r="B150" s="3">
        <v>13366</v>
      </c>
      <c r="C150" s="3">
        <v>4085</v>
      </c>
      <c r="D150" s="3" t="s">
        <v>18</v>
      </c>
      <c r="E150" s="3" t="s">
        <v>91</v>
      </c>
      <c r="F150" s="3">
        <v>11702</v>
      </c>
      <c r="G150" s="3" t="s">
        <v>23</v>
      </c>
      <c r="H150" s="3" t="s">
        <v>21</v>
      </c>
      <c r="I150" s="3">
        <v>217787</v>
      </c>
      <c r="J150" s="3">
        <v>145637</v>
      </c>
      <c r="K150" s="3">
        <v>72150</v>
      </c>
      <c r="L150" s="3">
        <v>545700</v>
      </c>
      <c r="M150" s="3">
        <v>145700</v>
      </c>
      <c r="N150" s="3">
        <v>72100</v>
      </c>
    </row>
    <row r="151" spans="1:14" ht="14.4">
      <c r="A151" s="3">
        <v>13365</v>
      </c>
      <c r="B151" s="3">
        <v>13366</v>
      </c>
      <c r="C151" s="3">
        <v>4085</v>
      </c>
      <c r="D151" s="3" t="s">
        <v>18</v>
      </c>
      <c r="E151" s="3" t="s">
        <v>91</v>
      </c>
      <c r="F151" s="3">
        <v>11726</v>
      </c>
      <c r="G151" s="3" t="s">
        <v>23</v>
      </c>
      <c r="H151" s="3" t="s">
        <v>21</v>
      </c>
      <c r="I151" s="3">
        <v>1412884</v>
      </c>
      <c r="J151" s="3">
        <v>622874</v>
      </c>
      <c r="K151" s="3">
        <v>790010</v>
      </c>
      <c r="L151" s="3">
        <v>846000</v>
      </c>
      <c r="M151" s="3">
        <v>172400</v>
      </c>
      <c r="N151" s="3">
        <v>479800</v>
      </c>
    </row>
    <row r="152" spans="1:14" ht="14.4">
      <c r="A152" s="3">
        <v>13365</v>
      </c>
      <c r="B152" s="3">
        <v>13366</v>
      </c>
      <c r="C152" s="3">
        <v>4085</v>
      </c>
      <c r="D152" s="3" t="s">
        <v>18</v>
      </c>
      <c r="E152" s="3" t="s">
        <v>92</v>
      </c>
      <c r="F152" s="3">
        <v>11727</v>
      </c>
      <c r="G152" s="3" t="s">
        <v>23</v>
      </c>
      <c r="H152" s="3" t="s">
        <v>21</v>
      </c>
      <c r="I152" s="3">
        <v>32866</v>
      </c>
      <c r="J152" s="3">
        <v>32866</v>
      </c>
      <c r="K152" s="3">
        <v>0</v>
      </c>
      <c r="L152" s="3">
        <v>32200</v>
      </c>
      <c r="M152" s="3">
        <v>32200</v>
      </c>
      <c r="N152" s="3">
        <v>0</v>
      </c>
    </row>
    <row r="153" spans="1:14" ht="14.4">
      <c r="A153" s="3">
        <v>13365</v>
      </c>
      <c r="B153" s="3">
        <v>13366</v>
      </c>
      <c r="C153" s="3">
        <v>4085</v>
      </c>
      <c r="D153" s="3" t="s">
        <v>18</v>
      </c>
      <c r="E153" s="3" t="s">
        <v>93</v>
      </c>
      <c r="F153" s="3">
        <v>11782</v>
      </c>
      <c r="G153" s="3" t="s">
        <v>23</v>
      </c>
      <c r="H153" s="3" t="s">
        <v>21</v>
      </c>
      <c r="I153" s="3">
        <v>109116</v>
      </c>
      <c r="J153" s="3">
        <v>100216</v>
      </c>
      <c r="K153" s="3">
        <v>8900</v>
      </c>
      <c r="L153" s="3">
        <v>0</v>
      </c>
      <c r="M153" s="3">
        <v>0</v>
      </c>
      <c r="N153" s="3">
        <v>0</v>
      </c>
    </row>
    <row r="154" spans="1:14" ht="14.4">
      <c r="A154" s="3">
        <v>13365</v>
      </c>
      <c r="B154" s="3">
        <v>13366</v>
      </c>
      <c r="C154" s="3">
        <v>4085</v>
      </c>
      <c r="D154" s="3" t="s">
        <v>18</v>
      </c>
      <c r="E154" s="3" t="s">
        <v>94</v>
      </c>
      <c r="F154" s="3">
        <v>11368</v>
      </c>
      <c r="G154" s="3" t="s">
        <v>28</v>
      </c>
      <c r="H154" s="3" t="s">
        <v>21</v>
      </c>
      <c r="I154" s="3">
        <v>138040</v>
      </c>
      <c r="J154" s="3">
        <v>138040</v>
      </c>
      <c r="K154" s="3">
        <v>0</v>
      </c>
      <c r="L154" s="3">
        <v>0</v>
      </c>
      <c r="M154" s="3">
        <v>0</v>
      </c>
      <c r="N154" s="3">
        <v>0</v>
      </c>
    </row>
    <row r="155" spans="1:14" ht="14.4">
      <c r="A155" s="3">
        <v>13365</v>
      </c>
      <c r="B155" s="3">
        <v>13366</v>
      </c>
      <c r="C155" s="3">
        <v>4085</v>
      </c>
      <c r="D155" s="3" t="s">
        <v>18</v>
      </c>
      <c r="E155" s="3" t="s">
        <v>95</v>
      </c>
      <c r="F155" s="3">
        <v>11215</v>
      </c>
      <c r="G155" s="3" t="s">
        <v>23</v>
      </c>
      <c r="H155" s="3" t="s">
        <v>21</v>
      </c>
      <c r="I155" s="3">
        <v>76442</v>
      </c>
      <c r="J155" s="3">
        <v>74942</v>
      </c>
      <c r="K155" s="3">
        <v>1500</v>
      </c>
      <c r="L155" s="3">
        <v>0</v>
      </c>
      <c r="M155" s="3">
        <v>0</v>
      </c>
      <c r="N155" s="3">
        <v>0</v>
      </c>
    </row>
    <row r="156" spans="1:14" ht="14.4">
      <c r="A156" s="3">
        <v>13365</v>
      </c>
      <c r="B156" s="3">
        <v>13366</v>
      </c>
      <c r="C156" s="3">
        <v>4085</v>
      </c>
      <c r="D156" s="3" t="s">
        <v>18</v>
      </c>
      <c r="E156" s="3" t="s">
        <v>95</v>
      </c>
      <c r="F156" s="3">
        <v>11935</v>
      </c>
      <c r="G156" s="3" t="s">
        <v>23</v>
      </c>
      <c r="H156" s="3" t="s">
        <v>21</v>
      </c>
      <c r="I156" s="3">
        <v>0</v>
      </c>
      <c r="J156" s="3">
        <v>0</v>
      </c>
      <c r="K156" s="3">
        <v>0</v>
      </c>
      <c r="L156" s="3">
        <v>29600</v>
      </c>
      <c r="M156" s="3">
        <v>0</v>
      </c>
      <c r="N156" s="3">
        <v>0</v>
      </c>
    </row>
    <row r="157" spans="1:14" ht="14.4">
      <c r="A157" s="3">
        <v>13365</v>
      </c>
      <c r="B157" s="3">
        <v>13366</v>
      </c>
      <c r="C157" s="3">
        <v>4085</v>
      </c>
      <c r="D157" s="3" t="s">
        <v>18</v>
      </c>
      <c r="E157" s="3" t="s">
        <v>96</v>
      </c>
      <c r="F157" s="3">
        <v>11772</v>
      </c>
      <c r="G157" s="3" t="s">
        <v>23</v>
      </c>
      <c r="H157" s="3" t="s">
        <v>21</v>
      </c>
      <c r="I157" s="3">
        <v>370105</v>
      </c>
      <c r="J157" s="3">
        <v>343875</v>
      </c>
      <c r="K157" s="3">
        <v>26230</v>
      </c>
      <c r="L157" s="3">
        <v>104900</v>
      </c>
      <c r="M157" s="3">
        <v>73100</v>
      </c>
      <c r="N157" s="3">
        <v>25500</v>
      </c>
    </row>
    <row r="158" spans="1:14" ht="14.4">
      <c r="A158" s="3">
        <v>13365</v>
      </c>
      <c r="B158" s="3">
        <v>13366</v>
      </c>
      <c r="C158" s="3">
        <v>4085</v>
      </c>
      <c r="D158" s="3" t="s">
        <v>18</v>
      </c>
      <c r="E158" s="3" t="s">
        <v>97</v>
      </c>
      <c r="F158" s="3">
        <v>11729</v>
      </c>
      <c r="G158" s="3" t="s">
        <v>23</v>
      </c>
      <c r="H158" s="3" t="s">
        <v>21</v>
      </c>
      <c r="I158" s="3">
        <v>191524</v>
      </c>
      <c r="J158" s="3">
        <v>144642</v>
      </c>
      <c r="K158" s="3">
        <v>46882</v>
      </c>
      <c r="L158" s="3">
        <v>132500</v>
      </c>
      <c r="M158" s="3">
        <v>0</v>
      </c>
      <c r="N158" s="3">
        <v>16300</v>
      </c>
    </row>
    <row r="159" spans="1:14" ht="14.4">
      <c r="A159" s="3">
        <v>13365</v>
      </c>
      <c r="B159" s="3">
        <v>13366</v>
      </c>
      <c r="C159" s="3">
        <v>4085</v>
      </c>
      <c r="D159" s="3" t="s">
        <v>18</v>
      </c>
      <c r="E159" s="3" t="s">
        <v>98</v>
      </c>
      <c r="F159" s="3">
        <v>11746</v>
      </c>
      <c r="G159" s="3" t="s">
        <v>23</v>
      </c>
      <c r="H159" s="3" t="s">
        <v>21</v>
      </c>
      <c r="I159" s="3">
        <v>83350</v>
      </c>
      <c r="J159" s="3">
        <v>0</v>
      </c>
      <c r="K159" s="3">
        <v>83350</v>
      </c>
      <c r="L159" s="3">
        <v>103400</v>
      </c>
      <c r="M159" s="3">
        <v>0</v>
      </c>
      <c r="N159" s="3">
        <v>83400</v>
      </c>
    </row>
    <row r="160" spans="1:14" ht="14.4">
      <c r="A160" s="3">
        <v>13365</v>
      </c>
      <c r="B160" s="3">
        <v>13366</v>
      </c>
      <c r="C160" s="3">
        <v>4085</v>
      </c>
      <c r="D160" s="3" t="s">
        <v>18</v>
      </c>
      <c r="E160" s="3" t="s">
        <v>99</v>
      </c>
      <c r="F160" s="3">
        <v>11733</v>
      </c>
      <c r="G160" s="3" t="s">
        <v>23</v>
      </c>
      <c r="H160" s="3" t="s">
        <v>21</v>
      </c>
      <c r="I160" s="3">
        <v>50954</v>
      </c>
      <c r="J160" s="3">
        <v>50404</v>
      </c>
      <c r="K160" s="3">
        <v>550</v>
      </c>
      <c r="L160" s="3">
        <v>51000</v>
      </c>
      <c r="M160" s="3">
        <v>50500</v>
      </c>
      <c r="N160" s="3">
        <v>500</v>
      </c>
    </row>
    <row r="161" spans="1:14" ht="14.4">
      <c r="A161" s="3">
        <v>13365</v>
      </c>
      <c r="B161" s="3">
        <v>13366</v>
      </c>
      <c r="C161" s="3">
        <v>4085</v>
      </c>
      <c r="D161" s="3" t="s">
        <v>18</v>
      </c>
      <c r="E161" s="3" t="s">
        <v>100</v>
      </c>
      <c r="F161" s="3">
        <v>11561</v>
      </c>
      <c r="G161" s="3" t="s">
        <v>20</v>
      </c>
      <c r="H161" s="3" t="s">
        <v>21</v>
      </c>
      <c r="I161" s="3">
        <v>52254</v>
      </c>
      <c r="J161" s="3">
        <v>51304</v>
      </c>
      <c r="K161" s="3">
        <v>950</v>
      </c>
      <c r="L161" s="3">
        <v>0</v>
      </c>
      <c r="M161" s="3">
        <v>0</v>
      </c>
      <c r="N161" s="3">
        <v>0</v>
      </c>
    </row>
    <row r="162" spans="1:14" ht="14.4">
      <c r="A162" s="3">
        <v>13365</v>
      </c>
      <c r="B162" s="3">
        <v>13366</v>
      </c>
      <c r="C162" s="3">
        <v>4085</v>
      </c>
      <c r="D162" s="3" t="s">
        <v>18</v>
      </c>
      <c r="E162" s="3" t="s">
        <v>101</v>
      </c>
      <c r="F162" s="3">
        <v>11510</v>
      </c>
      <c r="G162" s="3" t="s">
        <v>20</v>
      </c>
      <c r="H162" s="3" t="s">
        <v>21</v>
      </c>
      <c r="I162" s="3">
        <v>60662</v>
      </c>
      <c r="J162" s="3">
        <v>50362</v>
      </c>
      <c r="K162" s="3">
        <v>10300</v>
      </c>
      <c r="L162" s="3">
        <v>42600</v>
      </c>
      <c r="M162" s="3">
        <v>32500</v>
      </c>
      <c r="N162" s="3">
        <v>5300</v>
      </c>
    </row>
    <row r="163" spans="1:14" ht="14.4">
      <c r="A163" s="3">
        <v>13365</v>
      </c>
      <c r="B163" s="3">
        <v>13366</v>
      </c>
      <c r="C163" s="3">
        <v>4085</v>
      </c>
      <c r="D163" s="3" t="s">
        <v>18</v>
      </c>
      <c r="E163" s="3" t="s">
        <v>101</v>
      </c>
      <c r="F163" s="3">
        <v>11561</v>
      </c>
      <c r="G163" s="3" t="s">
        <v>20</v>
      </c>
      <c r="H163" s="3" t="s">
        <v>21</v>
      </c>
      <c r="I163" s="3">
        <v>730880</v>
      </c>
      <c r="J163" s="3">
        <v>620730</v>
      </c>
      <c r="K163" s="3">
        <v>110150</v>
      </c>
      <c r="L163" s="3">
        <v>271200</v>
      </c>
      <c r="M163" s="3">
        <v>208100</v>
      </c>
      <c r="N163" s="3">
        <v>50300</v>
      </c>
    </row>
    <row r="164" spans="1:14" ht="14.4">
      <c r="A164" s="3">
        <v>13365</v>
      </c>
      <c r="B164" s="3">
        <v>13366</v>
      </c>
      <c r="C164" s="3">
        <v>4085</v>
      </c>
      <c r="D164" s="3" t="s">
        <v>18</v>
      </c>
      <c r="E164" s="3" t="s">
        <v>102</v>
      </c>
      <c r="F164" s="3">
        <v>11369</v>
      </c>
      <c r="G164" s="3" t="s">
        <v>28</v>
      </c>
      <c r="H164" s="3" t="s">
        <v>21</v>
      </c>
      <c r="I164" s="3">
        <v>13195</v>
      </c>
      <c r="J164" s="3">
        <v>13195</v>
      </c>
      <c r="K164" s="3">
        <v>0</v>
      </c>
      <c r="L164" s="3">
        <v>0</v>
      </c>
      <c r="M164" s="3">
        <v>0</v>
      </c>
      <c r="N164" s="3">
        <v>0</v>
      </c>
    </row>
    <row r="165" spans="1:14" ht="14.4">
      <c r="A165" s="3">
        <v>13365</v>
      </c>
      <c r="B165" s="3">
        <v>13366</v>
      </c>
      <c r="C165" s="3">
        <v>4085</v>
      </c>
      <c r="D165" s="3" t="s">
        <v>18</v>
      </c>
      <c r="E165" s="3" t="s">
        <v>102</v>
      </c>
      <c r="F165" s="3">
        <v>11370</v>
      </c>
      <c r="G165" s="3" t="s">
        <v>28</v>
      </c>
      <c r="H165" s="3" t="s">
        <v>21</v>
      </c>
      <c r="I165" s="3">
        <v>19660</v>
      </c>
      <c r="J165" s="3">
        <v>0</v>
      </c>
      <c r="K165" s="3">
        <v>19660</v>
      </c>
      <c r="L165" s="3">
        <v>293600</v>
      </c>
      <c r="M165" s="3">
        <v>0</v>
      </c>
      <c r="N165" s="3">
        <v>2700</v>
      </c>
    </row>
    <row r="166" spans="1:14" ht="14.4">
      <c r="A166" s="3">
        <v>13365</v>
      </c>
      <c r="B166" s="3">
        <v>13366</v>
      </c>
      <c r="C166" s="3">
        <v>4085</v>
      </c>
      <c r="D166" s="3" t="s">
        <v>18</v>
      </c>
      <c r="E166" s="3" t="s">
        <v>103</v>
      </c>
      <c r="F166" s="3">
        <v>11937</v>
      </c>
      <c r="G166" s="3" t="s">
        <v>23</v>
      </c>
      <c r="H166" s="3" t="s">
        <v>21</v>
      </c>
      <c r="I166" s="3">
        <v>46772</v>
      </c>
      <c r="J166" s="3">
        <v>40767</v>
      </c>
      <c r="K166" s="3">
        <v>6005</v>
      </c>
      <c r="L166" s="3">
        <v>30100</v>
      </c>
      <c r="M166" s="3">
        <v>24100</v>
      </c>
      <c r="N166" s="3">
        <v>6000</v>
      </c>
    </row>
    <row r="167" spans="1:14" ht="14.4">
      <c r="A167" s="3">
        <v>13365</v>
      </c>
      <c r="B167" s="3">
        <v>13366</v>
      </c>
      <c r="C167" s="3">
        <v>4085</v>
      </c>
      <c r="D167" s="3" t="s">
        <v>18</v>
      </c>
      <c r="E167" s="3" t="s">
        <v>104</v>
      </c>
      <c r="F167" s="3">
        <v>11730</v>
      </c>
      <c r="G167" s="3" t="s">
        <v>23</v>
      </c>
      <c r="H167" s="3" t="s">
        <v>21</v>
      </c>
      <c r="I167" s="3">
        <v>0</v>
      </c>
      <c r="J167" s="3">
        <v>0</v>
      </c>
      <c r="K167" s="3">
        <v>0</v>
      </c>
      <c r="L167" s="3">
        <v>41200</v>
      </c>
      <c r="M167" s="3">
        <v>0</v>
      </c>
      <c r="N167" s="3">
        <v>0</v>
      </c>
    </row>
    <row r="168" spans="1:14" ht="14.4">
      <c r="A168" s="3">
        <v>13365</v>
      </c>
      <c r="B168" s="3">
        <v>13366</v>
      </c>
      <c r="C168" s="3">
        <v>4085</v>
      </c>
      <c r="D168" s="3" t="s">
        <v>18</v>
      </c>
      <c r="E168" s="3" t="s">
        <v>105</v>
      </c>
      <c r="F168" s="3">
        <v>11939</v>
      </c>
      <c r="G168" s="3" t="s">
        <v>23</v>
      </c>
      <c r="H168" s="3" t="s">
        <v>21</v>
      </c>
      <c r="I168" s="3">
        <v>155459</v>
      </c>
      <c r="J168" s="3">
        <v>136234</v>
      </c>
      <c r="K168" s="3">
        <v>19225</v>
      </c>
      <c r="L168" s="3">
        <v>155500</v>
      </c>
      <c r="M168" s="3">
        <v>136300</v>
      </c>
      <c r="N168" s="3">
        <v>19200</v>
      </c>
    </row>
    <row r="169" spans="1:14" ht="14.4">
      <c r="A169" s="3">
        <v>13365</v>
      </c>
      <c r="B169" s="3">
        <v>13366</v>
      </c>
      <c r="C169" s="3">
        <v>4085</v>
      </c>
      <c r="D169" s="3" t="s">
        <v>18</v>
      </c>
      <c r="E169" s="3" t="s">
        <v>106</v>
      </c>
      <c r="F169" s="3">
        <v>11554</v>
      </c>
      <c r="G169" s="3" t="s">
        <v>20</v>
      </c>
      <c r="H169" s="3" t="s">
        <v>21</v>
      </c>
      <c r="I169" s="3">
        <v>11440</v>
      </c>
      <c r="J169" s="3">
        <v>725</v>
      </c>
      <c r="K169" s="3">
        <v>10715</v>
      </c>
      <c r="L169" s="3">
        <v>5200</v>
      </c>
      <c r="M169" s="3">
        <v>0</v>
      </c>
      <c r="N169" s="3">
        <v>5200</v>
      </c>
    </row>
    <row r="170" spans="1:14" ht="14.4">
      <c r="A170" s="3">
        <v>13365</v>
      </c>
      <c r="B170" s="3">
        <v>13366</v>
      </c>
      <c r="C170" s="3">
        <v>4085</v>
      </c>
      <c r="D170" s="3" t="s">
        <v>18</v>
      </c>
      <c r="E170" s="3" t="s">
        <v>107</v>
      </c>
      <c r="F170" s="3">
        <v>11940</v>
      </c>
      <c r="G170" s="3" t="s">
        <v>23</v>
      </c>
      <c r="H170" s="3" t="s">
        <v>21</v>
      </c>
      <c r="I170" s="3">
        <v>646920</v>
      </c>
      <c r="J170" s="3">
        <v>150128</v>
      </c>
      <c r="K170" s="3">
        <v>496792</v>
      </c>
      <c r="L170" s="3">
        <v>225500</v>
      </c>
      <c r="M170" s="3">
        <v>58400</v>
      </c>
      <c r="N170" s="3">
        <v>167100</v>
      </c>
    </row>
    <row r="171" spans="1:14" ht="14.4">
      <c r="A171" s="3">
        <v>13365</v>
      </c>
      <c r="B171" s="3">
        <v>13366</v>
      </c>
      <c r="C171" s="3">
        <v>4085</v>
      </c>
      <c r="D171" s="3" t="s">
        <v>18</v>
      </c>
      <c r="E171" s="3" t="s">
        <v>108</v>
      </c>
      <c r="F171" s="3">
        <v>11731</v>
      </c>
      <c r="G171" s="3" t="s">
        <v>23</v>
      </c>
      <c r="H171" s="3" t="s">
        <v>21</v>
      </c>
      <c r="I171" s="3">
        <v>9442</v>
      </c>
      <c r="J171" s="3">
        <v>0</v>
      </c>
      <c r="K171" s="3">
        <v>9442</v>
      </c>
      <c r="L171" s="3">
        <v>138800</v>
      </c>
      <c r="M171" s="3">
        <v>0</v>
      </c>
      <c r="N171" s="3">
        <v>0</v>
      </c>
    </row>
    <row r="172" spans="1:14" ht="14.4">
      <c r="A172" s="3">
        <v>13365</v>
      </c>
      <c r="B172" s="3">
        <v>13366</v>
      </c>
      <c r="C172" s="3">
        <v>4085</v>
      </c>
      <c r="D172" s="3" t="s">
        <v>18</v>
      </c>
      <c r="E172" s="3" t="s">
        <v>109</v>
      </c>
      <c r="F172" s="3">
        <v>11772</v>
      </c>
      <c r="G172" s="3" t="s">
        <v>23</v>
      </c>
      <c r="H172" s="3" t="s">
        <v>21</v>
      </c>
      <c r="I172" s="3">
        <v>436387</v>
      </c>
      <c r="J172" s="3">
        <v>124013</v>
      </c>
      <c r="K172" s="3">
        <v>312374</v>
      </c>
      <c r="L172" s="3">
        <v>61600</v>
      </c>
      <c r="M172" s="3">
        <v>0</v>
      </c>
      <c r="N172" s="3">
        <v>36500</v>
      </c>
    </row>
    <row r="173" spans="1:14" ht="14.4">
      <c r="A173" s="3">
        <v>13365</v>
      </c>
      <c r="B173" s="3">
        <v>13366</v>
      </c>
      <c r="C173" s="3">
        <v>4085</v>
      </c>
      <c r="D173" s="3" t="s">
        <v>18</v>
      </c>
      <c r="E173" s="3" t="s">
        <v>110</v>
      </c>
      <c r="F173" s="3">
        <v>11942</v>
      </c>
      <c r="G173" s="3" t="s">
        <v>23</v>
      </c>
      <c r="H173" s="3" t="s">
        <v>21</v>
      </c>
      <c r="I173" s="3">
        <v>9473</v>
      </c>
      <c r="J173" s="3">
        <v>0</v>
      </c>
      <c r="K173" s="3">
        <v>9473</v>
      </c>
      <c r="L173" s="3">
        <v>10000</v>
      </c>
      <c r="M173" s="3">
        <v>0</v>
      </c>
      <c r="N173" s="3">
        <v>0</v>
      </c>
    </row>
    <row r="174" spans="1:14" ht="14.4">
      <c r="A174" s="3">
        <v>13365</v>
      </c>
      <c r="B174" s="3">
        <v>13366</v>
      </c>
      <c r="C174" s="3">
        <v>4085</v>
      </c>
      <c r="D174" s="3" t="s">
        <v>18</v>
      </c>
      <c r="E174" s="3" t="s">
        <v>111</v>
      </c>
      <c r="F174" s="3">
        <v>11942</v>
      </c>
      <c r="G174" s="3" t="s">
        <v>23</v>
      </c>
      <c r="H174" s="3" t="s">
        <v>21</v>
      </c>
      <c r="I174" s="3">
        <v>8577</v>
      </c>
      <c r="J174" s="3">
        <v>8077</v>
      </c>
      <c r="K174" s="3">
        <v>500</v>
      </c>
      <c r="L174" s="3">
        <v>34300</v>
      </c>
      <c r="M174" s="3">
        <v>8100</v>
      </c>
      <c r="N174" s="3">
        <v>500</v>
      </c>
    </row>
    <row r="175" spans="1:14" ht="14.4">
      <c r="A175" s="3">
        <v>13365</v>
      </c>
      <c r="B175" s="3">
        <v>13366</v>
      </c>
      <c r="C175" s="3">
        <v>4085</v>
      </c>
      <c r="D175" s="3" t="s">
        <v>18</v>
      </c>
      <c r="E175" s="3" t="s">
        <v>112</v>
      </c>
      <c r="F175" s="3">
        <v>11518</v>
      </c>
      <c r="G175" s="3" t="s">
        <v>20</v>
      </c>
      <c r="H175" s="3" t="s">
        <v>21</v>
      </c>
      <c r="I175" s="3">
        <v>8291352</v>
      </c>
      <c r="J175" s="3">
        <v>6349522</v>
      </c>
      <c r="K175" s="3">
        <v>1941830</v>
      </c>
      <c r="L175" s="3">
        <v>1640000</v>
      </c>
      <c r="M175" s="3">
        <v>1169700</v>
      </c>
      <c r="N175" s="3">
        <v>261900</v>
      </c>
    </row>
    <row r="176" spans="1:14" ht="14.4">
      <c r="A176" s="3">
        <v>13365</v>
      </c>
      <c r="B176" s="3">
        <v>13366</v>
      </c>
      <c r="C176" s="3">
        <v>4085</v>
      </c>
      <c r="D176" s="3" t="s">
        <v>18</v>
      </c>
      <c r="E176" s="3" t="s">
        <v>113</v>
      </c>
      <c r="F176" s="3">
        <v>11941</v>
      </c>
      <c r="G176" s="3" t="s">
        <v>23</v>
      </c>
      <c r="H176" s="3" t="s">
        <v>21</v>
      </c>
      <c r="I176" s="3">
        <v>2935</v>
      </c>
      <c r="J176" s="3">
        <v>2935</v>
      </c>
      <c r="K176" s="3">
        <v>0</v>
      </c>
      <c r="L176" s="3">
        <v>1600</v>
      </c>
      <c r="M176" s="3">
        <v>0</v>
      </c>
      <c r="N176" s="3">
        <v>0</v>
      </c>
    </row>
    <row r="177" spans="1:14" ht="14.4">
      <c r="A177" s="3">
        <v>13365</v>
      </c>
      <c r="B177" s="3">
        <v>13366</v>
      </c>
      <c r="C177" s="3">
        <v>4085</v>
      </c>
      <c r="D177" s="3" t="s">
        <v>18</v>
      </c>
      <c r="E177" s="3" t="s">
        <v>114</v>
      </c>
      <c r="F177" s="3">
        <v>11691</v>
      </c>
      <c r="G177" s="3" t="s">
        <v>28</v>
      </c>
      <c r="H177" s="3" t="s">
        <v>21</v>
      </c>
      <c r="I177" s="3">
        <v>3316985</v>
      </c>
      <c r="J177" s="3">
        <v>2732862</v>
      </c>
      <c r="K177" s="3">
        <v>584123</v>
      </c>
      <c r="L177" s="3">
        <v>2000000</v>
      </c>
      <c r="M177" s="3">
        <v>2000000</v>
      </c>
      <c r="N177" s="3">
        <v>0</v>
      </c>
    </row>
    <row r="178" spans="1:14" ht="14.4">
      <c r="A178" s="3">
        <v>13365</v>
      </c>
      <c r="B178" s="3">
        <v>13366</v>
      </c>
      <c r="C178" s="3">
        <v>4085</v>
      </c>
      <c r="D178" s="3" t="s">
        <v>18</v>
      </c>
      <c r="E178" s="3" t="s">
        <v>115</v>
      </c>
      <c r="F178" s="3">
        <v>11373</v>
      </c>
      <c r="G178" s="3" t="s">
        <v>28</v>
      </c>
      <c r="H178" s="3" t="s">
        <v>21</v>
      </c>
      <c r="I178" s="3">
        <v>17308</v>
      </c>
      <c r="J178" s="3">
        <v>9788</v>
      </c>
      <c r="K178" s="3">
        <v>7520</v>
      </c>
      <c r="L178" s="3">
        <v>0</v>
      </c>
      <c r="M178" s="3">
        <v>0</v>
      </c>
      <c r="N178" s="3">
        <v>0</v>
      </c>
    </row>
    <row r="179" spans="1:14" ht="14.4">
      <c r="A179" s="3">
        <v>13365</v>
      </c>
      <c r="B179" s="3">
        <v>13366</v>
      </c>
      <c r="C179" s="3">
        <v>4085</v>
      </c>
      <c r="D179" s="3" t="s">
        <v>18</v>
      </c>
      <c r="E179" s="3" t="s">
        <v>116</v>
      </c>
      <c r="F179" s="3">
        <v>11003</v>
      </c>
      <c r="G179" s="3" t="s">
        <v>20</v>
      </c>
      <c r="H179" s="3" t="s">
        <v>21</v>
      </c>
      <c r="I179" s="3">
        <v>107416</v>
      </c>
      <c r="J179" s="3">
        <v>0</v>
      </c>
      <c r="K179" s="3">
        <v>107416</v>
      </c>
      <c r="L179" s="3">
        <v>220900</v>
      </c>
      <c r="M179" s="3">
        <v>0</v>
      </c>
      <c r="N179" s="3">
        <v>97900</v>
      </c>
    </row>
    <row r="180" spans="1:14" ht="14.4">
      <c r="A180" s="3">
        <v>13365</v>
      </c>
      <c r="B180" s="3">
        <v>13366</v>
      </c>
      <c r="C180" s="3">
        <v>4085</v>
      </c>
      <c r="D180" s="3" t="s">
        <v>18</v>
      </c>
      <c r="E180" s="3" t="s">
        <v>117</v>
      </c>
      <c r="F180" s="3">
        <v>10523</v>
      </c>
      <c r="G180" s="3" t="s">
        <v>64</v>
      </c>
      <c r="H180" s="3" t="s">
        <v>21</v>
      </c>
      <c r="I180" s="3">
        <v>0</v>
      </c>
      <c r="J180" s="3">
        <v>0</v>
      </c>
      <c r="K180" s="3">
        <v>0</v>
      </c>
      <c r="L180" s="3">
        <v>16400</v>
      </c>
      <c r="M180" s="3">
        <v>0</v>
      </c>
      <c r="N180" s="3">
        <v>0</v>
      </c>
    </row>
    <row r="181" spans="1:14" ht="14.4">
      <c r="A181" s="3">
        <v>13365</v>
      </c>
      <c r="B181" s="3">
        <v>13366</v>
      </c>
      <c r="C181" s="3">
        <v>4085</v>
      </c>
      <c r="D181" s="3" t="s">
        <v>18</v>
      </c>
      <c r="E181" s="3" t="s">
        <v>118</v>
      </c>
      <c r="F181" s="3">
        <v>7631</v>
      </c>
      <c r="G181" s="3" t="s">
        <v>76</v>
      </c>
      <c r="H181" s="3" t="s">
        <v>38</v>
      </c>
      <c r="I181" s="3">
        <v>0</v>
      </c>
      <c r="J181" s="3">
        <v>0</v>
      </c>
      <c r="K181" s="3">
        <v>0</v>
      </c>
      <c r="L181" s="3">
        <v>20000</v>
      </c>
      <c r="M181" s="3">
        <v>0</v>
      </c>
      <c r="N181" s="3">
        <v>0</v>
      </c>
    </row>
    <row r="182" spans="1:14" ht="14.4">
      <c r="A182" s="3">
        <v>13365</v>
      </c>
      <c r="B182" s="3">
        <v>13366</v>
      </c>
      <c r="C182" s="3">
        <v>4085</v>
      </c>
      <c r="D182" s="3" t="s">
        <v>18</v>
      </c>
      <c r="E182" s="3" t="s">
        <v>119</v>
      </c>
      <c r="F182" s="3">
        <v>11692</v>
      </c>
      <c r="G182" s="3" t="s">
        <v>28</v>
      </c>
      <c r="H182" s="3" t="s">
        <v>21</v>
      </c>
      <c r="I182" s="3">
        <v>80417</v>
      </c>
      <c r="J182" s="3">
        <v>78367</v>
      </c>
      <c r="K182" s="3">
        <v>2050</v>
      </c>
      <c r="L182" s="3">
        <v>0</v>
      </c>
      <c r="M182" s="3">
        <v>0</v>
      </c>
      <c r="N182" s="3">
        <v>0</v>
      </c>
    </row>
    <row r="183" spans="1:14" ht="14.4">
      <c r="A183" s="3">
        <v>13365</v>
      </c>
      <c r="B183" s="3">
        <v>13366</v>
      </c>
      <c r="C183" s="3">
        <v>4085</v>
      </c>
      <c r="D183" s="3" t="s">
        <v>18</v>
      </c>
      <c r="E183" s="3" t="s">
        <v>120</v>
      </c>
      <c r="F183" s="3">
        <v>11691</v>
      </c>
      <c r="G183" s="3" t="s">
        <v>28</v>
      </c>
      <c r="H183" s="3" t="s">
        <v>21</v>
      </c>
      <c r="I183" s="3">
        <v>61552</v>
      </c>
      <c r="J183" s="3">
        <v>59777</v>
      </c>
      <c r="K183" s="3">
        <v>1775</v>
      </c>
      <c r="L183" s="3">
        <v>62000</v>
      </c>
      <c r="M183" s="3">
        <v>57800</v>
      </c>
      <c r="N183" s="3">
        <v>1800</v>
      </c>
    </row>
    <row r="184" spans="1:14" ht="14.4">
      <c r="A184" s="3">
        <v>13365</v>
      </c>
      <c r="B184" s="3">
        <v>13366</v>
      </c>
      <c r="C184" s="3">
        <v>4085</v>
      </c>
      <c r="D184" s="3" t="s">
        <v>18</v>
      </c>
      <c r="E184" s="3" t="s">
        <v>121</v>
      </c>
      <c r="F184" s="3">
        <v>11691</v>
      </c>
      <c r="G184" s="3" t="s">
        <v>32</v>
      </c>
      <c r="H184" s="3" t="s">
        <v>21</v>
      </c>
      <c r="I184" s="3">
        <v>15050</v>
      </c>
      <c r="J184" s="3">
        <v>7250</v>
      </c>
      <c r="K184" s="3">
        <v>7800</v>
      </c>
      <c r="L184" s="3">
        <v>0</v>
      </c>
      <c r="M184" s="3">
        <v>0</v>
      </c>
      <c r="N184" s="3">
        <v>0</v>
      </c>
    </row>
    <row r="185" spans="1:14" ht="14.4">
      <c r="A185" s="3">
        <v>13365</v>
      </c>
      <c r="B185" s="3">
        <v>13366</v>
      </c>
      <c r="C185" s="3">
        <v>4085</v>
      </c>
      <c r="D185" s="3" t="s">
        <v>18</v>
      </c>
      <c r="E185" s="3" t="s">
        <v>121</v>
      </c>
      <c r="F185" s="3">
        <v>11691</v>
      </c>
      <c r="G185" s="3" t="s">
        <v>28</v>
      </c>
      <c r="H185" s="3" t="s">
        <v>21</v>
      </c>
      <c r="I185" s="3">
        <v>14911555</v>
      </c>
      <c r="J185" s="3">
        <v>11125538</v>
      </c>
      <c r="K185" s="3">
        <v>3786017</v>
      </c>
      <c r="L185" s="3">
        <v>3766200</v>
      </c>
      <c r="M185" s="3">
        <v>2149100</v>
      </c>
      <c r="N185" s="3">
        <v>1256400</v>
      </c>
    </row>
    <row r="186" spans="1:14" ht="14.4">
      <c r="A186" s="3">
        <v>13365</v>
      </c>
      <c r="B186" s="3">
        <v>13366</v>
      </c>
      <c r="C186" s="3">
        <v>4085</v>
      </c>
      <c r="D186" s="3" t="s">
        <v>18</v>
      </c>
      <c r="E186" s="3" t="s">
        <v>121</v>
      </c>
      <c r="F186" s="3">
        <v>11692</v>
      </c>
      <c r="G186" s="3" t="s">
        <v>28</v>
      </c>
      <c r="H186" s="3" t="s">
        <v>21</v>
      </c>
      <c r="I186" s="3">
        <v>1625773</v>
      </c>
      <c r="J186" s="3">
        <v>1032813</v>
      </c>
      <c r="K186" s="3">
        <v>592960</v>
      </c>
      <c r="L186" s="3">
        <v>448100</v>
      </c>
      <c r="M186" s="3">
        <v>80900</v>
      </c>
      <c r="N186" s="3">
        <v>324700</v>
      </c>
    </row>
    <row r="187" spans="1:14" ht="14.4">
      <c r="A187" s="3">
        <v>13365</v>
      </c>
      <c r="B187" s="3">
        <v>13366</v>
      </c>
      <c r="C187" s="3">
        <v>4085</v>
      </c>
      <c r="D187" s="3" t="s">
        <v>18</v>
      </c>
      <c r="E187" s="3" t="s">
        <v>121</v>
      </c>
      <c r="F187" s="3">
        <v>11693</v>
      </c>
      <c r="G187" s="3" t="s">
        <v>28</v>
      </c>
      <c r="H187" s="3" t="s">
        <v>21</v>
      </c>
      <c r="I187" s="3">
        <v>2567013</v>
      </c>
      <c r="J187" s="3">
        <v>1949151</v>
      </c>
      <c r="K187" s="3">
        <v>617862</v>
      </c>
      <c r="L187" s="3">
        <v>0</v>
      </c>
      <c r="M187" s="3">
        <v>0</v>
      </c>
      <c r="N187" s="3">
        <v>0</v>
      </c>
    </row>
    <row r="188" spans="1:14" ht="14.4">
      <c r="A188" s="3">
        <v>13365</v>
      </c>
      <c r="B188" s="3">
        <v>13366</v>
      </c>
      <c r="C188" s="3">
        <v>4085</v>
      </c>
      <c r="D188" s="3" t="s">
        <v>18</v>
      </c>
      <c r="E188" s="3" t="s">
        <v>121</v>
      </c>
      <c r="F188" s="3">
        <v>11694</v>
      </c>
      <c r="G188" s="3" t="s">
        <v>28</v>
      </c>
      <c r="H188" s="3" t="s">
        <v>21</v>
      </c>
      <c r="I188" s="3">
        <v>462350</v>
      </c>
      <c r="J188" s="3">
        <v>287584</v>
      </c>
      <c r="K188" s="3">
        <v>174766</v>
      </c>
      <c r="L188" s="3">
        <v>77900</v>
      </c>
      <c r="M188" s="3">
        <v>39600</v>
      </c>
      <c r="N188" s="3">
        <v>33300</v>
      </c>
    </row>
    <row r="189" spans="1:14" ht="14.4">
      <c r="A189" s="3">
        <v>13365</v>
      </c>
      <c r="B189" s="3">
        <v>13366</v>
      </c>
      <c r="C189" s="3">
        <v>4085</v>
      </c>
      <c r="D189" s="3" t="s">
        <v>18</v>
      </c>
      <c r="E189" s="3" t="s">
        <v>122</v>
      </c>
      <c r="F189" s="3">
        <v>11691</v>
      </c>
      <c r="G189" s="3" t="s">
        <v>28</v>
      </c>
      <c r="H189" s="3" t="s">
        <v>21</v>
      </c>
      <c r="I189" s="3">
        <v>5746</v>
      </c>
      <c r="J189" s="3">
        <v>2146</v>
      </c>
      <c r="K189" s="3">
        <v>3600</v>
      </c>
      <c r="L189" s="3">
        <v>0</v>
      </c>
      <c r="M189" s="3">
        <v>0</v>
      </c>
      <c r="N189" s="3">
        <v>0</v>
      </c>
    </row>
    <row r="190" spans="1:14" ht="14.4">
      <c r="A190" s="3">
        <v>13365</v>
      </c>
      <c r="B190" s="3">
        <v>13366</v>
      </c>
      <c r="C190" s="3">
        <v>4085</v>
      </c>
      <c r="D190" s="3" t="s">
        <v>18</v>
      </c>
      <c r="E190" s="3" t="s">
        <v>123</v>
      </c>
      <c r="F190" s="3">
        <v>11692</v>
      </c>
      <c r="G190" s="3" t="s">
        <v>28</v>
      </c>
      <c r="H190" s="3" t="s">
        <v>21</v>
      </c>
      <c r="I190" s="3">
        <v>72259</v>
      </c>
      <c r="J190" s="3">
        <v>70109</v>
      </c>
      <c r="K190" s="3">
        <v>2150</v>
      </c>
      <c r="L190" s="3">
        <v>0</v>
      </c>
      <c r="M190" s="3">
        <v>0</v>
      </c>
      <c r="N190" s="3">
        <v>0</v>
      </c>
    </row>
    <row r="191" spans="1:14" ht="14.4">
      <c r="A191" s="3">
        <v>13365</v>
      </c>
      <c r="B191" s="3">
        <v>13366</v>
      </c>
      <c r="C191" s="3">
        <v>4085</v>
      </c>
      <c r="D191" s="3" t="s">
        <v>18</v>
      </c>
      <c r="E191" s="3" t="s">
        <v>124</v>
      </c>
      <c r="F191" s="3">
        <v>11725</v>
      </c>
      <c r="G191" s="3" t="s">
        <v>20</v>
      </c>
      <c r="H191" s="3" t="s">
        <v>21</v>
      </c>
      <c r="I191" s="3">
        <v>30466</v>
      </c>
      <c r="J191" s="3">
        <v>27066</v>
      </c>
      <c r="K191" s="3">
        <v>3400</v>
      </c>
      <c r="L191" s="3">
        <v>30500</v>
      </c>
      <c r="M191" s="3">
        <v>27100</v>
      </c>
      <c r="N191" s="3">
        <v>3400</v>
      </c>
    </row>
    <row r="192" spans="1:14" ht="14.4">
      <c r="A192" s="3">
        <v>13365</v>
      </c>
      <c r="B192" s="3">
        <v>13366</v>
      </c>
      <c r="C192" s="3">
        <v>4085</v>
      </c>
      <c r="D192" s="3" t="s">
        <v>18</v>
      </c>
      <c r="E192" s="3" t="s">
        <v>124</v>
      </c>
      <c r="F192" s="3">
        <v>11735</v>
      </c>
      <c r="G192" s="3" t="s">
        <v>20</v>
      </c>
      <c r="H192" s="3" t="s">
        <v>21</v>
      </c>
      <c r="I192" s="3">
        <v>529347</v>
      </c>
      <c r="J192" s="3">
        <v>132052</v>
      </c>
      <c r="K192" s="3">
        <v>397295</v>
      </c>
      <c r="L192" s="3">
        <v>396600</v>
      </c>
      <c r="M192" s="3">
        <v>0</v>
      </c>
      <c r="N192" s="3">
        <v>285700</v>
      </c>
    </row>
    <row r="193" spans="1:14" ht="14.4">
      <c r="A193" s="3">
        <v>13365</v>
      </c>
      <c r="B193" s="3">
        <v>13366</v>
      </c>
      <c r="C193" s="3">
        <v>4085</v>
      </c>
      <c r="D193" s="3" t="s">
        <v>18</v>
      </c>
      <c r="E193" s="3" t="s">
        <v>124</v>
      </c>
      <c r="F193" s="3">
        <v>11735</v>
      </c>
      <c r="G193" s="3" t="s">
        <v>23</v>
      </c>
      <c r="H193" s="3" t="s">
        <v>21</v>
      </c>
      <c r="I193" s="3">
        <v>42625</v>
      </c>
      <c r="J193" s="3">
        <v>39875</v>
      </c>
      <c r="K193" s="3">
        <v>2750</v>
      </c>
      <c r="L193" s="3">
        <v>26900</v>
      </c>
      <c r="M193" s="3">
        <v>26100</v>
      </c>
      <c r="N193" s="3">
        <v>800</v>
      </c>
    </row>
    <row r="194" spans="1:14" ht="14.4">
      <c r="A194" s="3">
        <v>13365</v>
      </c>
      <c r="B194" s="3">
        <v>13366</v>
      </c>
      <c r="C194" s="3">
        <v>4085</v>
      </c>
      <c r="D194" s="3" t="s">
        <v>18</v>
      </c>
      <c r="E194" s="3" t="s">
        <v>125</v>
      </c>
      <c r="F194" s="3">
        <v>11738</v>
      </c>
      <c r="G194" s="3" t="s">
        <v>23</v>
      </c>
      <c r="H194" s="3" t="s">
        <v>21</v>
      </c>
      <c r="I194" s="3">
        <v>11125</v>
      </c>
      <c r="J194" s="3">
        <v>0</v>
      </c>
      <c r="K194" s="3">
        <v>11125</v>
      </c>
      <c r="L194" s="3">
        <v>18500</v>
      </c>
      <c r="M194" s="3">
        <v>0</v>
      </c>
      <c r="N194" s="3">
        <v>0</v>
      </c>
    </row>
    <row r="195" spans="1:14" ht="14.4">
      <c r="A195" s="3">
        <v>13365</v>
      </c>
      <c r="B195" s="3">
        <v>13366</v>
      </c>
      <c r="C195" s="3">
        <v>4085</v>
      </c>
      <c r="D195" s="3" t="s">
        <v>18</v>
      </c>
      <c r="E195" s="3" t="s">
        <v>126</v>
      </c>
      <c r="F195" s="3">
        <v>11782</v>
      </c>
      <c r="G195" s="3" t="s">
        <v>23</v>
      </c>
      <c r="H195" s="3" t="s">
        <v>21</v>
      </c>
      <c r="I195" s="3">
        <v>286003</v>
      </c>
      <c r="J195" s="3">
        <v>282243</v>
      </c>
      <c r="K195" s="3">
        <v>3760</v>
      </c>
      <c r="L195" s="3">
        <v>22400</v>
      </c>
      <c r="M195" s="3">
        <v>20900</v>
      </c>
      <c r="N195" s="3">
        <v>1500</v>
      </c>
    </row>
    <row r="196" spans="1:14" ht="14.4">
      <c r="A196" s="3">
        <v>13365</v>
      </c>
      <c r="B196" s="3">
        <v>13366</v>
      </c>
      <c r="C196" s="3">
        <v>4085</v>
      </c>
      <c r="D196" s="3" t="s">
        <v>18</v>
      </c>
      <c r="E196" s="3" t="s">
        <v>127</v>
      </c>
      <c r="F196" s="3">
        <v>6390</v>
      </c>
      <c r="G196" s="3" t="s">
        <v>23</v>
      </c>
      <c r="H196" s="3" t="s">
        <v>21</v>
      </c>
      <c r="I196" s="3">
        <v>29100</v>
      </c>
      <c r="J196" s="3">
        <v>0</v>
      </c>
      <c r="K196" s="3">
        <v>29100</v>
      </c>
      <c r="L196" s="3">
        <v>75200</v>
      </c>
      <c r="M196" s="3">
        <v>0</v>
      </c>
      <c r="N196" s="3">
        <v>29100</v>
      </c>
    </row>
    <row r="197" spans="1:14" ht="14.4">
      <c r="A197" s="3">
        <v>13365</v>
      </c>
      <c r="B197" s="3">
        <v>13366</v>
      </c>
      <c r="C197" s="3">
        <v>4085</v>
      </c>
      <c r="D197" s="3" t="s">
        <v>18</v>
      </c>
      <c r="E197" s="3" t="s">
        <v>128</v>
      </c>
      <c r="F197" s="3">
        <v>11901</v>
      </c>
      <c r="G197" s="3" t="s">
        <v>23</v>
      </c>
      <c r="H197" s="3" t="s">
        <v>21</v>
      </c>
      <c r="I197" s="3">
        <v>17495</v>
      </c>
      <c r="J197" s="3">
        <v>15875</v>
      </c>
      <c r="K197" s="3">
        <v>1620</v>
      </c>
      <c r="L197" s="3">
        <v>0</v>
      </c>
      <c r="M197" s="3">
        <v>0</v>
      </c>
      <c r="N197" s="3">
        <v>0</v>
      </c>
    </row>
    <row r="198" spans="1:14" ht="14.4">
      <c r="A198" s="3">
        <v>13365</v>
      </c>
      <c r="B198" s="3">
        <v>13366</v>
      </c>
      <c r="C198" s="3">
        <v>4085</v>
      </c>
      <c r="D198" s="3" t="s">
        <v>18</v>
      </c>
      <c r="E198" s="3" t="s">
        <v>129</v>
      </c>
      <c r="F198" s="3">
        <v>11001</v>
      </c>
      <c r="G198" s="3" t="s">
        <v>20</v>
      </c>
      <c r="H198" s="3" t="s">
        <v>21</v>
      </c>
      <c r="I198" s="3">
        <v>158670</v>
      </c>
      <c r="J198" s="3">
        <v>28841</v>
      </c>
      <c r="K198" s="3">
        <v>129829</v>
      </c>
      <c r="L198" s="3">
        <v>637100</v>
      </c>
      <c r="M198" s="3">
        <v>28900</v>
      </c>
      <c r="N198" s="3">
        <v>14000</v>
      </c>
    </row>
    <row r="199" spans="1:14" ht="14.4">
      <c r="A199" s="3">
        <v>13365</v>
      </c>
      <c r="B199" s="3">
        <v>13366</v>
      </c>
      <c r="C199" s="3">
        <v>4085</v>
      </c>
      <c r="D199" s="3" t="s">
        <v>18</v>
      </c>
      <c r="E199" s="3" t="s">
        <v>129</v>
      </c>
      <c r="F199" s="3">
        <v>11004</v>
      </c>
      <c r="G199" s="3" t="s">
        <v>28</v>
      </c>
      <c r="H199" s="3" t="s">
        <v>21</v>
      </c>
      <c r="I199" s="3">
        <v>13542</v>
      </c>
      <c r="J199" s="3">
        <v>6540</v>
      </c>
      <c r="K199" s="3">
        <v>7002</v>
      </c>
      <c r="L199" s="3">
        <v>0</v>
      </c>
      <c r="M199" s="3">
        <v>0</v>
      </c>
      <c r="N199" s="3">
        <v>0</v>
      </c>
    </row>
    <row r="200" spans="1:14" ht="14.4">
      <c r="A200" s="3">
        <v>13365</v>
      </c>
      <c r="B200" s="3">
        <v>13366</v>
      </c>
      <c r="C200" s="3">
        <v>4085</v>
      </c>
      <c r="D200" s="3" t="s">
        <v>18</v>
      </c>
      <c r="E200" s="3" t="s">
        <v>130</v>
      </c>
      <c r="F200" s="3">
        <v>11354</v>
      </c>
      <c r="G200" s="3" t="s">
        <v>28</v>
      </c>
      <c r="H200" s="3" t="s">
        <v>21</v>
      </c>
      <c r="I200" s="3">
        <v>621524</v>
      </c>
      <c r="J200" s="3">
        <v>96993</v>
      </c>
      <c r="K200" s="3">
        <v>524531</v>
      </c>
      <c r="L200" s="3">
        <v>6700</v>
      </c>
      <c r="M200" s="3">
        <v>0</v>
      </c>
      <c r="N200" s="3">
        <v>1700</v>
      </c>
    </row>
    <row r="201" spans="1:14" ht="14.4">
      <c r="A201" s="3">
        <v>13365</v>
      </c>
      <c r="B201" s="3">
        <v>13366</v>
      </c>
      <c r="C201" s="3">
        <v>4085</v>
      </c>
      <c r="D201" s="3" t="s">
        <v>18</v>
      </c>
      <c r="E201" s="3" t="s">
        <v>130</v>
      </c>
      <c r="F201" s="3">
        <v>11355</v>
      </c>
      <c r="G201" s="3" t="s">
        <v>28</v>
      </c>
      <c r="H201" s="3" t="s">
        <v>21</v>
      </c>
      <c r="I201" s="3">
        <v>420942</v>
      </c>
      <c r="J201" s="3">
        <v>285009</v>
      </c>
      <c r="K201" s="3">
        <v>135933</v>
      </c>
      <c r="L201" s="3">
        <v>3800</v>
      </c>
      <c r="M201" s="3">
        <v>200</v>
      </c>
      <c r="N201" s="3">
        <v>3600</v>
      </c>
    </row>
    <row r="202" spans="1:14" ht="14.4">
      <c r="A202" s="3">
        <v>13365</v>
      </c>
      <c r="B202" s="3">
        <v>13366</v>
      </c>
      <c r="C202" s="3">
        <v>4085</v>
      </c>
      <c r="D202" s="3" t="s">
        <v>18</v>
      </c>
      <c r="E202" s="3" t="s">
        <v>130</v>
      </c>
      <c r="F202" s="3">
        <v>11358</v>
      </c>
      <c r="G202" s="3" t="s">
        <v>28</v>
      </c>
      <c r="H202" s="3" t="s">
        <v>21</v>
      </c>
      <c r="I202" s="3">
        <v>38811</v>
      </c>
      <c r="J202" s="3">
        <v>8011</v>
      </c>
      <c r="K202" s="3">
        <v>30800</v>
      </c>
      <c r="L202" s="3">
        <v>14000</v>
      </c>
      <c r="M202" s="3">
        <v>0</v>
      </c>
      <c r="N202" s="3">
        <v>14000</v>
      </c>
    </row>
    <row r="203" spans="1:14" ht="14.4">
      <c r="A203" s="3">
        <v>13365</v>
      </c>
      <c r="B203" s="3">
        <v>13366</v>
      </c>
      <c r="C203" s="3">
        <v>4085</v>
      </c>
      <c r="D203" s="3" t="s">
        <v>18</v>
      </c>
      <c r="E203" s="3" t="s">
        <v>130</v>
      </c>
      <c r="F203" s="3">
        <v>11366</v>
      </c>
      <c r="G203" s="3" t="s">
        <v>28</v>
      </c>
      <c r="H203" s="3" t="s">
        <v>21</v>
      </c>
      <c r="I203" s="3">
        <v>8535</v>
      </c>
      <c r="J203" s="3">
        <v>0</v>
      </c>
      <c r="K203" s="3">
        <v>8535</v>
      </c>
      <c r="L203" s="3">
        <v>0</v>
      </c>
      <c r="M203" s="3">
        <v>0</v>
      </c>
      <c r="N203" s="3">
        <v>0</v>
      </c>
    </row>
    <row r="204" spans="1:14" ht="14.4">
      <c r="A204" s="3">
        <v>13365</v>
      </c>
      <c r="B204" s="3">
        <v>13366</v>
      </c>
      <c r="C204" s="3">
        <v>4085</v>
      </c>
      <c r="D204" s="3" t="s">
        <v>18</v>
      </c>
      <c r="E204" s="3" t="s">
        <v>131</v>
      </c>
      <c r="F204" s="3">
        <v>11375</v>
      </c>
      <c r="G204" s="3" t="s">
        <v>28</v>
      </c>
      <c r="H204" s="3" t="s">
        <v>21</v>
      </c>
      <c r="I204" s="3">
        <v>57045</v>
      </c>
      <c r="J204" s="3">
        <v>44045</v>
      </c>
      <c r="K204" s="3">
        <v>13000</v>
      </c>
      <c r="L204" s="3">
        <v>68200</v>
      </c>
      <c r="M204" s="3">
        <v>3500</v>
      </c>
      <c r="N204" s="3">
        <v>7000</v>
      </c>
    </row>
    <row r="205" spans="1:14" ht="14.4">
      <c r="A205" s="3">
        <v>13365</v>
      </c>
      <c r="B205" s="3">
        <v>13366</v>
      </c>
      <c r="C205" s="3">
        <v>4085</v>
      </c>
      <c r="D205" s="3" t="s">
        <v>18</v>
      </c>
      <c r="E205" s="3" t="s">
        <v>132</v>
      </c>
      <c r="F205" s="3">
        <v>7024</v>
      </c>
      <c r="G205" s="3" t="s">
        <v>76</v>
      </c>
      <c r="H205" s="3" t="s">
        <v>38</v>
      </c>
      <c r="I205" s="3">
        <v>0</v>
      </c>
      <c r="J205" s="3">
        <v>0</v>
      </c>
      <c r="K205" s="3">
        <v>0</v>
      </c>
      <c r="L205" s="3">
        <v>98900</v>
      </c>
      <c r="M205" s="3">
        <v>0</v>
      </c>
      <c r="N205" s="3">
        <v>0</v>
      </c>
    </row>
    <row r="206" spans="1:14" ht="14.4">
      <c r="A206" s="3">
        <v>13365</v>
      </c>
      <c r="B206" s="3">
        <v>13366</v>
      </c>
      <c r="C206" s="3">
        <v>4085</v>
      </c>
      <c r="D206" s="3" t="s">
        <v>18</v>
      </c>
      <c r="E206" s="3" t="s">
        <v>133</v>
      </c>
      <c r="F206" s="3">
        <v>11768</v>
      </c>
      <c r="G206" s="3" t="s">
        <v>23</v>
      </c>
      <c r="H206" s="3" t="s">
        <v>21</v>
      </c>
      <c r="I206" s="3">
        <v>0</v>
      </c>
      <c r="J206" s="3">
        <v>0</v>
      </c>
      <c r="K206" s="3">
        <v>0</v>
      </c>
      <c r="L206" s="3">
        <v>12600</v>
      </c>
      <c r="M206" s="3">
        <v>0</v>
      </c>
      <c r="N206" s="3">
        <v>0</v>
      </c>
    </row>
    <row r="207" spans="1:14" ht="14.4">
      <c r="A207" s="3">
        <v>13365</v>
      </c>
      <c r="B207" s="3">
        <v>13366</v>
      </c>
      <c r="C207" s="3">
        <v>4085</v>
      </c>
      <c r="D207" s="3" t="s">
        <v>18</v>
      </c>
      <c r="E207" s="3" t="s">
        <v>134</v>
      </c>
      <c r="F207" s="3">
        <v>11695</v>
      </c>
      <c r="G207" s="3" t="s">
        <v>28</v>
      </c>
      <c r="H207" s="3" t="s">
        <v>21</v>
      </c>
      <c r="I207" s="3">
        <v>522525</v>
      </c>
      <c r="J207" s="3">
        <v>499875</v>
      </c>
      <c r="K207" s="3">
        <v>22650</v>
      </c>
      <c r="L207" s="3">
        <v>522600</v>
      </c>
      <c r="M207" s="3">
        <v>499900</v>
      </c>
      <c r="N207" s="3">
        <v>22700</v>
      </c>
    </row>
    <row r="208" spans="1:14" ht="14.4">
      <c r="A208" s="3">
        <v>13365</v>
      </c>
      <c r="B208" s="3">
        <v>13366</v>
      </c>
      <c r="C208" s="3">
        <v>4085</v>
      </c>
      <c r="D208" s="3" t="s">
        <v>18</v>
      </c>
      <c r="E208" s="3" t="s">
        <v>135</v>
      </c>
      <c r="F208" s="3">
        <v>15913</v>
      </c>
      <c r="G208" s="3" t="s">
        <v>28</v>
      </c>
      <c r="H208" s="3" t="s">
        <v>21</v>
      </c>
      <c r="I208" s="3">
        <v>28940</v>
      </c>
      <c r="J208" s="3">
        <v>28940</v>
      </c>
      <c r="K208" s="3">
        <v>0</v>
      </c>
      <c r="L208" s="3">
        <v>0</v>
      </c>
      <c r="M208" s="3">
        <v>0</v>
      </c>
      <c r="N208" s="3">
        <v>0</v>
      </c>
    </row>
    <row r="209" spans="1:14" ht="14.4">
      <c r="A209" s="3">
        <v>13365</v>
      </c>
      <c r="B209" s="3">
        <v>13366</v>
      </c>
      <c r="C209" s="3">
        <v>4085</v>
      </c>
      <c r="D209" s="3" t="s">
        <v>18</v>
      </c>
      <c r="E209" s="3" t="s">
        <v>136</v>
      </c>
      <c r="F209" s="3">
        <v>11010</v>
      </c>
      <c r="G209" s="3" t="s">
        <v>20</v>
      </c>
      <c r="H209" s="3" t="s">
        <v>21</v>
      </c>
      <c r="I209" s="3">
        <v>60217</v>
      </c>
      <c r="J209" s="3">
        <v>3712</v>
      </c>
      <c r="K209" s="3">
        <v>56505</v>
      </c>
      <c r="L209" s="3">
        <v>0</v>
      </c>
      <c r="M209" s="3">
        <v>0</v>
      </c>
      <c r="N209" s="3">
        <v>0</v>
      </c>
    </row>
    <row r="210" spans="1:14" ht="14.4">
      <c r="A210" s="3">
        <v>13365</v>
      </c>
      <c r="B210" s="3">
        <v>13366</v>
      </c>
      <c r="C210" s="3">
        <v>4085</v>
      </c>
      <c r="D210" s="3" t="s">
        <v>18</v>
      </c>
      <c r="E210" s="3" t="s">
        <v>137</v>
      </c>
      <c r="F210" s="3">
        <v>11010</v>
      </c>
      <c r="G210" s="3" t="s">
        <v>20</v>
      </c>
      <c r="H210" s="3" t="s">
        <v>21</v>
      </c>
      <c r="I210" s="3">
        <v>18300</v>
      </c>
      <c r="J210" s="3">
        <v>0</v>
      </c>
      <c r="K210" s="3">
        <v>18300</v>
      </c>
      <c r="L210" s="3">
        <v>51200</v>
      </c>
      <c r="M210" s="3">
        <v>0</v>
      </c>
      <c r="N210" s="3">
        <v>0</v>
      </c>
    </row>
    <row r="211" spans="1:14" ht="14.4">
      <c r="A211" s="3">
        <v>13365</v>
      </c>
      <c r="B211" s="3">
        <v>13366</v>
      </c>
      <c r="C211" s="3">
        <v>4085</v>
      </c>
      <c r="D211" s="3" t="s">
        <v>18</v>
      </c>
      <c r="E211" s="3" t="s">
        <v>138</v>
      </c>
      <c r="F211" s="3">
        <v>11152</v>
      </c>
      <c r="G211" s="3" t="s">
        <v>20</v>
      </c>
      <c r="H211" s="3" t="s">
        <v>21</v>
      </c>
      <c r="I211" s="3">
        <v>60227</v>
      </c>
      <c r="J211" s="3">
        <v>10331</v>
      </c>
      <c r="K211" s="3">
        <v>49896</v>
      </c>
      <c r="L211" s="3">
        <v>0</v>
      </c>
      <c r="M211" s="3">
        <v>0</v>
      </c>
      <c r="N211" s="3">
        <v>0</v>
      </c>
    </row>
    <row r="212" spans="1:14" ht="14.4">
      <c r="A212" s="3">
        <v>13365</v>
      </c>
      <c r="B212" s="3">
        <v>13366</v>
      </c>
      <c r="C212" s="3">
        <v>4085</v>
      </c>
      <c r="D212" s="3" t="s">
        <v>18</v>
      </c>
      <c r="E212" s="3" t="s">
        <v>138</v>
      </c>
      <c r="F212" s="3">
        <v>11520</v>
      </c>
      <c r="G212" s="3" t="s">
        <v>20</v>
      </c>
      <c r="H212" s="3" t="s">
        <v>21</v>
      </c>
      <c r="I212" s="3">
        <v>25984847</v>
      </c>
      <c r="J212" s="3">
        <v>13412051</v>
      </c>
      <c r="K212" s="3">
        <v>12572796</v>
      </c>
      <c r="L212" s="3">
        <v>5786800</v>
      </c>
      <c r="M212" s="3">
        <v>1389100</v>
      </c>
      <c r="N212" s="3">
        <v>3534000</v>
      </c>
    </row>
    <row r="213" spans="1:14" ht="14.4">
      <c r="A213" s="3">
        <v>13365</v>
      </c>
      <c r="B213" s="3">
        <v>13366</v>
      </c>
      <c r="C213" s="3">
        <v>4085</v>
      </c>
      <c r="D213" s="3" t="s">
        <v>18</v>
      </c>
      <c r="E213" s="3" t="s">
        <v>138</v>
      </c>
      <c r="F213" s="3">
        <v>11530</v>
      </c>
      <c r="G213" s="3" t="s">
        <v>20</v>
      </c>
      <c r="H213" s="3" t="s">
        <v>21</v>
      </c>
      <c r="I213" s="3">
        <v>92038</v>
      </c>
      <c r="J213" s="3">
        <v>17418</v>
      </c>
      <c r="K213" s="3">
        <v>74620</v>
      </c>
      <c r="L213" s="3">
        <v>0</v>
      </c>
      <c r="M213" s="3">
        <v>0</v>
      </c>
      <c r="N213" s="3">
        <v>0</v>
      </c>
    </row>
    <row r="214" spans="1:14" ht="14.4">
      <c r="A214" s="3">
        <v>13365</v>
      </c>
      <c r="B214" s="3">
        <v>13366</v>
      </c>
      <c r="C214" s="3">
        <v>4085</v>
      </c>
      <c r="D214" s="3" t="s">
        <v>18</v>
      </c>
      <c r="E214" s="3" t="s">
        <v>138</v>
      </c>
      <c r="F214" s="3">
        <v>11783</v>
      </c>
      <c r="G214" s="3" t="s">
        <v>20</v>
      </c>
      <c r="H214" s="3" t="s">
        <v>21</v>
      </c>
      <c r="I214" s="3">
        <v>106610</v>
      </c>
      <c r="J214" s="3">
        <v>17897</v>
      </c>
      <c r="K214" s="3">
        <v>88713</v>
      </c>
      <c r="L214" s="3">
        <v>108200</v>
      </c>
      <c r="M214" s="3">
        <v>0</v>
      </c>
      <c r="N214" s="3">
        <v>51300</v>
      </c>
    </row>
    <row r="215" spans="1:14" ht="14.4">
      <c r="A215" s="3">
        <v>13365</v>
      </c>
      <c r="B215" s="3">
        <v>13366</v>
      </c>
      <c r="C215" s="3">
        <v>4085</v>
      </c>
      <c r="D215" s="3" t="s">
        <v>18</v>
      </c>
      <c r="E215" s="3" t="s">
        <v>138</v>
      </c>
      <c r="F215" s="3">
        <v>11520</v>
      </c>
      <c r="G215" s="3" t="s">
        <v>23</v>
      </c>
      <c r="H215" s="3" t="s">
        <v>21</v>
      </c>
      <c r="I215" s="3">
        <v>45550</v>
      </c>
      <c r="J215" s="3">
        <v>13050</v>
      </c>
      <c r="K215" s="3">
        <v>32500</v>
      </c>
      <c r="L215" s="3">
        <v>0</v>
      </c>
      <c r="M215" s="3">
        <v>0</v>
      </c>
      <c r="N215" s="3">
        <v>0</v>
      </c>
    </row>
    <row r="216" spans="1:14" ht="14.4">
      <c r="A216" s="3">
        <v>13365</v>
      </c>
      <c r="B216" s="3">
        <v>13366</v>
      </c>
      <c r="C216" s="3">
        <v>4085</v>
      </c>
      <c r="D216" s="3" t="s">
        <v>18</v>
      </c>
      <c r="E216" s="3" t="s">
        <v>139</v>
      </c>
      <c r="F216" s="3">
        <v>11365</v>
      </c>
      <c r="G216" s="3" t="s">
        <v>28</v>
      </c>
      <c r="H216" s="3" t="s">
        <v>21</v>
      </c>
      <c r="I216" s="3">
        <v>0</v>
      </c>
      <c r="J216" s="3">
        <v>0</v>
      </c>
      <c r="K216" s="3">
        <v>0</v>
      </c>
      <c r="L216" s="3">
        <v>24200</v>
      </c>
      <c r="M216" s="3">
        <v>0</v>
      </c>
      <c r="N216" s="3">
        <v>0</v>
      </c>
    </row>
    <row r="217" spans="1:14" ht="14.4">
      <c r="A217" s="3">
        <v>13365</v>
      </c>
      <c r="B217" s="3">
        <v>13366</v>
      </c>
      <c r="C217" s="3">
        <v>4085</v>
      </c>
      <c r="D217" s="3" t="s">
        <v>18</v>
      </c>
      <c r="E217" s="3" t="s">
        <v>140</v>
      </c>
      <c r="F217" s="3">
        <v>11530</v>
      </c>
      <c r="G217" s="3" t="s">
        <v>20</v>
      </c>
      <c r="H217" s="3" t="s">
        <v>21</v>
      </c>
      <c r="I217" s="3">
        <v>156529</v>
      </c>
      <c r="J217" s="3">
        <v>137329</v>
      </c>
      <c r="K217" s="3">
        <v>19200</v>
      </c>
      <c r="L217" s="3">
        <v>42300</v>
      </c>
      <c r="M217" s="3">
        <v>0</v>
      </c>
      <c r="N217" s="3">
        <v>0</v>
      </c>
    </row>
    <row r="218" spans="1:14" ht="14.4">
      <c r="A218" s="3">
        <v>13365</v>
      </c>
      <c r="B218" s="3">
        <v>13366</v>
      </c>
      <c r="C218" s="3">
        <v>4085</v>
      </c>
      <c r="D218" s="3" t="s">
        <v>18</v>
      </c>
      <c r="E218" s="3" t="s">
        <v>141</v>
      </c>
      <c r="F218" s="3">
        <v>11530</v>
      </c>
      <c r="G218" s="3" t="s">
        <v>20</v>
      </c>
      <c r="H218" s="3" t="s">
        <v>21</v>
      </c>
      <c r="I218" s="3">
        <v>0</v>
      </c>
      <c r="J218" s="3">
        <v>0</v>
      </c>
      <c r="K218" s="3">
        <v>0</v>
      </c>
      <c r="L218" s="3">
        <v>5000</v>
      </c>
      <c r="M218" s="3">
        <v>0</v>
      </c>
      <c r="N218" s="3">
        <v>0</v>
      </c>
    </row>
    <row r="219" spans="1:14" ht="14.4">
      <c r="A219" s="3">
        <v>13365</v>
      </c>
      <c r="B219" s="3">
        <v>13366</v>
      </c>
      <c r="C219" s="3">
        <v>4085</v>
      </c>
      <c r="D219" s="3" t="s">
        <v>18</v>
      </c>
      <c r="E219" s="3" t="s">
        <v>142</v>
      </c>
      <c r="F219" s="3">
        <v>6829</v>
      </c>
      <c r="G219" s="3" t="s">
        <v>143</v>
      </c>
      <c r="H219" s="3" t="s">
        <v>144</v>
      </c>
      <c r="I219" s="3">
        <v>0</v>
      </c>
      <c r="J219" s="3">
        <v>0</v>
      </c>
      <c r="K219" s="3">
        <v>0</v>
      </c>
      <c r="L219" s="3">
        <v>32000</v>
      </c>
      <c r="M219" s="3">
        <v>0</v>
      </c>
      <c r="N219" s="3">
        <v>0</v>
      </c>
    </row>
    <row r="220" spans="1:14" ht="14.4">
      <c r="A220" s="3">
        <v>13365</v>
      </c>
      <c r="B220" s="3">
        <v>13366</v>
      </c>
      <c r="C220" s="3">
        <v>4085</v>
      </c>
      <c r="D220" s="3" t="s">
        <v>18</v>
      </c>
      <c r="E220" s="3" t="s">
        <v>145</v>
      </c>
      <c r="F220" s="3">
        <v>11542</v>
      </c>
      <c r="G220" s="3" t="s">
        <v>20</v>
      </c>
      <c r="H220" s="3" t="s">
        <v>21</v>
      </c>
      <c r="I220" s="3">
        <v>2784</v>
      </c>
      <c r="J220" s="3">
        <v>2784</v>
      </c>
      <c r="K220" s="3">
        <v>0</v>
      </c>
      <c r="L220" s="3">
        <v>0</v>
      </c>
      <c r="M220" s="3">
        <v>0</v>
      </c>
      <c r="N220" s="3">
        <v>0</v>
      </c>
    </row>
    <row r="221" spans="1:14" ht="14.4">
      <c r="A221" s="3">
        <v>13365</v>
      </c>
      <c r="B221" s="3">
        <v>13366</v>
      </c>
      <c r="C221" s="3">
        <v>4085</v>
      </c>
      <c r="D221" s="3" t="s">
        <v>18</v>
      </c>
      <c r="E221" s="3" t="s">
        <v>146</v>
      </c>
      <c r="F221" s="3">
        <v>11542</v>
      </c>
      <c r="G221" s="3" t="s">
        <v>20</v>
      </c>
      <c r="H221" s="3" t="s">
        <v>21</v>
      </c>
      <c r="I221" s="3">
        <v>136708</v>
      </c>
      <c r="J221" s="3">
        <v>30453</v>
      </c>
      <c r="K221" s="3">
        <v>106255</v>
      </c>
      <c r="L221" s="3">
        <v>37500</v>
      </c>
      <c r="M221" s="3">
        <v>0</v>
      </c>
      <c r="N221" s="3">
        <v>0</v>
      </c>
    </row>
    <row r="222" spans="1:14" ht="14.4">
      <c r="A222" s="3">
        <v>13365</v>
      </c>
      <c r="B222" s="3">
        <v>13366</v>
      </c>
      <c r="C222" s="3">
        <v>4085</v>
      </c>
      <c r="D222" s="3" t="s">
        <v>18</v>
      </c>
      <c r="E222" s="3" t="s">
        <v>147</v>
      </c>
      <c r="F222" s="3">
        <v>11545</v>
      </c>
      <c r="G222" s="3" t="s">
        <v>20</v>
      </c>
      <c r="H222" s="3" t="s">
        <v>21</v>
      </c>
      <c r="I222" s="3">
        <v>0</v>
      </c>
      <c r="J222" s="3">
        <v>0</v>
      </c>
      <c r="K222" s="3">
        <v>0</v>
      </c>
      <c r="L222" s="3">
        <v>168300</v>
      </c>
      <c r="M222" s="3">
        <v>0</v>
      </c>
      <c r="N222" s="3">
        <v>0</v>
      </c>
    </row>
    <row r="223" spans="1:14" ht="14.4">
      <c r="A223" s="3">
        <v>13365</v>
      </c>
      <c r="B223" s="3">
        <v>13366</v>
      </c>
      <c r="C223" s="3">
        <v>4085</v>
      </c>
      <c r="D223" s="3" t="s">
        <v>18</v>
      </c>
      <c r="E223" s="3" t="s">
        <v>148</v>
      </c>
      <c r="F223" s="3">
        <v>10960</v>
      </c>
      <c r="G223" s="3" t="s">
        <v>85</v>
      </c>
      <c r="H223" s="3" t="s">
        <v>21</v>
      </c>
      <c r="I223" s="3">
        <v>195138</v>
      </c>
      <c r="J223" s="3">
        <v>195138</v>
      </c>
      <c r="K223" s="3">
        <v>0</v>
      </c>
      <c r="L223" s="3">
        <v>0</v>
      </c>
      <c r="M223" s="3">
        <v>0</v>
      </c>
      <c r="N223" s="3">
        <v>0</v>
      </c>
    </row>
    <row r="224" spans="1:14" ht="14.4">
      <c r="A224" s="3">
        <v>13365</v>
      </c>
      <c r="B224" s="3">
        <v>13366</v>
      </c>
      <c r="C224" s="3">
        <v>4085</v>
      </c>
      <c r="D224" s="3" t="s">
        <v>18</v>
      </c>
      <c r="E224" s="3" t="s">
        <v>149</v>
      </c>
      <c r="F224" s="3">
        <v>10960</v>
      </c>
      <c r="G224" s="3" t="s">
        <v>85</v>
      </c>
      <c r="H224" s="3" t="s">
        <v>21</v>
      </c>
      <c r="I224" s="3">
        <v>69545</v>
      </c>
      <c r="J224" s="3">
        <v>0</v>
      </c>
      <c r="K224" s="3">
        <v>69545</v>
      </c>
      <c r="L224" s="3">
        <v>69600</v>
      </c>
      <c r="M224" s="3">
        <v>0</v>
      </c>
      <c r="N224" s="3">
        <v>69600</v>
      </c>
    </row>
    <row r="225" spans="1:14" ht="14.4">
      <c r="A225" s="3">
        <v>13365</v>
      </c>
      <c r="B225" s="3">
        <v>13366</v>
      </c>
      <c r="C225" s="3">
        <v>4085</v>
      </c>
      <c r="D225" s="3" t="s">
        <v>18</v>
      </c>
      <c r="E225" s="3" t="s">
        <v>150</v>
      </c>
      <c r="F225" s="3">
        <v>11021</v>
      </c>
      <c r="G225" s="3" t="s">
        <v>20</v>
      </c>
      <c r="H225" s="3" t="s">
        <v>21</v>
      </c>
      <c r="I225" s="3">
        <v>11556</v>
      </c>
      <c r="J225" s="3">
        <v>232</v>
      </c>
      <c r="K225" s="3">
        <v>11324</v>
      </c>
      <c r="L225" s="3">
        <v>281400</v>
      </c>
      <c r="M225" s="3">
        <v>0</v>
      </c>
      <c r="N225" s="3">
        <v>0</v>
      </c>
    </row>
    <row r="226" spans="1:14" ht="14.4">
      <c r="A226" s="3">
        <v>13365</v>
      </c>
      <c r="B226" s="3">
        <v>13366</v>
      </c>
      <c r="C226" s="3">
        <v>4085</v>
      </c>
      <c r="D226" s="3" t="s">
        <v>18</v>
      </c>
      <c r="E226" s="3" t="s">
        <v>151</v>
      </c>
      <c r="F226" s="3">
        <v>11944</v>
      </c>
      <c r="G226" s="3" t="s">
        <v>23</v>
      </c>
      <c r="H226" s="3" t="s">
        <v>21</v>
      </c>
      <c r="I226" s="3">
        <v>2688073</v>
      </c>
      <c r="J226" s="3">
        <v>2470894</v>
      </c>
      <c r="K226" s="3">
        <v>217179</v>
      </c>
      <c r="L226" s="3">
        <v>1837200</v>
      </c>
      <c r="M226" s="3">
        <v>1749200</v>
      </c>
      <c r="N226" s="3">
        <v>88000</v>
      </c>
    </row>
    <row r="227" spans="1:14" ht="14.4">
      <c r="A227" s="3">
        <v>13365</v>
      </c>
      <c r="B227" s="3">
        <v>13366</v>
      </c>
      <c r="C227" s="3">
        <v>4085</v>
      </c>
      <c r="D227" s="3" t="s">
        <v>18</v>
      </c>
      <c r="E227" s="3" t="s">
        <v>152</v>
      </c>
      <c r="F227" s="3">
        <v>11548</v>
      </c>
      <c r="G227" s="3" t="s">
        <v>20</v>
      </c>
      <c r="H227" s="3" t="s">
        <v>21</v>
      </c>
      <c r="I227" s="3">
        <v>27007</v>
      </c>
      <c r="J227" s="3">
        <v>0</v>
      </c>
      <c r="K227" s="3">
        <v>27007</v>
      </c>
      <c r="L227" s="3">
        <v>0</v>
      </c>
      <c r="M227" s="3">
        <v>0</v>
      </c>
      <c r="N227" s="3">
        <v>0</v>
      </c>
    </row>
    <row r="228" spans="1:14" ht="14.4">
      <c r="A228" s="3">
        <v>13365</v>
      </c>
      <c r="B228" s="3">
        <v>13366</v>
      </c>
      <c r="C228" s="3">
        <v>4085</v>
      </c>
      <c r="D228" s="3" t="s">
        <v>18</v>
      </c>
      <c r="E228" s="3" t="s">
        <v>153</v>
      </c>
      <c r="F228" s="3">
        <v>7601</v>
      </c>
      <c r="G228" s="3" t="s">
        <v>76</v>
      </c>
      <c r="H228" s="3" t="s">
        <v>38</v>
      </c>
      <c r="I228" s="3">
        <v>0</v>
      </c>
      <c r="J228" s="3">
        <v>0</v>
      </c>
      <c r="K228" s="3">
        <v>0</v>
      </c>
      <c r="L228" s="3">
        <v>20000</v>
      </c>
      <c r="M228" s="3">
        <v>0</v>
      </c>
      <c r="N228" s="3">
        <v>0</v>
      </c>
    </row>
    <row r="229" spans="1:14" ht="14.4">
      <c r="A229" s="3">
        <v>13365</v>
      </c>
      <c r="B229" s="3">
        <v>13366</v>
      </c>
      <c r="C229" s="3">
        <v>4085</v>
      </c>
      <c r="D229" s="3" t="s">
        <v>18</v>
      </c>
      <c r="E229" s="3" t="s">
        <v>154</v>
      </c>
      <c r="F229" s="3">
        <v>11946</v>
      </c>
      <c r="G229" s="3" t="s">
        <v>23</v>
      </c>
      <c r="H229" s="3" t="s">
        <v>21</v>
      </c>
      <c r="I229" s="3">
        <v>1451084</v>
      </c>
      <c r="J229" s="3">
        <v>1074101</v>
      </c>
      <c r="K229" s="3">
        <v>376983</v>
      </c>
      <c r="L229" s="3">
        <v>326400</v>
      </c>
      <c r="M229" s="3">
        <v>167100</v>
      </c>
      <c r="N229" s="3">
        <v>30800</v>
      </c>
    </row>
    <row r="230" spans="1:14" ht="14.4">
      <c r="A230" s="3">
        <v>13365</v>
      </c>
      <c r="B230" s="3">
        <v>13366</v>
      </c>
      <c r="C230" s="3">
        <v>4085</v>
      </c>
      <c r="D230" s="3" t="s">
        <v>18</v>
      </c>
      <c r="E230" s="3" t="s">
        <v>155</v>
      </c>
      <c r="F230" s="3">
        <v>10528</v>
      </c>
      <c r="G230" s="3" t="s">
        <v>64</v>
      </c>
      <c r="H230" s="3" t="s">
        <v>21</v>
      </c>
      <c r="I230" s="3">
        <v>5932</v>
      </c>
      <c r="J230" s="3">
        <v>4832</v>
      </c>
      <c r="K230" s="3">
        <v>1100</v>
      </c>
      <c r="L230" s="3">
        <v>0</v>
      </c>
      <c r="M230" s="3">
        <v>0</v>
      </c>
      <c r="N230" s="3">
        <v>0</v>
      </c>
    </row>
    <row r="231" spans="1:14" ht="14.4">
      <c r="A231" s="3">
        <v>13365</v>
      </c>
      <c r="B231" s="3">
        <v>13366</v>
      </c>
      <c r="C231" s="3">
        <v>4085</v>
      </c>
      <c r="D231" s="3" t="s">
        <v>18</v>
      </c>
      <c r="E231" s="3" t="s">
        <v>156</v>
      </c>
      <c r="F231" s="3">
        <v>10706</v>
      </c>
      <c r="G231" s="3" t="s">
        <v>64</v>
      </c>
      <c r="H231" s="3" t="s">
        <v>21</v>
      </c>
      <c r="I231" s="3">
        <v>3000</v>
      </c>
      <c r="J231" s="3">
        <v>0</v>
      </c>
      <c r="K231" s="3">
        <v>3000</v>
      </c>
      <c r="L231" s="3">
        <v>0</v>
      </c>
      <c r="M231" s="3">
        <v>0</v>
      </c>
      <c r="N231" s="3">
        <v>0</v>
      </c>
    </row>
    <row r="232" spans="1:14" ht="14.4">
      <c r="A232" s="3">
        <v>13365</v>
      </c>
      <c r="B232" s="3">
        <v>13366</v>
      </c>
      <c r="C232" s="3">
        <v>4085</v>
      </c>
      <c r="D232" s="3" t="s">
        <v>18</v>
      </c>
      <c r="E232" s="3" t="s">
        <v>157</v>
      </c>
      <c r="F232" s="3">
        <v>11788</v>
      </c>
      <c r="G232" s="3" t="s">
        <v>23</v>
      </c>
      <c r="H232" s="3" t="s">
        <v>21</v>
      </c>
      <c r="I232" s="3">
        <v>2142102</v>
      </c>
      <c r="J232" s="3">
        <v>26115</v>
      </c>
      <c r="K232" s="3">
        <v>2115987</v>
      </c>
      <c r="L232" s="3">
        <v>238700</v>
      </c>
      <c r="M232" s="3">
        <v>3500</v>
      </c>
      <c r="N232" s="3">
        <v>131500</v>
      </c>
    </row>
    <row r="233" spans="1:14" ht="14.4">
      <c r="A233" s="3">
        <v>13365</v>
      </c>
      <c r="B233" s="3">
        <v>13366</v>
      </c>
      <c r="C233" s="3">
        <v>4085</v>
      </c>
      <c r="D233" s="3" t="s">
        <v>18</v>
      </c>
      <c r="E233" s="3" t="s">
        <v>158</v>
      </c>
      <c r="F233" s="3">
        <v>10927</v>
      </c>
      <c r="G233" s="3" t="s">
        <v>85</v>
      </c>
      <c r="H233" s="3" t="s">
        <v>21</v>
      </c>
      <c r="I233" s="3">
        <v>3000</v>
      </c>
      <c r="J233" s="3">
        <v>0</v>
      </c>
      <c r="K233" s="3">
        <v>3000</v>
      </c>
      <c r="L233" s="3">
        <v>0</v>
      </c>
      <c r="M233" s="3">
        <v>0</v>
      </c>
      <c r="N233" s="3">
        <v>0</v>
      </c>
    </row>
    <row r="234" spans="1:14" ht="14.4">
      <c r="A234" s="3">
        <v>13365</v>
      </c>
      <c r="B234" s="3">
        <v>13366</v>
      </c>
      <c r="C234" s="3">
        <v>4085</v>
      </c>
      <c r="D234" s="3" t="s">
        <v>18</v>
      </c>
      <c r="E234" s="3" t="s">
        <v>159</v>
      </c>
      <c r="F234" s="3">
        <v>11550</v>
      </c>
      <c r="G234" s="3" t="s">
        <v>20</v>
      </c>
      <c r="H234" s="3" t="s">
        <v>21</v>
      </c>
      <c r="I234" s="3">
        <v>508544</v>
      </c>
      <c r="J234" s="3">
        <v>315067</v>
      </c>
      <c r="K234" s="3">
        <v>193477</v>
      </c>
      <c r="L234" s="3">
        <v>226700</v>
      </c>
      <c r="M234" s="3">
        <v>172500</v>
      </c>
      <c r="N234" s="3">
        <v>1800</v>
      </c>
    </row>
    <row r="235" spans="1:14" ht="14.4">
      <c r="A235" s="3">
        <v>13365</v>
      </c>
      <c r="B235" s="3">
        <v>13366</v>
      </c>
      <c r="C235" s="3">
        <v>4085</v>
      </c>
      <c r="D235" s="3" t="s">
        <v>18</v>
      </c>
      <c r="E235" s="3" t="s">
        <v>160</v>
      </c>
      <c r="F235" s="3">
        <v>11557</v>
      </c>
      <c r="G235" s="3" t="s">
        <v>20</v>
      </c>
      <c r="H235" s="3" t="s">
        <v>21</v>
      </c>
      <c r="I235" s="3">
        <v>384799</v>
      </c>
      <c r="J235" s="3">
        <v>157558</v>
      </c>
      <c r="K235" s="3">
        <v>227241</v>
      </c>
      <c r="L235" s="3">
        <v>64200</v>
      </c>
      <c r="M235" s="3">
        <v>0</v>
      </c>
      <c r="N235" s="3">
        <v>59700</v>
      </c>
    </row>
    <row r="236" spans="1:14" ht="14.4">
      <c r="A236" s="3">
        <v>13365</v>
      </c>
      <c r="B236" s="3">
        <v>13366</v>
      </c>
      <c r="C236" s="3">
        <v>4085</v>
      </c>
      <c r="D236" s="3" t="s">
        <v>18</v>
      </c>
      <c r="E236" s="3" t="s">
        <v>161</v>
      </c>
      <c r="F236" s="3">
        <v>11756</v>
      </c>
      <c r="G236" s="3" t="s">
        <v>20</v>
      </c>
      <c r="H236" s="3" t="s">
        <v>21</v>
      </c>
      <c r="I236" s="3">
        <v>2700</v>
      </c>
      <c r="J236" s="3">
        <v>0</v>
      </c>
      <c r="K236" s="3">
        <v>2700</v>
      </c>
      <c r="L236" s="3">
        <v>0</v>
      </c>
      <c r="M236" s="3">
        <v>0</v>
      </c>
      <c r="N236" s="3">
        <v>0</v>
      </c>
    </row>
    <row r="237" spans="1:14" ht="14.4">
      <c r="A237" s="3">
        <v>13365</v>
      </c>
      <c r="B237" s="3">
        <v>13366</v>
      </c>
      <c r="C237" s="3">
        <v>4085</v>
      </c>
      <c r="D237" s="3" t="s">
        <v>18</v>
      </c>
      <c r="E237" s="3" t="s">
        <v>161</v>
      </c>
      <c r="F237" s="3">
        <v>11801</v>
      </c>
      <c r="G237" s="3" t="s">
        <v>20</v>
      </c>
      <c r="H237" s="3" t="s">
        <v>21</v>
      </c>
      <c r="I237" s="3">
        <v>30445</v>
      </c>
      <c r="J237" s="3">
        <v>0</v>
      </c>
      <c r="K237" s="3">
        <v>30445</v>
      </c>
      <c r="L237" s="3">
        <v>652600</v>
      </c>
      <c r="M237" s="3">
        <v>0</v>
      </c>
      <c r="N237" s="3">
        <v>2500</v>
      </c>
    </row>
    <row r="238" spans="1:14" ht="14.4">
      <c r="A238" s="3">
        <v>13365</v>
      </c>
      <c r="B238" s="3">
        <v>13366</v>
      </c>
      <c r="C238" s="3">
        <v>4085</v>
      </c>
      <c r="D238" s="3" t="s">
        <v>18</v>
      </c>
      <c r="E238" s="3" t="s">
        <v>162</v>
      </c>
      <c r="F238" s="3">
        <v>7030</v>
      </c>
      <c r="G238" s="3" t="s">
        <v>37</v>
      </c>
      <c r="H238" s="3" t="s">
        <v>38</v>
      </c>
      <c r="I238" s="3">
        <v>7250</v>
      </c>
      <c r="J238" s="3">
        <v>7250</v>
      </c>
      <c r="K238" s="3">
        <v>0</v>
      </c>
      <c r="L238" s="3">
        <v>43100</v>
      </c>
      <c r="M238" s="3">
        <v>0</v>
      </c>
      <c r="N238" s="3">
        <v>0</v>
      </c>
    </row>
    <row r="239" spans="1:14" ht="14.4">
      <c r="A239" s="3">
        <v>13365</v>
      </c>
      <c r="B239" s="3">
        <v>13366</v>
      </c>
      <c r="C239" s="3">
        <v>4085</v>
      </c>
      <c r="D239" s="3" t="s">
        <v>18</v>
      </c>
      <c r="E239" s="3" t="s">
        <v>163</v>
      </c>
      <c r="F239" s="3">
        <v>11741</v>
      </c>
      <c r="G239" s="3" t="s">
        <v>23</v>
      </c>
      <c r="H239" s="3" t="s">
        <v>21</v>
      </c>
      <c r="I239" s="3">
        <v>66005</v>
      </c>
      <c r="J239" s="3">
        <v>59743</v>
      </c>
      <c r="K239" s="3">
        <v>6262</v>
      </c>
      <c r="L239" s="3">
        <v>25000</v>
      </c>
      <c r="M239" s="3">
        <v>0</v>
      </c>
      <c r="N239" s="3">
        <v>0</v>
      </c>
    </row>
    <row r="240" spans="1:14" ht="14.4">
      <c r="A240" s="3">
        <v>13365</v>
      </c>
      <c r="B240" s="3">
        <v>13366</v>
      </c>
      <c r="C240" s="3">
        <v>4085</v>
      </c>
      <c r="D240" s="3" t="s">
        <v>18</v>
      </c>
      <c r="E240" s="3" t="s">
        <v>164</v>
      </c>
      <c r="F240" s="3">
        <v>11423</v>
      </c>
      <c r="G240" s="3" t="s">
        <v>28</v>
      </c>
      <c r="H240" s="3" t="s">
        <v>21</v>
      </c>
      <c r="I240" s="3">
        <v>64702</v>
      </c>
      <c r="J240" s="3">
        <v>0</v>
      </c>
      <c r="K240" s="3">
        <v>64702</v>
      </c>
      <c r="L240" s="3">
        <v>0</v>
      </c>
      <c r="M240" s="3">
        <v>0</v>
      </c>
      <c r="N240" s="3">
        <v>0</v>
      </c>
    </row>
    <row r="241" spans="1:14" ht="14.4">
      <c r="A241" s="3">
        <v>13365</v>
      </c>
      <c r="B241" s="3">
        <v>13366</v>
      </c>
      <c r="C241" s="3">
        <v>4085</v>
      </c>
      <c r="D241" s="3" t="s">
        <v>18</v>
      </c>
      <c r="E241" s="3" t="s">
        <v>165</v>
      </c>
      <c r="F241" s="3">
        <v>11742</v>
      </c>
      <c r="G241" s="3" t="s">
        <v>23</v>
      </c>
      <c r="H241" s="3" t="s">
        <v>21</v>
      </c>
      <c r="I241" s="3">
        <v>0</v>
      </c>
      <c r="J241" s="3">
        <v>0</v>
      </c>
      <c r="K241" s="3">
        <v>0</v>
      </c>
      <c r="L241" s="3">
        <v>62500</v>
      </c>
      <c r="M241" s="3">
        <v>0</v>
      </c>
      <c r="N241" s="3">
        <v>0</v>
      </c>
    </row>
    <row r="242" spans="1:14" ht="14.4">
      <c r="A242" s="3">
        <v>13365</v>
      </c>
      <c r="B242" s="3">
        <v>13366</v>
      </c>
      <c r="C242" s="3">
        <v>4085</v>
      </c>
      <c r="D242" s="3" t="s">
        <v>18</v>
      </c>
      <c r="E242" s="3" t="s">
        <v>166</v>
      </c>
      <c r="F242" s="3">
        <v>11414</v>
      </c>
      <c r="G242" s="3" t="s">
        <v>20</v>
      </c>
      <c r="H242" s="3" t="s">
        <v>21</v>
      </c>
      <c r="I242" s="3">
        <v>2550</v>
      </c>
      <c r="J242" s="3">
        <v>0</v>
      </c>
      <c r="K242" s="3">
        <v>2550</v>
      </c>
      <c r="L242" s="3">
        <v>0</v>
      </c>
      <c r="M242" s="3">
        <v>0</v>
      </c>
      <c r="N242" s="3">
        <v>0</v>
      </c>
    </row>
    <row r="243" spans="1:14" ht="14.4">
      <c r="A243" s="3">
        <v>13365</v>
      </c>
      <c r="B243" s="3">
        <v>13366</v>
      </c>
      <c r="C243" s="3">
        <v>4085</v>
      </c>
      <c r="D243" s="3" t="s">
        <v>18</v>
      </c>
      <c r="E243" s="3" t="s">
        <v>166</v>
      </c>
      <c r="F243" s="3">
        <v>11209</v>
      </c>
      <c r="G243" s="3" t="s">
        <v>28</v>
      </c>
      <c r="H243" s="3" t="s">
        <v>21</v>
      </c>
      <c r="I243" s="3">
        <v>1700</v>
      </c>
      <c r="J243" s="3">
        <v>0</v>
      </c>
      <c r="K243" s="3">
        <v>1700</v>
      </c>
      <c r="L243" s="3">
        <v>0</v>
      </c>
      <c r="M243" s="3">
        <v>0</v>
      </c>
      <c r="N243" s="3">
        <v>0</v>
      </c>
    </row>
    <row r="244" spans="1:14" ht="14.4">
      <c r="A244" s="3">
        <v>13365</v>
      </c>
      <c r="B244" s="3">
        <v>13366</v>
      </c>
      <c r="C244" s="3">
        <v>4085</v>
      </c>
      <c r="D244" s="3" t="s">
        <v>18</v>
      </c>
      <c r="E244" s="3" t="s">
        <v>166</v>
      </c>
      <c r="F244" s="3">
        <v>11414</v>
      </c>
      <c r="G244" s="3" t="s">
        <v>28</v>
      </c>
      <c r="H244" s="3" t="s">
        <v>21</v>
      </c>
      <c r="I244" s="3">
        <v>19429142</v>
      </c>
      <c r="J244" s="3">
        <v>12249050</v>
      </c>
      <c r="K244" s="3">
        <v>7180092</v>
      </c>
      <c r="L244" s="3">
        <v>7761500</v>
      </c>
      <c r="M244" s="3">
        <v>5050500</v>
      </c>
      <c r="N244" s="3">
        <v>1594500</v>
      </c>
    </row>
    <row r="245" spans="1:14" ht="14.4">
      <c r="A245" s="3">
        <v>13365</v>
      </c>
      <c r="B245" s="3">
        <v>13366</v>
      </c>
      <c r="C245" s="3">
        <v>4085</v>
      </c>
      <c r="D245" s="3" t="s">
        <v>18</v>
      </c>
      <c r="E245" s="3" t="s">
        <v>167</v>
      </c>
      <c r="F245" s="3">
        <v>11746</v>
      </c>
      <c r="G245" s="3" t="s">
        <v>23</v>
      </c>
      <c r="H245" s="3" t="s">
        <v>21</v>
      </c>
      <c r="I245" s="3">
        <v>26704</v>
      </c>
      <c r="J245" s="3">
        <v>25954</v>
      </c>
      <c r="K245" s="3">
        <v>750</v>
      </c>
      <c r="L245" s="3">
        <v>0</v>
      </c>
      <c r="M245" s="3">
        <v>0</v>
      </c>
      <c r="N245" s="3">
        <v>0</v>
      </c>
    </row>
    <row r="246" spans="1:14" ht="14.4">
      <c r="A246" s="3">
        <v>13365</v>
      </c>
      <c r="B246" s="3">
        <v>13366</v>
      </c>
      <c r="C246" s="3">
        <v>4085</v>
      </c>
      <c r="D246" s="3" t="s">
        <v>18</v>
      </c>
      <c r="E246" s="3" t="s">
        <v>168</v>
      </c>
      <c r="F246" s="3">
        <v>11743</v>
      </c>
      <c r="G246" s="3" t="s">
        <v>23</v>
      </c>
      <c r="H246" s="3" t="s">
        <v>21</v>
      </c>
      <c r="I246" s="3">
        <v>140257</v>
      </c>
      <c r="J246" s="3">
        <v>135022</v>
      </c>
      <c r="K246" s="3">
        <v>5235</v>
      </c>
      <c r="L246" s="3">
        <v>33100</v>
      </c>
      <c r="M246" s="3">
        <v>28100</v>
      </c>
      <c r="N246" s="3">
        <v>0</v>
      </c>
    </row>
    <row r="247" spans="1:14" ht="14.4">
      <c r="A247" s="3">
        <v>13365</v>
      </c>
      <c r="B247" s="3">
        <v>13366</v>
      </c>
      <c r="C247" s="3">
        <v>4085</v>
      </c>
      <c r="D247" s="3" t="s">
        <v>18</v>
      </c>
      <c r="E247" s="3" t="s">
        <v>169</v>
      </c>
      <c r="F247" s="3">
        <v>11746</v>
      </c>
      <c r="G247" s="3" t="s">
        <v>23</v>
      </c>
      <c r="H247" s="3" t="s">
        <v>21</v>
      </c>
      <c r="I247" s="3">
        <v>103115</v>
      </c>
      <c r="J247" s="3">
        <v>47200</v>
      </c>
      <c r="K247" s="3">
        <v>55915</v>
      </c>
      <c r="L247" s="3">
        <v>93400</v>
      </c>
      <c r="M247" s="3">
        <v>0</v>
      </c>
      <c r="N247" s="3">
        <v>800</v>
      </c>
    </row>
    <row r="248" spans="1:14" ht="14.4">
      <c r="A248" s="3">
        <v>13365</v>
      </c>
      <c r="B248" s="3">
        <v>13366</v>
      </c>
      <c r="C248" s="3">
        <v>4085</v>
      </c>
      <c r="D248" s="3" t="s">
        <v>18</v>
      </c>
      <c r="E248" s="3" t="s">
        <v>170</v>
      </c>
      <c r="F248" s="3">
        <v>11096</v>
      </c>
      <c r="G248" s="3" t="s">
        <v>20</v>
      </c>
      <c r="H248" s="3" t="s">
        <v>21</v>
      </c>
      <c r="I248" s="3">
        <v>5116839</v>
      </c>
      <c r="J248" s="3">
        <v>1762097</v>
      </c>
      <c r="K248" s="3">
        <v>3354742</v>
      </c>
      <c r="L248" s="3">
        <v>1889400</v>
      </c>
      <c r="M248" s="3">
        <v>397500</v>
      </c>
      <c r="N248" s="3">
        <v>853100</v>
      </c>
    </row>
    <row r="249" spans="1:14" ht="14.4">
      <c r="A249" s="3">
        <v>13365</v>
      </c>
      <c r="B249" s="3">
        <v>13366</v>
      </c>
      <c r="C249" s="3">
        <v>4085</v>
      </c>
      <c r="D249" s="3" t="s">
        <v>18</v>
      </c>
      <c r="E249" s="3" t="s">
        <v>170</v>
      </c>
      <c r="F249" s="3">
        <v>11598</v>
      </c>
      <c r="G249" s="3" t="s">
        <v>20</v>
      </c>
      <c r="H249" s="3" t="s">
        <v>21</v>
      </c>
      <c r="I249" s="3">
        <v>348554</v>
      </c>
      <c r="J249" s="3">
        <v>329354</v>
      </c>
      <c r="K249" s="3">
        <v>19200</v>
      </c>
      <c r="L249" s="3">
        <v>256100</v>
      </c>
      <c r="M249" s="3">
        <v>227400</v>
      </c>
      <c r="N249" s="3">
        <v>19200</v>
      </c>
    </row>
    <row r="250" spans="1:14" ht="14.4">
      <c r="A250" s="3">
        <v>13365</v>
      </c>
      <c r="B250" s="3">
        <v>13366</v>
      </c>
      <c r="C250" s="3">
        <v>4085</v>
      </c>
      <c r="D250" s="3" t="s">
        <v>18</v>
      </c>
      <c r="E250" s="3" t="s">
        <v>170</v>
      </c>
      <c r="F250" s="3">
        <v>11932</v>
      </c>
      <c r="G250" s="3" t="s">
        <v>23</v>
      </c>
      <c r="H250" s="3" t="s">
        <v>21</v>
      </c>
      <c r="I250" s="3">
        <v>39762</v>
      </c>
      <c r="J250" s="3">
        <v>0</v>
      </c>
      <c r="K250" s="3">
        <v>39762</v>
      </c>
      <c r="L250" s="3">
        <v>0</v>
      </c>
      <c r="M250" s="3">
        <v>0</v>
      </c>
      <c r="N250" s="3">
        <v>0</v>
      </c>
    </row>
    <row r="251" spans="1:14" ht="14.4">
      <c r="A251" s="3">
        <v>13365</v>
      </c>
      <c r="B251" s="3">
        <v>13366</v>
      </c>
      <c r="C251" s="3">
        <v>4085</v>
      </c>
      <c r="D251" s="3" t="s">
        <v>18</v>
      </c>
      <c r="E251" s="3" t="s">
        <v>171</v>
      </c>
      <c r="F251" s="3">
        <v>10533</v>
      </c>
      <c r="G251" s="3" t="s">
        <v>64</v>
      </c>
      <c r="H251" s="3" t="s">
        <v>21</v>
      </c>
      <c r="I251" s="3">
        <v>616642</v>
      </c>
      <c r="J251" s="3">
        <v>149569</v>
      </c>
      <c r="K251" s="3">
        <v>467073</v>
      </c>
      <c r="L251" s="3">
        <v>609800</v>
      </c>
      <c r="M251" s="3">
        <v>121400</v>
      </c>
      <c r="N251" s="3">
        <v>155000</v>
      </c>
    </row>
    <row r="252" spans="1:14" ht="14.4">
      <c r="A252" s="3">
        <v>13365</v>
      </c>
      <c r="B252" s="3">
        <v>13366</v>
      </c>
      <c r="C252" s="3">
        <v>4085</v>
      </c>
      <c r="D252" s="3" t="s">
        <v>18</v>
      </c>
      <c r="E252" s="3" t="s">
        <v>172</v>
      </c>
      <c r="F252" s="3">
        <v>11558</v>
      </c>
      <c r="G252" s="3" t="s">
        <v>20</v>
      </c>
      <c r="H252" s="3" t="s">
        <v>21</v>
      </c>
      <c r="I252" s="3">
        <v>418712</v>
      </c>
      <c r="J252" s="3">
        <v>413712</v>
      </c>
      <c r="K252" s="3">
        <v>5000</v>
      </c>
      <c r="L252" s="3">
        <v>0</v>
      </c>
      <c r="M252" s="3">
        <v>0</v>
      </c>
      <c r="N252" s="3">
        <v>0</v>
      </c>
    </row>
    <row r="253" spans="1:14" ht="14.4">
      <c r="A253" s="3">
        <v>13365</v>
      </c>
      <c r="B253" s="3">
        <v>13366</v>
      </c>
      <c r="C253" s="3">
        <v>4085</v>
      </c>
      <c r="D253" s="3" t="s">
        <v>18</v>
      </c>
      <c r="E253" s="3" t="s">
        <v>173</v>
      </c>
      <c r="F253" s="3">
        <v>11520</v>
      </c>
      <c r="G253" s="3" t="s">
        <v>20</v>
      </c>
      <c r="H253" s="3" t="s">
        <v>21</v>
      </c>
      <c r="I253" s="3">
        <v>70054</v>
      </c>
      <c r="J253" s="3">
        <v>0</v>
      </c>
      <c r="K253" s="3">
        <v>70054</v>
      </c>
      <c r="L253" s="3">
        <v>0</v>
      </c>
      <c r="M253" s="3">
        <v>0</v>
      </c>
      <c r="N253" s="3">
        <v>0</v>
      </c>
    </row>
    <row r="254" spans="1:14" ht="14.4">
      <c r="A254" s="3">
        <v>13365</v>
      </c>
      <c r="B254" s="3">
        <v>13366</v>
      </c>
      <c r="C254" s="3">
        <v>4085</v>
      </c>
      <c r="D254" s="3" t="s">
        <v>18</v>
      </c>
      <c r="E254" s="3" t="s">
        <v>173</v>
      </c>
      <c r="F254" s="3">
        <v>11558</v>
      </c>
      <c r="G254" s="3" t="s">
        <v>20</v>
      </c>
      <c r="H254" s="3" t="s">
        <v>21</v>
      </c>
      <c r="I254" s="3">
        <v>16957216</v>
      </c>
      <c r="J254" s="3">
        <v>11925250</v>
      </c>
      <c r="K254" s="3">
        <v>5031966</v>
      </c>
      <c r="L254" s="3">
        <v>6094400</v>
      </c>
      <c r="M254" s="3">
        <v>4348500</v>
      </c>
      <c r="N254" s="3">
        <v>1435000</v>
      </c>
    </row>
    <row r="255" spans="1:14" ht="14.4">
      <c r="A255" s="3">
        <v>13365</v>
      </c>
      <c r="B255" s="3">
        <v>13366</v>
      </c>
      <c r="C255" s="3">
        <v>4085</v>
      </c>
      <c r="D255" s="3" t="s">
        <v>18</v>
      </c>
      <c r="E255" s="3" t="s">
        <v>173</v>
      </c>
      <c r="F255" s="3">
        <v>11561</v>
      </c>
      <c r="G255" s="3" t="s">
        <v>20</v>
      </c>
      <c r="H255" s="3" t="s">
        <v>21</v>
      </c>
      <c r="I255" s="3">
        <v>64758</v>
      </c>
      <c r="J255" s="3">
        <v>64758</v>
      </c>
      <c r="K255" s="3">
        <v>0</v>
      </c>
      <c r="L255" s="3">
        <v>5400</v>
      </c>
      <c r="M255" s="3">
        <v>5400</v>
      </c>
      <c r="N255" s="3">
        <v>0</v>
      </c>
    </row>
    <row r="256" spans="1:14" ht="14.4">
      <c r="A256" s="3">
        <v>13365</v>
      </c>
      <c r="B256" s="3">
        <v>13366</v>
      </c>
      <c r="C256" s="3">
        <v>4085</v>
      </c>
      <c r="D256" s="3" t="s">
        <v>18</v>
      </c>
      <c r="E256" s="3" t="s">
        <v>173</v>
      </c>
      <c r="F256" s="3">
        <v>11572</v>
      </c>
      <c r="G256" s="3" t="s">
        <v>20</v>
      </c>
      <c r="H256" s="3" t="s">
        <v>21</v>
      </c>
      <c r="I256" s="3">
        <v>173200</v>
      </c>
      <c r="J256" s="3">
        <v>122475</v>
      </c>
      <c r="K256" s="3">
        <v>50725</v>
      </c>
      <c r="L256" s="3">
        <v>0</v>
      </c>
      <c r="M256" s="3">
        <v>0</v>
      </c>
      <c r="N256" s="3">
        <v>0</v>
      </c>
    </row>
    <row r="257" spans="1:14" ht="14.4">
      <c r="A257" s="3">
        <v>13365</v>
      </c>
      <c r="B257" s="3">
        <v>13366</v>
      </c>
      <c r="C257" s="3">
        <v>4085</v>
      </c>
      <c r="D257" s="3" t="s">
        <v>18</v>
      </c>
      <c r="E257" s="3" t="s">
        <v>174</v>
      </c>
      <c r="F257" s="3">
        <v>11749</v>
      </c>
      <c r="G257" s="3" t="s">
        <v>23</v>
      </c>
      <c r="H257" s="3" t="s">
        <v>21</v>
      </c>
      <c r="I257" s="3">
        <v>235452</v>
      </c>
      <c r="J257" s="3">
        <v>145212</v>
      </c>
      <c r="K257" s="3">
        <v>90240</v>
      </c>
      <c r="L257" s="3">
        <v>446300</v>
      </c>
      <c r="M257" s="3">
        <v>0</v>
      </c>
      <c r="N257" s="3">
        <v>90300</v>
      </c>
    </row>
    <row r="258" spans="1:14" ht="14.4">
      <c r="A258" s="3">
        <v>13365</v>
      </c>
      <c r="B258" s="3">
        <v>13366</v>
      </c>
      <c r="C258" s="3">
        <v>4085</v>
      </c>
      <c r="D258" s="3" t="s">
        <v>18</v>
      </c>
      <c r="E258" s="3" t="s">
        <v>175</v>
      </c>
      <c r="F258" s="3">
        <v>11722</v>
      </c>
      <c r="G258" s="3" t="s">
        <v>23</v>
      </c>
      <c r="H258" s="3" t="s">
        <v>21</v>
      </c>
      <c r="I258" s="3">
        <v>4900</v>
      </c>
      <c r="J258" s="3">
        <v>0</v>
      </c>
      <c r="K258" s="3">
        <v>4900</v>
      </c>
      <c r="L258" s="3">
        <v>0</v>
      </c>
      <c r="M258" s="3">
        <v>0</v>
      </c>
      <c r="N258" s="3">
        <v>0</v>
      </c>
    </row>
    <row r="259" spans="1:14" ht="14.4">
      <c r="A259" s="3">
        <v>13365</v>
      </c>
      <c r="B259" s="3">
        <v>13366</v>
      </c>
      <c r="C259" s="3">
        <v>4085</v>
      </c>
      <c r="D259" s="3" t="s">
        <v>18</v>
      </c>
      <c r="E259" s="3" t="s">
        <v>176</v>
      </c>
      <c r="F259" s="3">
        <v>11377</v>
      </c>
      <c r="G259" s="3" t="s">
        <v>28</v>
      </c>
      <c r="H259" s="3" t="s">
        <v>21</v>
      </c>
      <c r="I259" s="3">
        <v>5212</v>
      </c>
      <c r="J259" s="3">
        <v>0</v>
      </c>
      <c r="K259" s="3">
        <v>5212</v>
      </c>
      <c r="L259" s="3">
        <v>0</v>
      </c>
      <c r="M259" s="3">
        <v>0</v>
      </c>
      <c r="N259" s="3">
        <v>0</v>
      </c>
    </row>
    <row r="260" spans="1:14" ht="14.4">
      <c r="A260" s="3">
        <v>13365</v>
      </c>
      <c r="B260" s="3">
        <v>13366</v>
      </c>
      <c r="C260" s="3">
        <v>4085</v>
      </c>
      <c r="D260" s="3" t="s">
        <v>18</v>
      </c>
      <c r="E260" s="3" t="s">
        <v>177</v>
      </c>
      <c r="F260" s="3">
        <v>11372</v>
      </c>
      <c r="G260" s="3" t="s">
        <v>28</v>
      </c>
      <c r="H260" s="3" t="s">
        <v>21</v>
      </c>
      <c r="I260" s="3">
        <v>8239</v>
      </c>
      <c r="J260" s="3">
        <v>139</v>
      </c>
      <c r="K260" s="3">
        <v>8100</v>
      </c>
      <c r="L260" s="3">
        <v>0</v>
      </c>
      <c r="M260" s="3">
        <v>0</v>
      </c>
      <c r="N260" s="3">
        <v>0</v>
      </c>
    </row>
    <row r="261" spans="1:14" ht="14.4">
      <c r="A261" s="3">
        <v>13365</v>
      </c>
      <c r="B261" s="3">
        <v>13366</v>
      </c>
      <c r="C261" s="3">
        <v>4085</v>
      </c>
      <c r="D261" s="3" t="s">
        <v>18</v>
      </c>
      <c r="E261" s="3" t="s">
        <v>178</v>
      </c>
      <c r="F261" s="3">
        <v>11432</v>
      </c>
      <c r="G261" s="3" t="s">
        <v>28</v>
      </c>
      <c r="H261" s="3" t="s">
        <v>21</v>
      </c>
      <c r="I261" s="3">
        <v>1000</v>
      </c>
      <c r="J261" s="3">
        <v>0</v>
      </c>
      <c r="K261" s="3">
        <v>1000</v>
      </c>
      <c r="L261" s="3">
        <v>0</v>
      </c>
      <c r="M261" s="3">
        <v>0</v>
      </c>
      <c r="N261" s="3">
        <v>0</v>
      </c>
    </row>
    <row r="262" spans="1:14" ht="14.4">
      <c r="A262" s="3">
        <v>13365</v>
      </c>
      <c r="B262" s="3">
        <v>13366</v>
      </c>
      <c r="C262" s="3">
        <v>4085</v>
      </c>
      <c r="D262" s="3" t="s">
        <v>18</v>
      </c>
      <c r="E262" s="3" t="s">
        <v>179</v>
      </c>
      <c r="F262" s="3">
        <v>11432</v>
      </c>
      <c r="G262" s="3" t="s">
        <v>28</v>
      </c>
      <c r="H262" s="3" t="s">
        <v>21</v>
      </c>
      <c r="I262" s="3">
        <v>146043</v>
      </c>
      <c r="J262" s="3">
        <v>143043</v>
      </c>
      <c r="K262" s="3">
        <v>3000</v>
      </c>
      <c r="L262" s="3">
        <v>0</v>
      </c>
      <c r="M262" s="3">
        <v>0</v>
      </c>
      <c r="N262" s="3">
        <v>0</v>
      </c>
    </row>
    <row r="263" spans="1:14" ht="14.4">
      <c r="A263" s="3">
        <v>13365</v>
      </c>
      <c r="B263" s="3">
        <v>13366</v>
      </c>
      <c r="C263" s="3">
        <v>4085</v>
      </c>
      <c r="D263" s="3" t="s">
        <v>18</v>
      </c>
      <c r="E263" s="3" t="s">
        <v>180</v>
      </c>
      <c r="F263" s="3">
        <v>11422</v>
      </c>
      <c r="G263" s="3" t="s">
        <v>28</v>
      </c>
      <c r="H263" s="3" t="s">
        <v>21</v>
      </c>
      <c r="I263" s="3">
        <v>698784</v>
      </c>
      <c r="J263" s="3">
        <v>698784</v>
      </c>
      <c r="K263" s="3">
        <v>0</v>
      </c>
      <c r="L263" s="3">
        <v>0</v>
      </c>
      <c r="M263" s="3">
        <v>0</v>
      </c>
      <c r="N263" s="3">
        <v>0</v>
      </c>
    </row>
    <row r="264" spans="1:14" ht="14.4">
      <c r="A264" s="3">
        <v>13365</v>
      </c>
      <c r="B264" s="3">
        <v>13366</v>
      </c>
      <c r="C264" s="3">
        <v>4085</v>
      </c>
      <c r="D264" s="3" t="s">
        <v>18</v>
      </c>
      <c r="E264" s="3" t="s">
        <v>180</v>
      </c>
      <c r="F264" s="3">
        <v>11432</v>
      </c>
      <c r="G264" s="3" t="s">
        <v>28</v>
      </c>
      <c r="H264" s="3" t="s">
        <v>21</v>
      </c>
      <c r="I264" s="3">
        <v>138889</v>
      </c>
      <c r="J264" s="3">
        <v>117797</v>
      </c>
      <c r="K264" s="3">
        <v>21092</v>
      </c>
      <c r="L264" s="3">
        <v>48800</v>
      </c>
      <c r="M264" s="3">
        <v>0</v>
      </c>
      <c r="N264" s="3">
        <v>0</v>
      </c>
    </row>
    <row r="265" spans="1:14" ht="14.4">
      <c r="A265" s="3">
        <v>13365</v>
      </c>
      <c r="B265" s="3">
        <v>13366</v>
      </c>
      <c r="C265" s="3">
        <v>4085</v>
      </c>
      <c r="D265" s="3" t="s">
        <v>18</v>
      </c>
      <c r="E265" s="3" t="s">
        <v>180</v>
      </c>
      <c r="F265" s="3">
        <v>11433</v>
      </c>
      <c r="G265" s="3" t="s">
        <v>28</v>
      </c>
      <c r="H265" s="3" t="s">
        <v>21</v>
      </c>
      <c r="I265" s="3">
        <v>22772</v>
      </c>
      <c r="J265" s="3">
        <v>18647</v>
      </c>
      <c r="K265" s="3">
        <v>4125</v>
      </c>
      <c r="L265" s="3">
        <v>0</v>
      </c>
      <c r="M265" s="3">
        <v>0</v>
      </c>
      <c r="N265" s="3">
        <v>0</v>
      </c>
    </row>
    <row r="266" spans="1:14" ht="14.4">
      <c r="A266" s="3">
        <v>13365</v>
      </c>
      <c r="B266" s="3">
        <v>13366</v>
      </c>
      <c r="C266" s="3">
        <v>4085</v>
      </c>
      <c r="D266" s="3" t="s">
        <v>18</v>
      </c>
      <c r="E266" s="3" t="s">
        <v>180</v>
      </c>
      <c r="F266" s="3">
        <v>11434</v>
      </c>
      <c r="G266" s="3" t="s">
        <v>28</v>
      </c>
      <c r="H266" s="3" t="s">
        <v>21</v>
      </c>
      <c r="I266" s="3">
        <v>237487</v>
      </c>
      <c r="J266" s="3">
        <v>154318</v>
      </c>
      <c r="K266" s="3">
        <v>83169</v>
      </c>
      <c r="L266" s="3">
        <v>288400</v>
      </c>
      <c r="M266" s="3">
        <v>129100</v>
      </c>
      <c r="N266" s="3">
        <v>49000</v>
      </c>
    </row>
    <row r="267" spans="1:14" ht="14.4">
      <c r="A267" s="3">
        <v>13365</v>
      </c>
      <c r="B267" s="3">
        <v>13366</v>
      </c>
      <c r="C267" s="3">
        <v>4085</v>
      </c>
      <c r="D267" s="3" t="s">
        <v>18</v>
      </c>
      <c r="E267" s="3" t="s">
        <v>180</v>
      </c>
      <c r="F267" s="3">
        <v>11435</v>
      </c>
      <c r="G267" s="3" t="s">
        <v>28</v>
      </c>
      <c r="H267" s="3" t="s">
        <v>21</v>
      </c>
      <c r="I267" s="3">
        <v>250</v>
      </c>
      <c r="J267" s="3">
        <v>0</v>
      </c>
      <c r="K267" s="3">
        <v>250</v>
      </c>
      <c r="L267" s="3">
        <v>279200</v>
      </c>
      <c r="M267" s="3">
        <v>0</v>
      </c>
      <c r="N267" s="3">
        <v>0</v>
      </c>
    </row>
    <row r="268" spans="1:14" ht="14.4">
      <c r="A268" s="3">
        <v>13365</v>
      </c>
      <c r="B268" s="3">
        <v>13366</v>
      </c>
      <c r="C268" s="3">
        <v>4085</v>
      </c>
      <c r="D268" s="3" t="s">
        <v>18</v>
      </c>
      <c r="E268" s="3" t="s">
        <v>180</v>
      </c>
      <c r="F268" s="3">
        <v>11693</v>
      </c>
      <c r="G268" s="3" t="s">
        <v>28</v>
      </c>
      <c r="H268" s="3" t="s">
        <v>21</v>
      </c>
      <c r="I268" s="3">
        <v>73101</v>
      </c>
      <c r="J268" s="3">
        <v>71201</v>
      </c>
      <c r="K268" s="3">
        <v>1900</v>
      </c>
      <c r="L268" s="3">
        <v>68200</v>
      </c>
      <c r="M268" s="3">
        <v>66300</v>
      </c>
      <c r="N268" s="3">
        <v>1900</v>
      </c>
    </row>
    <row r="269" spans="1:14" ht="14.4">
      <c r="A269" s="3">
        <v>13365</v>
      </c>
      <c r="B269" s="3">
        <v>13366</v>
      </c>
      <c r="C269" s="3">
        <v>4085</v>
      </c>
      <c r="D269" s="3" t="s">
        <v>18</v>
      </c>
      <c r="E269" s="3" t="s">
        <v>181</v>
      </c>
      <c r="F269" s="3">
        <v>11947</v>
      </c>
      <c r="G269" s="3" t="s">
        <v>23</v>
      </c>
      <c r="H269" s="3" t="s">
        <v>21</v>
      </c>
      <c r="I269" s="3">
        <v>93908</v>
      </c>
      <c r="J269" s="3">
        <v>93908</v>
      </c>
      <c r="K269" s="3">
        <v>0</v>
      </c>
      <c r="L269" s="3">
        <v>94000</v>
      </c>
      <c r="M269" s="3">
        <v>94000</v>
      </c>
      <c r="N269" s="3">
        <v>0</v>
      </c>
    </row>
    <row r="270" spans="1:14" ht="14.4">
      <c r="A270" s="3">
        <v>13365</v>
      </c>
      <c r="B270" s="3">
        <v>13366</v>
      </c>
      <c r="C270" s="3">
        <v>4085</v>
      </c>
      <c r="D270" s="3" t="s">
        <v>18</v>
      </c>
      <c r="E270" s="3" t="s">
        <v>182</v>
      </c>
      <c r="F270" s="3">
        <v>11753</v>
      </c>
      <c r="G270" s="3" t="s">
        <v>20</v>
      </c>
      <c r="H270" s="3" t="s">
        <v>21</v>
      </c>
      <c r="I270" s="3">
        <v>355757</v>
      </c>
      <c r="J270" s="3">
        <v>338117</v>
      </c>
      <c r="K270" s="3">
        <v>17640</v>
      </c>
      <c r="L270" s="3">
        <v>33600</v>
      </c>
      <c r="M270" s="3">
        <v>0</v>
      </c>
      <c r="N270" s="3">
        <v>0</v>
      </c>
    </row>
    <row r="271" spans="1:14" ht="14.4">
      <c r="A271" s="3">
        <v>13365</v>
      </c>
      <c r="B271" s="3">
        <v>13366</v>
      </c>
      <c r="C271" s="3">
        <v>4085</v>
      </c>
      <c r="D271" s="3" t="s">
        <v>18</v>
      </c>
      <c r="E271" s="3" t="s">
        <v>183</v>
      </c>
      <c r="F271" s="3">
        <v>7032</v>
      </c>
      <c r="G271" s="3" t="s">
        <v>37</v>
      </c>
      <c r="H271" s="3" t="s">
        <v>38</v>
      </c>
      <c r="I271" s="3">
        <v>15250</v>
      </c>
      <c r="J271" s="3">
        <v>0</v>
      </c>
      <c r="K271" s="3">
        <v>15250</v>
      </c>
      <c r="L271" s="3">
        <v>0</v>
      </c>
      <c r="M271" s="3">
        <v>0</v>
      </c>
      <c r="N271" s="3">
        <v>0</v>
      </c>
    </row>
    <row r="272" spans="1:14" ht="14.4">
      <c r="A272" s="3">
        <v>13365</v>
      </c>
      <c r="B272" s="3">
        <v>13366</v>
      </c>
      <c r="C272" s="3">
        <v>4085</v>
      </c>
      <c r="D272" s="3" t="s">
        <v>18</v>
      </c>
      <c r="E272" s="3" t="s">
        <v>184</v>
      </c>
      <c r="F272" s="3">
        <v>11754</v>
      </c>
      <c r="G272" s="3" t="s">
        <v>23</v>
      </c>
      <c r="H272" s="3" t="s">
        <v>21</v>
      </c>
      <c r="I272" s="3">
        <v>7433</v>
      </c>
      <c r="J272" s="3">
        <v>3683</v>
      </c>
      <c r="K272" s="3">
        <v>3750</v>
      </c>
      <c r="L272" s="3">
        <v>0</v>
      </c>
      <c r="M272" s="3">
        <v>0</v>
      </c>
      <c r="N272" s="3">
        <v>0</v>
      </c>
    </row>
    <row r="273" spans="1:14" ht="14.4">
      <c r="A273" s="3">
        <v>13365</v>
      </c>
      <c r="B273" s="3">
        <v>13366</v>
      </c>
      <c r="C273" s="3">
        <v>4085</v>
      </c>
      <c r="D273" s="3" t="s">
        <v>18</v>
      </c>
      <c r="E273" s="3" t="s">
        <v>185</v>
      </c>
      <c r="F273" s="3">
        <v>12401</v>
      </c>
      <c r="G273" s="3" t="s">
        <v>186</v>
      </c>
      <c r="H273" s="3" t="s">
        <v>21</v>
      </c>
      <c r="I273" s="3">
        <v>640206</v>
      </c>
      <c r="J273" s="3">
        <v>327889</v>
      </c>
      <c r="K273" s="3">
        <v>312317</v>
      </c>
      <c r="L273" s="3">
        <v>0</v>
      </c>
      <c r="M273" s="3">
        <v>0</v>
      </c>
      <c r="N273" s="3">
        <v>0</v>
      </c>
    </row>
    <row r="274" spans="1:14" ht="14.4">
      <c r="A274" s="3">
        <v>13365</v>
      </c>
      <c r="B274" s="3">
        <v>13366</v>
      </c>
      <c r="C274" s="3">
        <v>4085</v>
      </c>
      <c r="D274" s="3" t="s">
        <v>18</v>
      </c>
      <c r="E274" s="3" t="s">
        <v>187</v>
      </c>
      <c r="F274" s="3">
        <v>11755</v>
      </c>
      <c r="G274" s="3" t="s">
        <v>23</v>
      </c>
      <c r="H274" s="3" t="s">
        <v>21</v>
      </c>
      <c r="I274" s="3">
        <v>17000</v>
      </c>
      <c r="J274" s="3">
        <v>0</v>
      </c>
      <c r="K274" s="3">
        <v>17000</v>
      </c>
      <c r="L274" s="3">
        <v>56000</v>
      </c>
      <c r="M274" s="3">
        <v>0</v>
      </c>
      <c r="N274" s="3">
        <v>5000</v>
      </c>
    </row>
    <row r="275" spans="1:14" ht="14.4">
      <c r="A275" s="3">
        <v>13365</v>
      </c>
      <c r="B275" s="3">
        <v>13366</v>
      </c>
      <c r="C275" s="3">
        <v>4085</v>
      </c>
      <c r="D275" s="3" t="s">
        <v>18</v>
      </c>
      <c r="E275" s="3" t="s">
        <v>188</v>
      </c>
      <c r="F275" s="3">
        <v>12752</v>
      </c>
      <c r="G275" s="3" t="s">
        <v>189</v>
      </c>
      <c r="H275" s="3" t="s">
        <v>21</v>
      </c>
      <c r="I275" s="3">
        <v>43820</v>
      </c>
      <c r="J275" s="3">
        <v>43820</v>
      </c>
      <c r="K275" s="3">
        <v>0</v>
      </c>
      <c r="L275" s="3">
        <v>0</v>
      </c>
      <c r="M275" s="3">
        <v>0</v>
      </c>
      <c r="N275" s="3">
        <v>0</v>
      </c>
    </row>
    <row r="276" spans="1:14" ht="14.4">
      <c r="A276" s="3">
        <v>13365</v>
      </c>
      <c r="B276" s="3">
        <v>13366</v>
      </c>
      <c r="C276" s="3">
        <v>4085</v>
      </c>
      <c r="D276" s="3" t="s">
        <v>18</v>
      </c>
      <c r="E276" s="3" t="s">
        <v>190</v>
      </c>
      <c r="F276" s="3">
        <v>11779</v>
      </c>
      <c r="G276" s="3" t="s">
        <v>23</v>
      </c>
      <c r="H276" s="3" t="s">
        <v>21</v>
      </c>
      <c r="I276" s="3">
        <v>0</v>
      </c>
      <c r="J276" s="3">
        <v>0</v>
      </c>
      <c r="K276" s="3">
        <v>0</v>
      </c>
      <c r="L276" s="3">
        <v>34000</v>
      </c>
      <c r="M276" s="3">
        <v>0</v>
      </c>
      <c r="N276" s="3">
        <v>0</v>
      </c>
    </row>
    <row r="277" spans="1:14" ht="14.4">
      <c r="A277" s="3">
        <v>13365</v>
      </c>
      <c r="B277" s="3">
        <v>13366</v>
      </c>
      <c r="C277" s="3">
        <v>4085</v>
      </c>
      <c r="D277" s="3" t="s">
        <v>18</v>
      </c>
      <c r="E277" s="3" t="s">
        <v>191</v>
      </c>
      <c r="F277" s="3">
        <v>10538</v>
      </c>
      <c r="G277" s="3" t="s">
        <v>64</v>
      </c>
      <c r="H277" s="3" t="s">
        <v>21</v>
      </c>
      <c r="I277" s="3">
        <v>94484</v>
      </c>
      <c r="J277" s="3">
        <v>29291</v>
      </c>
      <c r="K277" s="3">
        <v>65193</v>
      </c>
      <c r="L277" s="3">
        <v>0</v>
      </c>
      <c r="M277" s="3">
        <v>0</v>
      </c>
      <c r="N277" s="3">
        <v>0</v>
      </c>
    </row>
    <row r="278" spans="1:14" ht="14.4">
      <c r="A278" s="3">
        <v>13365</v>
      </c>
      <c r="B278" s="3">
        <v>13366</v>
      </c>
      <c r="C278" s="3">
        <v>4085</v>
      </c>
      <c r="D278" s="3" t="s">
        <v>18</v>
      </c>
      <c r="E278" s="3" t="s">
        <v>192</v>
      </c>
      <c r="F278" s="3">
        <v>11948</v>
      </c>
      <c r="G278" s="3" t="s">
        <v>23</v>
      </c>
      <c r="H278" s="3" t="s">
        <v>21</v>
      </c>
      <c r="I278" s="3">
        <v>166492</v>
      </c>
      <c r="J278" s="3">
        <v>143992</v>
      </c>
      <c r="K278" s="3">
        <v>22500</v>
      </c>
      <c r="L278" s="3">
        <v>0</v>
      </c>
      <c r="M278" s="3">
        <v>0</v>
      </c>
      <c r="N278" s="3">
        <v>0</v>
      </c>
    </row>
    <row r="279" spans="1:14" ht="14.4">
      <c r="A279" s="3">
        <v>13365</v>
      </c>
      <c r="B279" s="3">
        <v>13366</v>
      </c>
      <c r="C279" s="3">
        <v>4085</v>
      </c>
      <c r="D279" s="3" t="s">
        <v>18</v>
      </c>
      <c r="E279" s="3" t="s">
        <v>193</v>
      </c>
      <c r="F279" s="3">
        <v>11413</v>
      </c>
      <c r="G279" s="3" t="s">
        <v>28</v>
      </c>
      <c r="H279" s="3" t="s">
        <v>21</v>
      </c>
      <c r="I279" s="3">
        <v>11555</v>
      </c>
      <c r="J279" s="3">
        <v>0</v>
      </c>
      <c r="K279" s="3">
        <v>11555</v>
      </c>
      <c r="L279" s="3">
        <v>3700</v>
      </c>
      <c r="M279" s="3">
        <v>0</v>
      </c>
      <c r="N279" s="3">
        <v>3700</v>
      </c>
    </row>
    <row r="280" spans="1:14" ht="14.4">
      <c r="A280" s="3">
        <v>13365</v>
      </c>
      <c r="B280" s="3">
        <v>13366</v>
      </c>
      <c r="C280" s="3">
        <v>4085</v>
      </c>
      <c r="D280" s="3" t="s">
        <v>18</v>
      </c>
      <c r="E280" s="3" t="s">
        <v>194</v>
      </c>
      <c r="F280" s="3">
        <v>11559</v>
      </c>
      <c r="G280" s="3" t="s">
        <v>20</v>
      </c>
      <c r="H280" s="3" t="s">
        <v>21</v>
      </c>
      <c r="I280" s="3">
        <v>733396</v>
      </c>
      <c r="J280" s="3">
        <v>455986</v>
      </c>
      <c r="K280" s="3">
        <v>277410</v>
      </c>
      <c r="L280" s="3">
        <v>544500</v>
      </c>
      <c r="M280" s="3">
        <v>105500</v>
      </c>
      <c r="N280" s="3">
        <v>230500</v>
      </c>
    </row>
    <row r="281" spans="1:14" ht="14.4">
      <c r="A281" s="3">
        <v>13365</v>
      </c>
      <c r="B281" s="3">
        <v>13366</v>
      </c>
      <c r="C281" s="3">
        <v>4085</v>
      </c>
      <c r="D281" s="3" t="s">
        <v>18</v>
      </c>
      <c r="E281" s="3" t="s">
        <v>195</v>
      </c>
      <c r="F281" s="3">
        <v>11756</v>
      </c>
      <c r="G281" s="3" t="s">
        <v>20</v>
      </c>
      <c r="H281" s="3" t="s">
        <v>21</v>
      </c>
      <c r="I281" s="3">
        <v>154679</v>
      </c>
      <c r="J281" s="3">
        <v>41689</v>
      </c>
      <c r="K281" s="3">
        <v>112990</v>
      </c>
      <c r="L281" s="3">
        <v>137800</v>
      </c>
      <c r="M281" s="3">
        <v>40400</v>
      </c>
      <c r="N281" s="3">
        <v>97400</v>
      </c>
    </row>
    <row r="282" spans="1:14" ht="14.4">
      <c r="A282" s="3">
        <v>13365</v>
      </c>
      <c r="B282" s="3">
        <v>13366</v>
      </c>
      <c r="C282" s="3">
        <v>4085</v>
      </c>
      <c r="D282" s="3" t="s">
        <v>18</v>
      </c>
      <c r="E282" s="3" t="s">
        <v>196</v>
      </c>
      <c r="F282" s="3">
        <v>11101</v>
      </c>
      <c r="G282" s="3" t="s">
        <v>28</v>
      </c>
      <c r="H282" s="3" t="s">
        <v>21</v>
      </c>
      <c r="I282" s="3">
        <v>60038</v>
      </c>
      <c r="J282" s="3">
        <v>29600</v>
      </c>
      <c r="K282" s="3">
        <v>30438</v>
      </c>
      <c r="L282" s="3">
        <v>0</v>
      </c>
      <c r="M282" s="3">
        <v>0</v>
      </c>
      <c r="N282" s="3">
        <v>0</v>
      </c>
    </row>
    <row r="283" spans="1:14" ht="14.4">
      <c r="A283" s="3">
        <v>13365</v>
      </c>
      <c r="B283" s="3">
        <v>13366</v>
      </c>
      <c r="C283" s="3">
        <v>4085</v>
      </c>
      <c r="D283" s="3" t="s">
        <v>18</v>
      </c>
      <c r="E283" s="3" t="s">
        <v>197</v>
      </c>
      <c r="F283" s="3">
        <v>12754</v>
      </c>
      <c r="G283" s="3" t="s">
        <v>189</v>
      </c>
      <c r="H283" s="3" t="s">
        <v>21</v>
      </c>
      <c r="I283" s="3">
        <v>68879</v>
      </c>
      <c r="J283" s="3">
        <v>61379</v>
      </c>
      <c r="K283" s="3">
        <v>7500</v>
      </c>
      <c r="L283" s="3">
        <v>0</v>
      </c>
      <c r="M283" s="3">
        <v>0</v>
      </c>
      <c r="N283" s="3">
        <v>0</v>
      </c>
    </row>
    <row r="284" spans="1:14" ht="14.4">
      <c r="A284" s="3">
        <v>13365</v>
      </c>
      <c r="B284" s="3">
        <v>13366</v>
      </c>
      <c r="C284" s="3">
        <v>4085</v>
      </c>
      <c r="D284" s="3" t="s">
        <v>18</v>
      </c>
      <c r="E284" s="3" t="s">
        <v>198</v>
      </c>
      <c r="F284" s="3">
        <v>11101</v>
      </c>
      <c r="G284" s="3" t="s">
        <v>28</v>
      </c>
      <c r="H284" s="3" t="s">
        <v>21</v>
      </c>
      <c r="I284" s="3">
        <v>0</v>
      </c>
      <c r="J284" s="3">
        <v>0</v>
      </c>
      <c r="K284" s="3">
        <v>0</v>
      </c>
      <c r="L284" s="3">
        <v>118000</v>
      </c>
      <c r="M284" s="3">
        <v>0</v>
      </c>
      <c r="N284" s="3">
        <v>0</v>
      </c>
    </row>
    <row r="285" spans="1:14" ht="14.4">
      <c r="A285" s="3">
        <v>13365</v>
      </c>
      <c r="B285" s="3">
        <v>13366</v>
      </c>
      <c r="C285" s="3">
        <v>4085</v>
      </c>
      <c r="D285" s="3" t="s">
        <v>18</v>
      </c>
      <c r="E285" s="3" t="s">
        <v>199</v>
      </c>
      <c r="F285" s="3">
        <v>11561</v>
      </c>
      <c r="G285" s="3" t="s">
        <v>20</v>
      </c>
      <c r="H285" s="3" t="s">
        <v>21</v>
      </c>
      <c r="I285" s="3">
        <v>7858709</v>
      </c>
      <c r="J285" s="3">
        <v>7229924</v>
      </c>
      <c r="K285" s="3">
        <v>628785</v>
      </c>
      <c r="L285" s="3">
        <v>1345400</v>
      </c>
      <c r="M285" s="3">
        <v>1046700</v>
      </c>
      <c r="N285" s="3">
        <v>181300</v>
      </c>
    </row>
    <row r="286" spans="1:14" ht="14.4">
      <c r="A286" s="3">
        <v>13365</v>
      </c>
      <c r="B286" s="3">
        <v>13366</v>
      </c>
      <c r="C286" s="3">
        <v>4085</v>
      </c>
      <c r="D286" s="3" t="s">
        <v>18</v>
      </c>
      <c r="E286" s="3" t="s">
        <v>200</v>
      </c>
      <c r="F286" s="3">
        <v>11757</v>
      </c>
      <c r="G286" s="3" t="s">
        <v>23</v>
      </c>
      <c r="H286" s="3" t="s">
        <v>21</v>
      </c>
      <c r="I286" s="3">
        <v>4770716</v>
      </c>
      <c r="J286" s="3">
        <v>3662271</v>
      </c>
      <c r="K286" s="3">
        <v>1108445</v>
      </c>
      <c r="L286" s="3">
        <v>1062200</v>
      </c>
      <c r="M286" s="3">
        <v>840800</v>
      </c>
      <c r="N286" s="3">
        <v>195400</v>
      </c>
    </row>
    <row r="287" spans="1:14" ht="14.4">
      <c r="A287" s="3">
        <v>13365</v>
      </c>
      <c r="B287" s="3">
        <v>13366</v>
      </c>
      <c r="C287" s="3">
        <v>4085</v>
      </c>
      <c r="D287" s="3" t="s">
        <v>18</v>
      </c>
      <c r="E287" s="3" t="s">
        <v>200</v>
      </c>
      <c r="F287" s="3">
        <v>11758</v>
      </c>
      <c r="G287" s="3" t="s">
        <v>23</v>
      </c>
      <c r="H287" s="3" t="s">
        <v>21</v>
      </c>
      <c r="I287" s="3">
        <v>97539</v>
      </c>
      <c r="J287" s="3">
        <v>94939</v>
      </c>
      <c r="K287" s="3">
        <v>2600</v>
      </c>
      <c r="L287" s="3">
        <v>0</v>
      </c>
      <c r="M287" s="3">
        <v>0</v>
      </c>
      <c r="N287" s="3">
        <v>0</v>
      </c>
    </row>
    <row r="288" spans="1:14" ht="14.4">
      <c r="A288" s="3">
        <v>13365</v>
      </c>
      <c r="B288" s="3">
        <v>13366</v>
      </c>
      <c r="C288" s="3">
        <v>4085</v>
      </c>
      <c r="D288" s="3" t="s">
        <v>18</v>
      </c>
      <c r="E288" s="3" t="s">
        <v>200</v>
      </c>
      <c r="F288" s="3">
        <v>11795</v>
      </c>
      <c r="G288" s="3" t="s">
        <v>23</v>
      </c>
      <c r="H288" s="3" t="s">
        <v>21</v>
      </c>
      <c r="I288" s="3">
        <v>706065</v>
      </c>
      <c r="J288" s="3">
        <v>631524</v>
      </c>
      <c r="K288" s="3">
        <v>74541</v>
      </c>
      <c r="L288" s="3">
        <v>0</v>
      </c>
      <c r="M288" s="3">
        <v>0</v>
      </c>
      <c r="N288" s="3">
        <v>0</v>
      </c>
    </row>
    <row r="289" spans="1:14" ht="14.4">
      <c r="A289" s="3">
        <v>13365</v>
      </c>
      <c r="B289" s="3">
        <v>13366</v>
      </c>
      <c r="C289" s="3">
        <v>4085</v>
      </c>
      <c r="D289" s="3" t="s">
        <v>18</v>
      </c>
      <c r="E289" s="3" t="s">
        <v>201</v>
      </c>
      <c r="F289" s="3">
        <v>11757</v>
      </c>
      <c r="G289" s="3" t="s">
        <v>23</v>
      </c>
      <c r="H289" s="3" t="s">
        <v>21</v>
      </c>
      <c r="I289" s="3">
        <v>85877</v>
      </c>
      <c r="J289" s="3">
        <v>67672</v>
      </c>
      <c r="K289" s="3">
        <v>18205</v>
      </c>
      <c r="L289" s="3">
        <v>0</v>
      </c>
      <c r="M289" s="3">
        <v>0</v>
      </c>
      <c r="N289" s="3">
        <v>0</v>
      </c>
    </row>
    <row r="290" spans="1:14" ht="14.4">
      <c r="A290" s="3">
        <v>13365</v>
      </c>
      <c r="B290" s="3">
        <v>13366</v>
      </c>
      <c r="C290" s="3">
        <v>4085</v>
      </c>
      <c r="D290" s="3" t="s">
        <v>18</v>
      </c>
      <c r="E290" s="3" t="s">
        <v>202</v>
      </c>
      <c r="F290" s="3">
        <v>7643</v>
      </c>
      <c r="G290" s="3" t="s">
        <v>76</v>
      </c>
      <c r="H290" s="3" t="s">
        <v>38</v>
      </c>
      <c r="I290" s="3">
        <v>57669</v>
      </c>
      <c r="J290" s="3">
        <v>56669</v>
      </c>
      <c r="K290" s="3">
        <v>1000</v>
      </c>
      <c r="L290" s="3">
        <v>0</v>
      </c>
      <c r="M290" s="3">
        <v>0</v>
      </c>
      <c r="N290" s="3">
        <v>0</v>
      </c>
    </row>
    <row r="291" spans="1:14" ht="14.4">
      <c r="A291" s="3">
        <v>13365</v>
      </c>
      <c r="B291" s="3">
        <v>13366</v>
      </c>
      <c r="C291" s="3">
        <v>4085</v>
      </c>
      <c r="D291" s="3" t="s">
        <v>18</v>
      </c>
      <c r="E291" s="3" t="s">
        <v>203</v>
      </c>
      <c r="F291" s="3">
        <v>11362</v>
      </c>
      <c r="G291" s="3" t="s">
        <v>28</v>
      </c>
      <c r="H291" s="3" t="s">
        <v>21</v>
      </c>
      <c r="I291" s="3">
        <v>373620</v>
      </c>
      <c r="J291" s="3">
        <v>318208</v>
      </c>
      <c r="K291" s="3">
        <v>55412</v>
      </c>
      <c r="L291" s="3">
        <v>0</v>
      </c>
      <c r="M291" s="3">
        <v>0</v>
      </c>
      <c r="N291" s="3">
        <v>0</v>
      </c>
    </row>
    <row r="292" spans="1:14" ht="14.4">
      <c r="A292" s="3">
        <v>13365</v>
      </c>
      <c r="B292" s="3">
        <v>13366</v>
      </c>
      <c r="C292" s="3">
        <v>4085</v>
      </c>
      <c r="D292" s="3" t="s">
        <v>18</v>
      </c>
      <c r="E292" s="3" t="s">
        <v>203</v>
      </c>
      <c r="F292" s="3">
        <v>11363</v>
      </c>
      <c r="G292" s="3" t="s">
        <v>28</v>
      </c>
      <c r="H292" s="3" t="s">
        <v>21</v>
      </c>
      <c r="I292" s="3">
        <v>0</v>
      </c>
      <c r="J292" s="3">
        <v>0</v>
      </c>
      <c r="K292" s="3">
        <v>0</v>
      </c>
      <c r="L292" s="3">
        <v>5000</v>
      </c>
      <c r="M292" s="3">
        <v>0</v>
      </c>
      <c r="N292" s="3">
        <v>0</v>
      </c>
    </row>
    <row r="293" spans="1:14" ht="14.4">
      <c r="A293" s="3">
        <v>13365</v>
      </c>
      <c r="B293" s="3">
        <v>13366</v>
      </c>
      <c r="C293" s="3">
        <v>4085</v>
      </c>
      <c r="D293" s="3" t="s">
        <v>18</v>
      </c>
      <c r="E293" s="3" t="s">
        <v>204</v>
      </c>
      <c r="F293" s="3">
        <v>11743</v>
      </c>
      <c r="G293" s="3" t="s">
        <v>23</v>
      </c>
      <c r="H293" s="3" t="s">
        <v>21</v>
      </c>
      <c r="I293" s="3">
        <v>820031</v>
      </c>
      <c r="J293" s="3">
        <v>744709</v>
      </c>
      <c r="K293" s="3">
        <v>75322</v>
      </c>
      <c r="L293" s="3">
        <v>806100</v>
      </c>
      <c r="M293" s="3">
        <v>744800</v>
      </c>
      <c r="N293" s="3">
        <v>61300</v>
      </c>
    </row>
    <row r="294" spans="1:14" ht="14.4">
      <c r="A294" s="3">
        <v>13365</v>
      </c>
      <c r="B294" s="3">
        <v>13366</v>
      </c>
      <c r="C294" s="3">
        <v>4085</v>
      </c>
      <c r="D294" s="3" t="s">
        <v>18</v>
      </c>
      <c r="E294" s="3" t="s">
        <v>205</v>
      </c>
      <c r="F294" s="3">
        <v>11560</v>
      </c>
      <c r="G294" s="3" t="s">
        <v>20</v>
      </c>
      <c r="H294" s="3" t="s">
        <v>21</v>
      </c>
      <c r="I294" s="3">
        <v>40512</v>
      </c>
      <c r="J294" s="3">
        <v>1531</v>
      </c>
      <c r="K294" s="3">
        <v>38981</v>
      </c>
      <c r="L294" s="3">
        <v>35900</v>
      </c>
      <c r="M294" s="3">
        <v>0</v>
      </c>
      <c r="N294" s="3">
        <v>1000</v>
      </c>
    </row>
    <row r="295" spans="1:14" ht="14.4">
      <c r="A295" s="3">
        <v>13365</v>
      </c>
      <c r="B295" s="3">
        <v>13366</v>
      </c>
      <c r="C295" s="3">
        <v>4085</v>
      </c>
      <c r="D295" s="3" t="s">
        <v>18</v>
      </c>
      <c r="E295" s="3" t="s">
        <v>206</v>
      </c>
      <c r="F295" s="3">
        <v>11561</v>
      </c>
      <c r="G295" s="3" t="s">
        <v>20</v>
      </c>
      <c r="H295" s="3" t="s">
        <v>21</v>
      </c>
      <c r="I295" s="3">
        <v>116668</v>
      </c>
      <c r="J295" s="3">
        <v>58139</v>
      </c>
      <c r="K295" s="3">
        <v>58529</v>
      </c>
      <c r="L295" s="3">
        <v>0</v>
      </c>
      <c r="M295" s="3">
        <v>0</v>
      </c>
      <c r="N295" s="3">
        <v>0</v>
      </c>
    </row>
    <row r="296" spans="1:14" ht="14.4">
      <c r="A296" s="3">
        <v>13365</v>
      </c>
      <c r="B296" s="3">
        <v>13366</v>
      </c>
      <c r="C296" s="3">
        <v>4085</v>
      </c>
      <c r="D296" s="3" t="s">
        <v>18</v>
      </c>
      <c r="E296" s="3" t="s">
        <v>207</v>
      </c>
      <c r="F296" s="3">
        <v>11793</v>
      </c>
      <c r="G296" s="3" t="s">
        <v>20</v>
      </c>
      <c r="H296" s="3" t="s">
        <v>21</v>
      </c>
      <c r="I296" s="3">
        <v>60340</v>
      </c>
      <c r="J296" s="3">
        <v>60340</v>
      </c>
      <c r="K296" s="3">
        <v>0</v>
      </c>
      <c r="L296" s="3">
        <v>0</v>
      </c>
      <c r="M296" s="3">
        <v>0</v>
      </c>
      <c r="N296" s="3">
        <v>0</v>
      </c>
    </row>
    <row r="297" spans="1:14" ht="14.4">
      <c r="A297" s="3">
        <v>13365</v>
      </c>
      <c r="B297" s="3">
        <v>13366</v>
      </c>
      <c r="C297" s="3">
        <v>4085</v>
      </c>
      <c r="D297" s="3" t="s">
        <v>18</v>
      </c>
      <c r="E297" s="3" t="s">
        <v>208</v>
      </c>
      <c r="F297" s="3">
        <v>10709</v>
      </c>
      <c r="G297" s="3" t="s">
        <v>20</v>
      </c>
      <c r="H297" s="3" t="s">
        <v>21</v>
      </c>
      <c r="I297" s="3">
        <v>71606</v>
      </c>
      <c r="J297" s="3">
        <v>69556</v>
      </c>
      <c r="K297" s="3">
        <v>2050</v>
      </c>
      <c r="L297" s="3">
        <v>0</v>
      </c>
      <c r="M297" s="3">
        <v>0</v>
      </c>
      <c r="N297" s="3">
        <v>0</v>
      </c>
    </row>
    <row r="298" spans="1:14" ht="14.4">
      <c r="A298" s="3">
        <v>13365</v>
      </c>
      <c r="B298" s="3">
        <v>13366</v>
      </c>
      <c r="C298" s="3">
        <v>4085</v>
      </c>
      <c r="D298" s="3" t="s">
        <v>18</v>
      </c>
      <c r="E298" s="3" t="s">
        <v>208</v>
      </c>
      <c r="F298" s="3">
        <v>11501</v>
      </c>
      <c r="G298" s="3" t="s">
        <v>20</v>
      </c>
      <c r="H298" s="3" t="s">
        <v>21</v>
      </c>
      <c r="I298" s="3">
        <v>13093</v>
      </c>
      <c r="J298" s="3">
        <v>11093</v>
      </c>
      <c r="K298" s="3">
        <v>2000</v>
      </c>
      <c r="L298" s="3">
        <v>19800</v>
      </c>
      <c r="M298" s="3">
        <v>11100</v>
      </c>
      <c r="N298" s="3">
        <v>1500</v>
      </c>
    </row>
    <row r="299" spans="1:14" ht="14.4">
      <c r="A299" s="3">
        <v>13365</v>
      </c>
      <c r="B299" s="3">
        <v>13366</v>
      </c>
      <c r="C299" s="3">
        <v>4085</v>
      </c>
      <c r="D299" s="3" t="s">
        <v>18</v>
      </c>
      <c r="E299" s="3" t="s">
        <v>208</v>
      </c>
      <c r="F299" s="3">
        <v>11516</v>
      </c>
      <c r="G299" s="3" t="s">
        <v>20</v>
      </c>
      <c r="H299" s="3" t="s">
        <v>21</v>
      </c>
      <c r="I299" s="3">
        <v>67016</v>
      </c>
      <c r="J299" s="3">
        <v>30701</v>
      </c>
      <c r="K299" s="3">
        <v>36315</v>
      </c>
      <c r="L299" s="3">
        <v>0</v>
      </c>
      <c r="M299" s="3">
        <v>0</v>
      </c>
      <c r="N299" s="3">
        <v>0</v>
      </c>
    </row>
    <row r="300" spans="1:14" ht="14.4">
      <c r="A300" s="3">
        <v>13365</v>
      </c>
      <c r="B300" s="3">
        <v>13366</v>
      </c>
      <c r="C300" s="3">
        <v>4085</v>
      </c>
      <c r="D300" s="3" t="s">
        <v>18</v>
      </c>
      <c r="E300" s="3" t="s">
        <v>208</v>
      </c>
      <c r="F300" s="3">
        <v>11561</v>
      </c>
      <c r="G300" s="3" t="s">
        <v>20</v>
      </c>
      <c r="H300" s="3" t="s">
        <v>21</v>
      </c>
      <c r="I300" s="3">
        <v>58048260</v>
      </c>
      <c r="J300" s="3">
        <v>40857728</v>
      </c>
      <c r="K300" s="3">
        <v>17190532</v>
      </c>
      <c r="L300" s="3">
        <v>15029300</v>
      </c>
      <c r="M300" s="3">
        <v>8706300</v>
      </c>
      <c r="N300" s="3">
        <v>3626500</v>
      </c>
    </row>
    <row r="301" spans="1:14" ht="14.4">
      <c r="A301" s="3">
        <v>13365</v>
      </c>
      <c r="B301" s="3">
        <v>13366</v>
      </c>
      <c r="C301" s="3">
        <v>4085</v>
      </c>
      <c r="D301" s="3" t="s">
        <v>18</v>
      </c>
      <c r="E301" s="3" t="s">
        <v>208</v>
      </c>
      <c r="F301" s="3">
        <v>11566</v>
      </c>
      <c r="G301" s="3" t="s">
        <v>20</v>
      </c>
      <c r="H301" s="3" t="s">
        <v>21</v>
      </c>
      <c r="I301" s="3">
        <v>106779</v>
      </c>
      <c r="J301" s="3">
        <v>51479</v>
      </c>
      <c r="K301" s="3">
        <v>55300</v>
      </c>
      <c r="L301" s="3">
        <v>55300</v>
      </c>
      <c r="M301" s="3">
        <v>0</v>
      </c>
      <c r="N301" s="3">
        <v>55300</v>
      </c>
    </row>
    <row r="302" spans="1:14" ht="14.4">
      <c r="A302" s="3">
        <v>13365</v>
      </c>
      <c r="B302" s="3">
        <v>13366</v>
      </c>
      <c r="C302" s="3">
        <v>4085</v>
      </c>
      <c r="D302" s="3" t="s">
        <v>18</v>
      </c>
      <c r="E302" s="3" t="s">
        <v>208</v>
      </c>
      <c r="F302" s="3">
        <v>11596</v>
      </c>
      <c r="G302" s="3" t="s">
        <v>20</v>
      </c>
      <c r="H302" s="3" t="s">
        <v>21</v>
      </c>
      <c r="I302" s="3">
        <v>47196</v>
      </c>
      <c r="J302" s="3">
        <v>14509</v>
      </c>
      <c r="K302" s="3">
        <v>32687</v>
      </c>
      <c r="L302" s="3">
        <v>0</v>
      </c>
      <c r="M302" s="3">
        <v>0</v>
      </c>
      <c r="N302" s="3">
        <v>0</v>
      </c>
    </row>
    <row r="303" spans="1:14" ht="14.4">
      <c r="A303" s="3">
        <v>13365</v>
      </c>
      <c r="B303" s="3">
        <v>13366</v>
      </c>
      <c r="C303" s="3">
        <v>4085</v>
      </c>
      <c r="D303" s="3" t="s">
        <v>18</v>
      </c>
      <c r="E303" s="3" t="s">
        <v>208</v>
      </c>
      <c r="F303" s="3">
        <v>11561</v>
      </c>
      <c r="G303" s="3" t="s">
        <v>32</v>
      </c>
      <c r="H303" s="3" t="s">
        <v>21</v>
      </c>
      <c r="I303" s="3">
        <v>2408700</v>
      </c>
      <c r="J303" s="3">
        <v>2333415</v>
      </c>
      <c r="K303" s="3">
        <v>75285</v>
      </c>
      <c r="L303" s="3">
        <v>0</v>
      </c>
      <c r="M303" s="3">
        <v>0</v>
      </c>
      <c r="N303" s="3">
        <v>0</v>
      </c>
    </row>
    <row r="304" spans="1:14" ht="14.4">
      <c r="A304" s="3">
        <v>13365</v>
      </c>
      <c r="B304" s="3">
        <v>13366</v>
      </c>
      <c r="C304" s="3">
        <v>4085</v>
      </c>
      <c r="D304" s="3" t="s">
        <v>18</v>
      </c>
      <c r="E304" s="3" t="s">
        <v>209</v>
      </c>
      <c r="F304" s="3">
        <v>11101</v>
      </c>
      <c r="G304" s="3" t="s">
        <v>32</v>
      </c>
      <c r="H304" s="3" t="s">
        <v>21</v>
      </c>
      <c r="I304" s="3">
        <v>0</v>
      </c>
      <c r="J304" s="3">
        <v>0</v>
      </c>
      <c r="K304" s="3">
        <v>0</v>
      </c>
      <c r="L304" s="3">
        <v>80700</v>
      </c>
      <c r="M304" s="3">
        <v>0</v>
      </c>
      <c r="N304" s="3">
        <v>0</v>
      </c>
    </row>
    <row r="305" spans="1:14" ht="14.4">
      <c r="A305" s="3">
        <v>13365</v>
      </c>
      <c r="B305" s="3">
        <v>13366</v>
      </c>
      <c r="C305" s="3">
        <v>4085</v>
      </c>
      <c r="D305" s="3" t="s">
        <v>18</v>
      </c>
      <c r="E305" s="3" t="s">
        <v>209</v>
      </c>
      <c r="F305" s="3">
        <v>11011</v>
      </c>
      <c r="G305" s="3" t="s">
        <v>28</v>
      </c>
      <c r="H305" s="3" t="s">
        <v>21</v>
      </c>
      <c r="I305" s="3">
        <v>10171</v>
      </c>
      <c r="J305" s="3">
        <v>0</v>
      </c>
      <c r="K305" s="3">
        <v>10171</v>
      </c>
      <c r="L305" s="3">
        <v>0</v>
      </c>
      <c r="M305" s="3">
        <v>0</v>
      </c>
      <c r="N305" s="3">
        <v>0</v>
      </c>
    </row>
    <row r="306" spans="1:14" ht="14.4">
      <c r="A306" s="3">
        <v>13365</v>
      </c>
      <c r="B306" s="3">
        <v>13366</v>
      </c>
      <c r="C306" s="3">
        <v>4085</v>
      </c>
      <c r="D306" s="3" t="s">
        <v>18</v>
      </c>
      <c r="E306" s="3" t="s">
        <v>209</v>
      </c>
      <c r="F306" s="3">
        <v>11101</v>
      </c>
      <c r="G306" s="3" t="s">
        <v>28</v>
      </c>
      <c r="H306" s="3" t="s">
        <v>21</v>
      </c>
      <c r="I306" s="3">
        <v>8480921</v>
      </c>
      <c r="J306" s="3">
        <v>3190849</v>
      </c>
      <c r="K306" s="3">
        <v>5290072</v>
      </c>
      <c r="L306" s="3">
        <v>2143900</v>
      </c>
      <c r="M306" s="3">
        <v>215200</v>
      </c>
      <c r="N306" s="3">
        <v>666000</v>
      </c>
    </row>
    <row r="307" spans="1:14" ht="14.4">
      <c r="A307" s="3">
        <v>13365</v>
      </c>
      <c r="B307" s="3">
        <v>13366</v>
      </c>
      <c r="C307" s="3">
        <v>4085</v>
      </c>
      <c r="D307" s="3" t="s">
        <v>18</v>
      </c>
      <c r="E307" s="3" t="s">
        <v>209</v>
      </c>
      <c r="F307" s="3">
        <v>11103</v>
      </c>
      <c r="G307" s="3" t="s">
        <v>28</v>
      </c>
      <c r="H307" s="3" t="s">
        <v>21</v>
      </c>
      <c r="I307" s="3">
        <v>17217</v>
      </c>
      <c r="J307" s="3">
        <v>0</v>
      </c>
      <c r="K307" s="3">
        <v>17217</v>
      </c>
      <c r="L307" s="3">
        <v>0</v>
      </c>
      <c r="M307" s="3">
        <v>0</v>
      </c>
      <c r="N307" s="3">
        <v>0</v>
      </c>
    </row>
    <row r="308" spans="1:14" ht="14.4">
      <c r="A308" s="3">
        <v>13365</v>
      </c>
      <c r="B308" s="3">
        <v>13366</v>
      </c>
      <c r="C308" s="3">
        <v>4085</v>
      </c>
      <c r="D308" s="3" t="s">
        <v>18</v>
      </c>
      <c r="E308" s="3" t="s">
        <v>209</v>
      </c>
      <c r="F308" s="3">
        <v>11106</v>
      </c>
      <c r="G308" s="3" t="s">
        <v>28</v>
      </c>
      <c r="H308" s="3" t="s">
        <v>21</v>
      </c>
      <c r="I308" s="3">
        <v>80170</v>
      </c>
      <c r="J308" s="3">
        <v>73970</v>
      </c>
      <c r="K308" s="3">
        <v>6200</v>
      </c>
      <c r="L308" s="3">
        <v>0</v>
      </c>
      <c r="M308" s="3">
        <v>0</v>
      </c>
      <c r="N308" s="3">
        <v>0</v>
      </c>
    </row>
    <row r="309" spans="1:14" ht="14.4">
      <c r="A309" s="3">
        <v>13365</v>
      </c>
      <c r="B309" s="3">
        <v>13366</v>
      </c>
      <c r="C309" s="3">
        <v>4085</v>
      </c>
      <c r="D309" s="3" t="s">
        <v>18</v>
      </c>
      <c r="E309" s="3" t="s">
        <v>210</v>
      </c>
      <c r="F309" s="3">
        <v>11561</v>
      </c>
      <c r="G309" s="3" t="s">
        <v>20</v>
      </c>
      <c r="H309" s="3" t="s">
        <v>21</v>
      </c>
      <c r="I309" s="3">
        <v>95788</v>
      </c>
      <c r="J309" s="3">
        <v>93088</v>
      </c>
      <c r="K309" s="3">
        <v>2700</v>
      </c>
      <c r="L309" s="3">
        <v>51400</v>
      </c>
      <c r="M309" s="3">
        <v>48700</v>
      </c>
      <c r="N309" s="3">
        <v>2700</v>
      </c>
    </row>
    <row r="310" spans="1:14" ht="14.4">
      <c r="A310" s="3">
        <v>13365</v>
      </c>
      <c r="B310" s="3">
        <v>13366</v>
      </c>
      <c r="C310" s="3">
        <v>4085</v>
      </c>
      <c r="D310" s="3" t="s">
        <v>18</v>
      </c>
      <c r="E310" s="3" t="s">
        <v>211</v>
      </c>
      <c r="F310" s="3">
        <v>11563</v>
      </c>
      <c r="G310" s="3" t="s">
        <v>20</v>
      </c>
      <c r="H310" s="3" t="s">
        <v>21</v>
      </c>
      <c r="I310" s="3">
        <v>152530</v>
      </c>
      <c r="J310" s="3">
        <v>78765</v>
      </c>
      <c r="K310" s="3">
        <v>73765</v>
      </c>
      <c r="L310" s="3">
        <v>0</v>
      </c>
      <c r="M310" s="3">
        <v>0</v>
      </c>
      <c r="N310" s="3">
        <v>0</v>
      </c>
    </row>
    <row r="311" spans="1:14" ht="14.4">
      <c r="A311" s="3">
        <v>13365</v>
      </c>
      <c r="B311" s="3">
        <v>13366</v>
      </c>
      <c r="C311" s="3">
        <v>4085</v>
      </c>
      <c r="D311" s="3" t="s">
        <v>18</v>
      </c>
      <c r="E311" s="3" t="s">
        <v>212</v>
      </c>
      <c r="F311" s="3">
        <v>10541</v>
      </c>
      <c r="G311" s="3" t="s">
        <v>58</v>
      </c>
      <c r="H311" s="3" t="s">
        <v>21</v>
      </c>
      <c r="I311" s="3">
        <v>1660</v>
      </c>
      <c r="J311" s="3">
        <v>0</v>
      </c>
      <c r="K311" s="3">
        <v>1660</v>
      </c>
      <c r="L311" s="3">
        <v>0</v>
      </c>
      <c r="M311" s="3">
        <v>0</v>
      </c>
      <c r="N311" s="3">
        <v>0</v>
      </c>
    </row>
    <row r="312" spans="1:14" ht="14.4">
      <c r="A312" s="3">
        <v>13365</v>
      </c>
      <c r="B312" s="3">
        <v>13366</v>
      </c>
      <c r="C312" s="3">
        <v>4085</v>
      </c>
      <c r="D312" s="3" t="s">
        <v>18</v>
      </c>
      <c r="E312" s="3" t="s">
        <v>213</v>
      </c>
      <c r="F312" s="3">
        <v>10543</v>
      </c>
      <c r="G312" s="3" t="s">
        <v>64</v>
      </c>
      <c r="H312" s="3" t="s">
        <v>21</v>
      </c>
      <c r="I312" s="3">
        <v>2458144</v>
      </c>
      <c r="J312" s="3">
        <v>2102475</v>
      </c>
      <c r="K312" s="3">
        <v>355669</v>
      </c>
      <c r="L312" s="3">
        <v>1320200</v>
      </c>
      <c r="M312" s="3">
        <v>1104000</v>
      </c>
      <c r="N312" s="3">
        <v>216200</v>
      </c>
    </row>
    <row r="313" spans="1:14" ht="14.4">
      <c r="A313" s="3">
        <v>13365</v>
      </c>
      <c r="B313" s="3">
        <v>13366</v>
      </c>
      <c r="C313" s="3">
        <v>4085</v>
      </c>
      <c r="D313" s="3" t="s">
        <v>18</v>
      </c>
      <c r="E313" s="3" t="s">
        <v>214</v>
      </c>
      <c r="F313" s="3">
        <v>11030</v>
      </c>
      <c r="G313" s="3" t="s">
        <v>20</v>
      </c>
      <c r="H313" s="3" t="s">
        <v>21</v>
      </c>
      <c r="I313" s="3">
        <v>109162</v>
      </c>
      <c r="J313" s="3">
        <v>13337</v>
      </c>
      <c r="K313" s="3">
        <v>95825</v>
      </c>
      <c r="L313" s="3">
        <v>215600</v>
      </c>
      <c r="M313" s="3">
        <v>0</v>
      </c>
      <c r="N313" s="3">
        <v>87500</v>
      </c>
    </row>
    <row r="314" spans="1:14" ht="14.4">
      <c r="A314" s="3">
        <v>13365</v>
      </c>
      <c r="B314" s="3">
        <v>13366</v>
      </c>
      <c r="C314" s="3">
        <v>4085</v>
      </c>
      <c r="D314" s="3" t="s">
        <v>18</v>
      </c>
      <c r="E314" s="3" t="s">
        <v>215</v>
      </c>
      <c r="F314" s="3">
        <v>10009</v>
      </c>
      <c r="G314" s="3" t="s">
        <v>61</v>
      </c>
      <c r="H314" s="3" t="s">
        <v>21</v>
      </c>
      <c r="I314" s="3">
        <v>52343</v>
      </c>
      <c r="J314" s="3">
        <v>0</v>
      </c>
      <c r="K314" s="3">
        <v>52343</v>
      </c>
      <c r="L314" s="3">
        <v>0</v>
      </c>
      <c r="M314" s="3">
        <v>0</v>
      </c>
      <c r="N314" s="3">
        <v>0</v>
      </c>
    </row>
    <row r="315" spans="1:14" ht="14.4">
      <c r="A315" s="3">
        <v>13365</v>
      </c>
      <c r="B315" s="3">
        <v>13366</v>
      </c>
      <c r="C315" s="3">
        <v>4085</v>
      </c>
      <c r="D315" s="3" t="s">
        <v>18</v>
      </c>
      <c r="E315" s="3" t="s">
        <v>215</v>
      </c>
      <c r="F315" s="3">
        <v>10002</v>
      </c>
      <c r="G315" s="3" t="s">
        <v>32</v>
      </c>
      <c r="H315" s="3" t="s">
        <v>21</v>
      </c>
      <c r="I315" s="3">
        <v>0</v>
      </c>
      <c r="J315" s="3">
        <v>0</v>
      </c>
      <c r="K315" s="3">
        <v>0</v>
      </c>
      <c r="L315" s="3">
        <v>9500</v>
      </c>
      <c r="M315" s="3">
        <v>0</v>
      </c>
      <c r="N315" s="3">
        <v>0</v>
      </c>
    </row>
    <row r="316" spans="1:14" ht="14.4">
      <c r="A316" s="3">
        <v>13365</v>
      </c>
      <c r="B316" s="3">
        <v>13366</v>
      </c>
      <c r="C316" s="3">
        <v>4085</v>
      </c>
      <c r="D316" s="3" t="s">
        <v>18</v>
      </c>
      <c r="E316" s="3" t="s">
        <v>215</v>
      </c>
      <c r="F316" s="3">
        <v>10004</v>
      </c>
      <c r="G316" s="3" t="s">
        <v>32</v>
      </c>
      <c r="H316" s="3" t="s">
        <v>21</v>
      </c>
      <c r="I316" s="3">
        <v>65490</v>
      </c>
      <c r="J316" s="3">
        <v>26970</v>
      </c>
      <c r="K316" s="3">
        <v>38520</v>
      </c>
      <c r="L316" s="3">
        <v>0</v>
      </c>
      <c r="M316" s="3">
        <v>0</v>
      </c>
      <c r="N316" s="3">
        <v>0</v>
      </c>
    </row>
    <row r="317" spans="1:14" ht="14.4">
      <c r="A317" s="3">
        <v>13365</v>
      </c>
      <c r="B317" s="3">
        <v>13366</v>
      </c>
      <c r="C317" s="3">
        <v>4085</v>
      </c>
      <c r="D317" s="3" t="s">
        <v>18</v>
      </c>
      <c r="E317" s="3" t="s">
        <v>215</v>
      </c>
      <c r="F317" s="3">
        <v>10013</v>
      </c>
      <c r="G317" s="3" t="s">
        <v>32</v>
      </c>
      <c r="H317" s="3" t="s">
        <v>21</v>
      </c>
      <c r="I317" s="3">
        <v>365370</v>
      </c>
      <c r="J317" s="3">
        <v>148744</v>
      </c>
      <c r="K317" s="3">
        <v>216626</v>
      </c>
      <c r="L317" s="3">
        <v>226700</v>
      </c>
      <c r="M317" s="3">
        <v>0</v>
      </c>
      <c r="N317" s="3">
        <v>197100</v>
      </c>
    </row>
    <row r="318" spans="1:14" ht="14.4">
      <c r="A318" s="3">
        <v>13365</v>
      </c>
      <c r="B318" s="3">
        <v>13366</v>
      </c>
      <c r="C318" s="3">
        <v>4085</v>
      </c>
      <c r="D318" s="3" t="s">
        <v>18</v>
      </c>
      <c r="E318" s="3" t="s">
        <v>215</v>
      </c>
      <c r="F318" s="3">
        <v>10038</v>
      </c>
      <c r="G318" s="3" t="s">
        <v>32</v>
      </c>
      <c r="H318" s="3" t="s">
        <v>21</v>
      </c>
      <c r="I318" s="3">
        <v>802</v>
      </c>
      <c r="J318" s="3">
        <v>0</v>
      </c>
      <c r="K318" s="3">
        <v>802</v>
      </c>
      <c r="L318" s="3">
        <v>0</v>
      </c>
      <c r="M318" s="3">
        <v>0</v>
      </c>
      <c r="N318" s="3">
        <v>0</v>
      </c>
    </row>
    <row r="319" spans="1:14" ht="14.4">
      <c r="A319" s="3">
        <v>13365</v>
      </c>
      <c r="B319" s="3">
        <v>13366</v>
      </c>
      <c r="C319" s="3">
        <v>4085</v>
      </c>
      <c r="D319" s="3" t="s">
        <v>18</v>
      </c>
      <c r="E319" s="3" t="s">
        <v>216</v>
      </c>
      <c r="F319" s="3">
        <v>11378</v>
      </c>
      <c r="G319" s="3" t="s">
        <v>28</v>
      </c>
      <c r="H319" s="3" t="s">
        <v>21</v>
      </c>
      <c r="I319" s="3">
        <v>28100</v>
      </c>
      <c r="J319" s="3">
        <v>0</v>
      </c>
      <c r="K319" s="3">
        <v>28100</v>
      </c>
      <c r="L319" s="3">
        <v>70700</v>
      </c>
      <c r="M319" s="3">
        <v>0</v>
      </c>
      <c r="N319" s="3">
        <v>0</v>
      </c>
    </row>
    <row r="320" spans="1:14" ht="14.4">
      <c r="A320" s="3">
        <v>13365</v>
      </c>
      <c r="B320" s="3">
        <v>13366</v>
      </c>
      <c r="C320" s="3">
        <v>4085</v>
      </c>
      <c r="D320" s="3" t="s">
        <v>18</v>
      </c>
      <c r="E320" s="3" t="s">
        <v>216</v>
      </c>
      <c r="F320" s="3">
        <v>11385</v>
      </c>
      <c r="G320" s="3" t="s">
        <v>28</v>
      </c>
      <c r="H320" s="3" t="s">
        <v>21</v>
      </c>
      <c r="I320" s="3">
        <v>460076</v>
      </c>
      <c r="J320" s="3">
        <v>87532</v>
      </c>
      <c r="K320" s="3">
        <v>372544</v>
      </c>
      <c r="L320" s="3">
        <v>0</v>
      </c>
      <c r="M320" s="3">
        <v>0</v>
      </c>
      <c r="N320" s="3">
        <v>0</v>
      </c>
    </row>
    <row r="321" spans="1:14" ht="14.4">
      <c r="A321" s="3">
        <v>13365</v>
      </c>
      <c r="B321" s="3">
        <v>13366</v>
      </c>
      <c r="C321" s="3">
        <v>4085</v>
      </c>
      <c r="D321" s="3" t="s">
        <v>18</v>
      </c>
      <c r="E321" s="3" t="s">
        <v>217</v>
      </c>
      <c r="F321" s="3">
        <v>11758</v>
      </c>
      <c r="G321" s="3" t="s">
        <v>20</v>
      </c>
      <c r="H321" s="3" t="s">
        <v>21</v>
      </c>
      <c r="I321" s="3">
        <v>5469179</v>
      </c>
      <c r="J321" s="3">
        <v>3770449</v>
      </c>
      <c r="K321" s="3">
        <v>1698730</v>
      </c>
      <c r="L321" s="3">
        <v>2165400</v>
      </c>
      <c r="M321" s="3">
        <v>1132900</v>
      </c>
      <c r="N321" s="3">
        <v>549500</v>
      </c>
    </row>
    <row r="322" spans="1:14" ht="14.4">
      <c r="A322" s="3">
        <v>13365</v>
      </c>
      <c r="B322" s="3">
        <v>13366</v>
      </c>
      <c r="C322" s="3">
        <v>4085</v>
      </c>
      <c r="D322" s="3" t="s">
        <v>18</v>
      </c>
      <c r="E322" s="3" t="s">
        <v>217</v>
      </c>
      <c r="F322" s="3">
        <v>11783</v>
      </c>
      <c r="G322" s="3" t="s">
        <v>20</v>
      </c>
      <c r="H322" s="3" t="s">
        <v>21</v>
      </c>
      <c r="I322" s="3">
        <v>22313</v>
      </c>
      <c r="J322" s="3">
        <v>19513</v>
      </c>
      <c r="K322" s="3">
        <v>2800</v>
      </c>
      <c r="L322" s="3">
        <v>0</v>
      </c>
      <c r="M322" s="3">
        <v>0</v>
      </c>
      <c r="N322" s="3">
        <v>0</v>
      </c>
    </row>
    <row r="323" spans="1:14" ht="14.4">
      <c r="A323" s="3">
        <v>13365</v>
      </c>
      <c r="B323" s="3">
        <v>13366</v>
      </c>
      <c r="C323" s="3">
        <v>4085</v>
      </c>
      <c r="D323" s="3" t="s">
        <v>18</v>
      </c>
      <c r="E323" s="3" t="s">
        <v>218</v>
      </c>
      <c r="F323" s="3">
        <v>11762</v>
      </c>
      <c r="G323" s="3" t="s">
        <v>20</v>
      </c>
      <c r="H323" s="3" t="s">
        <v>21</v>
      </c>
      <c r="I323" s="3">
        <v>123378</v>
      </c>
      <c r="J323" s="3">
        <v>12632</v>
      </c>
      <c r="K323" s="3">
        <v>110746</v>
      </c>
      <c r="L323" s="3">
        <v>44000</v>
      </c>
      <c r="M323" s="3">
        <v>0</v>
      </c>
      <c r="N323" s="3">
        <v>0</v>
      </c>
    </row>
    <row r="324" spans="1:14" ht="14.4">
      <c r="A324" s="3">
        <v>13365</v>
      </c>
      <c r="B324" s="3">
        <v>13366</v>
      </c>
      <c r="C324" s="3">
        <v>4085</v>
      </c>
      <c r="D324" s="3" t="s">
        <v>18</v>
      </c>
      <c r="E324" s="3" t="s">
        <v>219</v>
      </c>
      <c r="F324" s="3">
        <v>11950</v>
      </c>
      <c r="G324" s="3" t="s">
        <v>23</v>
      </c>
      <c r="H324" s="3" t="s">
        <v>21</v>
      </c>
      <c r="I324" s="3">
        <v>50816</v>
      </c>
      <c r="J324" s="3">
        <v>39116</v>
      </c>
      <c r="K324" s="3">
        <v>11700</v>
      </c>
      <c r="L324" s="3">
        <v>1900</v>
      </c>
      <c r="M324" s="3">
        <v>0</v>
      </c>
      <c r="N324" s="3">
        <v>0</v>
      </c>
    </row>
    <row r="325" spans="1:14" ht="14.4">
      <c r="A325" s="3">
        <v>13365</v>
      </c>
      <c r="B325" s="3">
        <v>13366</v>
      </c>
      <c r="C325" s="3">
        <v>4085</v>
      </c>
      <c r="D325" s="3" t="s">
        <v>18</v>
      </c>
      <c r="E325" s="3" t="s">
        <v>220</v>
      </c>
      <c r="F325" s="3">
        <v>11951</v>
      </c>
      <c r="G325" s="3" t="s">
        <v>23</v>
      </c>
      <c r="H325" s="3" t="s">
        <v>21</v>
      </c>
      <c r="I325" s="3">
        <v>1387527</v>
      </c>
      <c r="J325" s="3">
        <v>1095019</v>
      </c>
      <c r="K325" s="3">
        <v>292508</v>
      </c>
      <c r="L325" s="3">
        <v>407500</v>
      </c>
      <c r="M325" s="3">
        <v>333400</v>
      </c>
      <c r="N325" s="3">
        <v>68400</v>
      </c>
    </row>
    <row r="326" spans="1:14" ht="14.4">
      <c r="A326" s="3">
        <v>13365</v>
      </c>
      <c r="B326" s="3">
        <v>13366</v>
      </c>
      <c r="C326" s="3">
        <v>4085</v>
      </c>
      <c r="D326" s="3" t="s">
        <v>18</v>
      </c>
      <c r="E326" s="3" t="s">
        <v>221</v>
      </c>
      <c r="F326" s="3">
        <v>11952</v>
      </c>
      <c r="G326" s="3" t="s">
        <v>23</v>
      </c>
      <c r="H326" s="3" t="s">
        <v>21</v>
      </c>
      <c r="I326" s="3">
        <v>687182</v>
      </c>
      <c r="J326" s="3">
        <v>552079</v>
      </c>
      <c r="K326" s="3">
        <v>135103</v>
      </c>
      <c r="L326" s="3">
        <v>221300</v>
      </c>
      <c r="M326" s="3">
        <v>215400</v>
      </c>
      <c r="N326" s="3">
        <v>5900</v>
      </c>
    </row>
    <row r="327" spans="1:14" ht="14.4">
      <c r="A327" s="3">
        <v>13365</v>
      </c>
      <c r="B327" s="3">
        <v>13366</v>
      </c>
      <c r="C327" s="3">
        <v>4085</v>
      </c>
      <c r="D327" s="3" t="s">
        <v>18</v>
      </c>
      <c r="E327" s="3" t="s">
        <v>222</v>
      </c>
      <c r="F327" s="3">
        <v>11763</v>
      </c>
      <c r="G327" s="3" t="s">
        <v>23</v>
      </c>
      <c r="H327" s="3" t="s">
        <v>21</v>
      </c>
      <c r="I327" s="3">
        <v>47622</v>
      </c>
      <c r="J327" s="3">
        <v>45900</v>
      </c>
      <c r="K327" s="3">
        <v>1722</v>
      </c>
      <c r="L327" s="3">
        <v>0</v>
      </c>
      <c r="M327" s="3">
        <v>0</v>
      </c>
      <c r="N327" s="3">
        <v>0</v>
      </c>
    </row>
    <row r="328" spans="1:14" ht="14.4">
      <c r="A328" s="3">
        <v>13365</v>
      </c>
      <c r="B328" s="3">
        <v>13366</v>
      </c>
      <c r="C328" s="3">
        <v>4085</v>
      </c>
      <c r="D328" s="3" t="s">
        <v>18</v>
      </c>
      <c r="E328" s="3" t="s">
        <v>223</v>
      </c>
      <c r="F328" s="3">
        <v>11747</v>
      </c>
      <c r="G328" s="3" t="s">
        <v>23</v>
      </c>
      <c r="H328" s="3" t="s">
        <v>21</v>
      </c>
      <c r="I328" s="3">
        <v>4780</v>
      </c>
      <c r="J328" s="3">
        <v>0</v>
      </c>
      <c r="K328" s="3">
        <v>4780</v>
      </c>
      <c r="L328" s="3">
        <v>280900</v>
      </c>
      <c r="M328" s="3">
        <v>0</v>
      </c>
      <c r="N328" s="3">
        <v>4800</v>
      </c>
    </row>
    <row r="329" spans="1:14" ht="14.4">
      <c r="A329" s="3">
        <v>13365</v>
      </c>
      <c r="B329" s="3">
        <v>13366</v>
      </c>
      <c r="C329" s="3">
        <v>4085</v>
      </c>
      <c r="D329" s="3" t="s">
        <v>18</v>
      </c>
      <c r="E329" s="3" t="s">
        <v>223</v>
      </c>
      <c r="F329" s="3">
        <v>11757</v>
      </c>
      <c r="G329" s="3" t="s">
        <v>23</v>
      </c>
      <c r="H329" s="3" t="s">
        <v>21</v>
      </c>
      <c r="I329" s="3">
        <v>0</v>
      </c>
      <c r="J329" s="3">
        <v>0</v>
      </c>
      <c r="K329" s="3">
        <v>0</v>
      </c>
      <c r="L329" s="3">
        <v>63100</v>
      </c>
      <c r="M329" s="3">
        <v>0</v>
      </c>
      <c r="N329" s="3">
        <v>0</v>
      </c>
    </row>
    <row r="330" spans="1:14" ht="14.4">
      <c r="A330" s="3">
        <v>13365</v>
      </c>
      <c r="B330" s="3">
        <v>13366</v>
      </c>
      <c r="C330" s="3">
        <v>4085</v>
      </c>
      <c r="D330" s="3" t="s">
        <v>18</v>
      </c>
      <c r="E330" s="3" t="s">
        <v>223</v>
      </c>
      <c r="F330" s="3">
        <v>11775</v>
      </c>
      <c r="G330" s="3" t="s">
        <v>23</v>
      </c>
      <c r="H330" s="3" t="s">
        <v>21</v>
      </c>
      <c r="I330" s="3">
        <v>30847</v>
      </c>
      <c r="J330" s="3">
        <v>10022</v>
      </c>
      <c r="K330" s="3">
        <v>20825</v>
      </c>
      <c r="L330" s="3">
        <v>0</v>
      </c>
      <c r="M330" s="3">
        <v>0</v>
      </c>
      <c r="N330" s="3">
        <v>0</v>
      </c>
    </row>
    <row r="331" spans="1:14" ht="14.4">
      <c r="A331" s="3">
        <v>13365</v>
      </c>
      <c r="B331" s="3">
        <v>13366</v>
      </c>
      <c r="C331" s="3">
        <v>4085</v>
      </c>
      <c r="D331" s="3" t="s">
        <v>18</v>
      </c>
      <c r="E331" s="3" t="s">
        <v>224</v>
      </c>
      <c r="F331" s="3">
        <v>11566</v>
      </c>
      <c r="G331" s="3" t="s">
        <v>20</v>
      </c>
      <c r="H331" s="3" t="s">
        <v>21</v>
      </c>
      <c r="I331" s="3">
        <v>7376492</v>
      </c>
      <c r="J331" s="3">
        <v>5862286</v>
      </c>
      <c r="K331" s="3">
        <v>1514206</v>
      </c>
      <c r="L331" s="3">
        <v>4088900</v>
      </c>
      <c r="M331" s="3">
        <v>3086200</v>
      </c>
      <c r="N331" s="3">
        <v>835800</v>
      </c>
    </row>
    <row r="332" spans="1:14" ht="14.4">
      <c r="A332" s="3">
        <v>13365</v>
      </c>
      <c r="B332" s="3">
        <v>13366</v>
      </c>
      <c r="C332" s="3">
        <v>4085</v>
      </c>
      <c r="D332" s="3" t="s">
        <v>18</v>
      </c>
      <c r="E332" s="3" t="s">
        <v>224</v>
      </c>
      <c r="F332" s="3">
        <v>11568</v>
      </c>
      <c r="G332" s="3" t="s">
        <v>20</v>
      </c>
      <c r="H332" s="3" t="s">
        <v>21</v>
      </c>
      <c r="I332" s="3">
        <v>151473</v>
      </c>
      <c r="J332" s="3">
        <v>151473</v>
      </c>
      <c r="K332" s="3">
        <v>0</v>
      </c>
      <c r="L332" s="3">
        <v>111500</v>
      </c>
      <c r="M332" s="3">
        <v>111500</v>
      </c>
      <c r="N332" s="3">
        <v>0</v>
      </c>
    </row>
    <row r="333" spans="1:14" ht="14.4">
      <c r="A333" s="3">
        <v>13365</v>
      </c>
      <c r="B333" s="3">
        <v>13366</v>
      </c>
      <c r="C333" s="3">
        <v>4085</v>
      </c>
      <c r="D333" s="3" t="s">
        <v>18</v>
      </c>
      <c r="E333" s="3" t="s">
        <v>225</v>
      </c>
      <c r="F333" s="3">
        <v>11953</v>
      </c>
      <c r="G333" s="3" t="s">
        <v>23</v>
      </c>
      <c r="H333" s="3" t="s">
        <v>21</v>
      </c>
      <c r="I333" s="3">
        <v>112014</v>
      </c>
      <c r="J333" s="3">
        <v>75406</v>
      </c>
      <c r="K333" s="3">
        <v>36608</v>
      </c>
      <c r="L333" s="3">
        <v>0</v>
      </c>
      <c r="M333" s="3">
        <v>0</v>
      </c>
      <c r="N333" s="3">
        <v>0</v>
      </c>
    </row>
    <row r="334" spans="1:14" ht="14.4">
      <c r="A334" s="3">
        <v>13365</v>
      </c>
      <c r="B334" s="3">
        <v>13366</v>
      </c>
      <c r="C334" s="3">
        <v>4085</v>
      </c>
      <c r="D334" s="3" t="s">
        <v>18</v>
      </c>
      <c r="E334" s="3" t="s">
        <v>226</v>
      </c>
      <c r="F334" s="3">
        <v>10940</v>
      </c>
      <c r="G334" s="3" t="s">
        <v>51</v>
      </c>
      <c r="H334" s="3" t="s">
        <v>21</v>
      </c>
      <c r="I334" s="3">
        <v>11429</v>
      </c>
      <c r="J334" s="3">
        <v>11429</v>
      </c>
      <c r="K334" s="3">
        <v>0</v>
      </c>
      <c r="L334" s="3">
        <v>5500</v>
      </c>
      <c r="M334" s="3">
        <v>5500</v>
      </c>
      <c r="N334" s="3">
        <v>0</v>
      </c>
    </row>
    <row r="335" spans="1:14" ht="14.4">
      <c r="A335" s="3">
        <v>13365</v>
      </c>
      <c r="B335" s="3">
        <v>13366</v>
      </c>
      <c r="C335" s="3">
        <v>4085</v>
      </c>
      <c r="D335" s="3" t="s">
        <v>18</v>
      </c>
      <c r="E335" s="3" t="s">
        <v>226</v>
      </c>
      <c r="F335" s="3">
        <v>10941</v>
      </c>
      <c r="G335" s="3" t="s">
        <v>51</v>
      </c>
      <c r="H335" s="3" t="s">
        <v>21</v>
      </c>
      <c r="I335" s="3">
        <v>7500</v>
      </c>
      <c r="J335" s="3">
        <v>0</v>
      </c>
      <c r="K335" s="3">
        <v>7500</v>
      </c>
      <c r="L335" s="3">
        <v>0</v>
      </c>
      <c r="M335" s="3">
        <v>0</v>
      </c>
      <c r="N335" s="3">
        <v>0</v>
      </c>
    </row>
    <row r="336" spans="1:14" ht="14.4">
      <c r="A336" s="3">
        <v>13365</v>
      </c>
      <c r="B336" s="3">
        <v>13366</v>
      </c>
      <c r="C336" s="3">
        <v>4085</v>
      </c>
      <c r="D336" s="3" t="s">
        <v>18</v>
      </c>
      <c r="E336" s="3" t="s">
        <v>227</v>
      </c>
      <c r="F336" s="3">
        <v>11764</v>
      </c>
      <c r="G336" s="3" t="s">
        <v>23</v>
      </c>
      <c r="H336" s="3" t="s">
        <v>21</v>
      </c>
      <c r="I336" s="3">
        <v>6008</v>
      </c>
      <c r="J336" s="3">
        <v>0</v>
      </c>
      <c r="K336" s="3">
        <v>6008</v>
      </c>
      <c r="L336" s="3">
        <v>0</v>
      </c>
      <c r="M336" s="3">
        <v>0</v>
      </c>
      <c r="N336" s="3">
        <v>0</v>
      </c>
    </row>
    <row r="337" spans="1:14" ht="14.4">
      <c r="A337" s="3">
        <v>13365</v>
      </c>
      <c r="B337" s="3">
        <v>13366</v>
      </c>
      <c r="C337" s="3">
        <v>4085</v>
      </c>
      <c r="D337" s="3" t="s">
        <v>18</v>
      </c>
      <c r="E337" s="3" t="s">
        <v>228</v>
      </c>
      <c r="F337" s="3">
        <v>11501</v>
      </c>
      <c r="G337" s="3" t="s">
        <v>20</v>
      </c>
      <c r="H337" s="3" t="s">
        <v>21</v>
      </c>
      <c r="I337" s="3">
        <v>138299</v>
      </c>
      <c r="J337" s="3">
        <v>115449</v>
      </c>
      <c r="K337" s="3">
        <v>22850</v>
      </c>
      <c r="L337" s="3">
        <v>139200</v>
      </c>
      <c r="M337" s="3">
        <v>0</v>
      </c>
      <c r="N337" s="3">
        <v>0</v>
      </c>
    </row>
    <row r="338" spans="1:14" ht="14.4">
      <c r="A338" s="3">
        <v>13365</v>
      </c>
      <c r="B338" s="3">
        <v>13366</v>
      </c>
      <c r="C338" s="3">
        <v>4085</v>
      </c>
      <c r="D338" s="3" t="s">
        <v>18</v>
      </c>
      <c r="E338" s="3" t="s">
        <v>229</v>
      </c>
      <c r="F338" s="3">
        <v>10950</v>
      </c>
      <c r="G338" s="3" t="s">
        <v>51</v>
      </c>
      <c r="H338" s="3" t="s">
        <v>21</v>
      </c>
      <c r="I338" s="3">
        <v>196569</v>
      </c>
      <c r="J338" s="3">
        <v>195569</v>
      </c>
      <c r="K338" s="3">
        <v>1000</v>
      </c>
      <c r="L338" s="3">
        <v>0</v>
      </c>
      <c r="M338" s="3">
        <v>0</v>
      </c>
      <c r="N338" s="3">
        <v>0</v>
      </c>
    </row>
    <row r="339" spans="1:14" ht="14.4">
      <c r="A339" s="3">
        <v>13365</v>
      </c>
      <c r="B339" s="3">
        <v>13366</v>
      </c>
      <c r="C339" s="3">
        <v>4085</v>
      </c>
      <c r="D339" s="3" t="s">
        <v>18</v>
      </c>
      <c r="E339" s="3" t="s">
        <v>230</v>
      </c>
      <c r="F339" s="3">
        <v>10952</v>
      </c>
      <c r="G339" s="3" t="s">
        <v>85</v>
      </c>
      <c r="H339" s="3" t="s">
        <v>21</v>
      </c>
      <c r="I339" s="3">
        <v>120576</v>
      </c>
      <c r="J339" s="3">
        <v>11876</v>
      </c>
      <c r="K339" s="3">
        <v>108700</v>
      </c>
      <c r="L339" s="3">
        <v>164700</v>
      </c>
      <c r="M339" s="3">
        <v>0</v>
      </c>
      <c r="N339" s="3">
        <v>98700</v>
      </c>
    </row>
    <row r="340" spans="1:14" ht="14.4">
      <c r="A340" s="3">
        <v>13365</v>
      </c>
      <c r="B340" s="3">
        <v>13366</v>
      </c>
      <c r="C340" s="3">
        <v>4085</v>
      </c>
      <c r="D340" s="3" t="s">
        <v>18</v>
      </c>
      <c r="E340" s="3" t="s">
        <v>231</v>
      </c>
      <c r="F340" s="3">
        <v>11954</v>
      </c>
      <c r="G340" s="3" t="s">
        <v>23</v>
      </c>
      <c r="H340" s="3" t="s">
        <v>21</v>
      </c>
      <c r="I340" s="3">
        <v>947541</v>
      </c>
      <c r="J340" s="3">
        <v>902046</v>
      </c>
      <c r="K340" s="3">
        <v>45495</v>
      </c>
      <c r="L340" s="3">
        <v>596600</v>
      </c>
      <c r="M340" s="3">
        <v>463800</v>
      </c>
      <c r="N340" s="3">
        <v>31200</v>
      </c>
    </row>
    <row r="341" spans="1:14" ht="14.4">
      <c r="A341" s="3">
        <v>13365</v>
      </c>
      <c r="B341" s="3">
        <v>13366</v>
      </c>
      <c r="C341" s="3">
        <v>4085</v>
      </c>
      <c r="D341" s="3" t="s">
        <v>18</v>
      </c>
      <c r="E341" s="3" t="s">
        <v>232</v>
      </c>
      <c r="F341" s="3">
        <v>12549</v>
      </c>
      <c r="G341" s="3" t="s">
        <v>51</v>
      </c>
      <c r="H341" s="3" t="s">
        <v>21</v>
      </c>
      <c r="I341" s="3">
        <v>110</v>
      </c>
      <c r="J341" s="3">
        <v>0</v>
      </c>
      <c r="K341" s="3">
        <v>110</v>
      </c>
      <c r="L341" s="3">
        <v>0</v>
      </c>
      <c r="M341" s="3">
        <v>0</v>
      </c>
      <c r="N341" s="3">
        <v>0</v>
      </c>
    </row>
    <row r="342" spans="1:14" ht="14.4">
      <c r="A342" s="3">
        <v>13365</v>
      </c>
      <c r="B342" s="3">
        <v>13366</v>
      </c>
      <c r="C342" s="3">
        <v>4085</v>
      </c>
      <c r="D342" s="3" t="s">
        <v>18</v>
      </c>
      <c r="E342" s="3" t="s">
        <v>233</v>
      </c>
      <c r="F342" s="3">
        <v>11955</v>
      </c>
      <c r="G342" s="3" t="s">
        <v>23</v>
      </c>
      <c r="H342" s="3" t="s">
        <v>21</v>
      </c>
      <c r="I342" s="3">
        <v>102723</v>
      </c>
      <c r="J342" s="3">
        <v>43223</v>
      </c>
      <c r="K342" s="3">
        <v>59500</v>
      </c>
      <c r="L342" s="3">
        <v>0</v>
      </c>
      <c r="M342" s="3">
        <v>0</v>
      </c>
      <c r="N342" s="3">
        <v>0</v>
      </c>
    </row>
    <row r="343" spans="1:14" ht="14.4">
      <c r="A343" s="3">
        <v>13365</v>
      </c>
      <c r="B343" s="3">
        <v>13366</v>
      </c>
      <c r="C343" s="3">
        <v>4085</v>
      </c>
      <c r="D343" s="3" t="s">
        <v>18</v>
      </c>
      <c r="E343" s="3" t="s">
        <v>234</v>
      </c>
      <c r="F343" s="3">
        <v>10549</v>
      </c>
      <c r="G343" s="3" t="s">
        <v>64</v>
      </c>
      <c r="H343" s="3" t="s">
        <v>21</v>
      </c>
      <c r="I343" s="3">
        <v>0</v>
      </c>
      <c r="J343" s="3">
        <v>0</v>
      </c>
      <c r="K343" s="3">
        <v>0</v>
      </c>
      <c r="L343" s="3">
        <v>8300</v>
      </c>
      <c r="M343" s="3">
        <v>0</v>
      </c>
      <c r="N343" s="3">
        <v>0</v>
      </c>
    </row>
    <row r="344" spans="1:14" ht="14.4">
      <c r="A344" s="3">
        <v>13365</v>
      </c>
      <c r="B344" s="3">
        <v>13366</v>
      </c>
      <c r="C344" s="3">
        <v>4085</v>
      </c>
      <c r="D344" s="3" t="s">
        <v>18</v>
      </c>
      <c r="E344" s="3" t="s">
        <v>235</v>
      </c>
      <c r="F344" s="3">
        <v>10550</v>
      </c>
      <c r="G344" s="3" t="s">
        <v>64</v>
      </c>
      <c r="H344" s="3" t="s">
        <v>21</v>
      </c>
      <c r="I344" s="3">
        <v>27230</v>
      </c>
      <c r="J344" s="3">
        <v>25870</v>
      </c>
      <c r="K344" s="3">
        <v>1360</v>
      </c>
      <c r="L344" s="3">
        <v>25900</v>
      </c>
      <c r="M344" s="3">
        <v>25900</v>
      </c>
      <c r="N344" s="3">
        <v>0</v>
      </c>
    </row>
    <row r="345" spans="1:14" ht="14.4">
      <c r="A345" s="3">
        <v>13365</v>
      </c>
      <c r="B345" s="3">
        <v>13366</v>
      </c>
      <c r="C345" s="3">
        <v>4085</v>
      </c>
      <c r="D345" s="3" t="s">
        <v>18</v>
      </c>
      <c r="E345" s="3" t="s">
        <v>236</v>
      </c>
      <c r="F345" s="3">
        <v>10954</v>
      </c>
      <c r="G345" s="3" t="s">
        <v>85</v>
      </c>
      <c r="H345" s="3" t="s">
        <v>21</v>
      </c>
      <c r="I345" s="3">
        <v>624593</v>
      </c>
      <c r="J345" s="3">
        <v>620993</v>
      </c>
      <c r="K345" s="3">
        <v>3600</v>
      </c>
      <c r="L345" s="3">
        <v>4100</v>
      </c>
      <c r="M345" s="3">
        <v>4100</v>
      </c>
      <c r="N345" s="3">
        <v>0</v>
      </c>
    </row>
    <row r="346" spans="1:14" ht="14.4">
      <c r="A346" s="3">
        <v>13365</v>
      </c>
      <c r="B346" s="3">
        <v>13366</v>
      </c>
      <c r="C346" s="3">
        <v>4085</v>
      </c>
      <c r="D346" s="3" t="s">
        <v>18</v>
      </c>
      <c r="E346" s="3" t="s">
        <v>237</v>
      </c>
      <c r="F346" s="3">
        <v>10005</v>
      </c>
      <c r="G346" s="3" t="s">
        <v>32</v>
      </c>
      <c r="H346" s="3" t="s">
        <v>21</v>
      </c>
      <c r="I346" s="3">
        <v>380886</v>
      </c>
      <c r="J346" s="3">
        <v>184736</v>
      </c>
      <c r="K346" s="3">
        <v>196150</v>
      </c>
      <c r="L346" s="3">
        <v>164200</v>
      </c>
      <c r="M346" s="3">
        <v>0</v>
      </c>
      <c r="N346" s="3">
        <v>164200</v>
      </c>
    </row>
    <row r="347" spans="1:14" ht="14.4">
      <c r="A347" s="3">
        <v>13365</v>
      </c>
      <c r="B347" s="3">
        <v>13366</v>
      </c>
      <c r="C347" s="3">
        <v>4085</v>
      </c>
      <c r="D347" s="3" t="s">
        <v>18</v>
      </c>
      <c r="E347" s="3" t="s">
        <v>238</v>
      </c>
      <c r="F347" s="3">
        <v>10013</v>
      </c>
      <c r="G347" s="3" t="s">
        <v>32</v>
      </c>
      <c r="H347" s="3" t="s">
        <v>21</v>
      </c>
      <c r="I347" s="3">
        <v>5000</v>
      </c>
      <c r="J347" s="3">
        <v>0</v>
      </c>
      <c r="K347" s="3">
        <v>5000</v>
      </c>
      <c r="L347" s="3">
        <v>0</v>
      </c>
      <c r="M347" s="3">
        <v>0</v>
      </c>
      <c r="N347" s="3">
        <v>0</v>
      </c>
    </row>
    <row r="348" spans="1:14" ht="14.4">
      <c r="A348" s="3">
        <v>13365</v>
      </c>
      <c r="B348" s="3">
        <v>13366</v>
      </c>
      <c r="C348" s="3">
        <v>4085</v>
      </c>
      <c r="D348" s="3" t="s">
        <v>18</v>
      </c>
      <c r="E348" s="3" t="s">
        <v>239</v>
      </c>
      <c r="F348" s="3">
        <v>11694</v>
      </c>
      <c r="G348" s="3" t="s">
        <v>28</v>
      </c>
      <c r="H348" s="3" t="s">
        <v>21</v>
      </c>
      <c r="I348" s="3">
        <v>1701530</v>
      </c>
      <c r="J348" s="3">
        <v>1331760</v>
      </c>
      <c r="K348" s="3">
        <v>369770</v>
      </c>
      <c r="L348" s="3">
        <v>61400</v>
      </c>
      <c r="M348" s="3">
        <v>49200</v>
      </c>
      <c r="N348" s="3">
        <v>7000</v>
      </c>
    </row>
    <row r="349" spans="1:14" ht="14.4">
      <c r="A349" s="3">
        <v>13365</v>
      </c>
      <c r="B349" s="3">
        <v>13366</v>
      </c>
      <c r="C349" s="3">
        <v>4085</v>
      </c>
      <c r="D349" s="3" t="s">
        <v>18</v>
      </c>
      <c r="E349" s="3" t="s">
        <v>240</v>
      </c>
      <c r="F349" s="3">
        <v>10012</v>
      </c>
      <c r="G349" s="3" t="s">
        <v>32</v>
      </c>
      <c r="H349" s="3" t="s">
        <v>21</v>
      </c>
      <c r="I349" s="3">
        <v>11431</v>
      </c>
      <c r="J349" s="3">
        <v>8831</v>
      </c>
      <c r="K349" s="3">
        <v>2600</v>
      </c>
      <c r="L349" s="3">
        <v>0</v>
      </c>
      <c r="M349" s="3">
        <v>0</v>
      </c>
      <c r="N349" s="3">
        <v>0</v>
      </c>
    </row>
    <row r="350" spans="1:14" ht="14.4">
      <c r="A350" s="3">
        <v>13365</v>
      </c>
      <c r="B350" s="3">
        <v>13366</v>
      </c>
      <c r="C350" s="3">
        <v>4085</v>
      </c>
      <c r="D350" s="3" t="s">
        <v>18</v>
      </c>
      <c r="E350" s="3" t="s">
        <v>241</v>
      </c>
      <c r="F350" s="3">
        <v>10956</v>
      </c>
      <c r="G350" s="3" t="s">
        <v>85</v>
      </c>
      <c r="H350" s="3" t="s">
        <v>21</v>
      </c>
      <c r="I350" s="3">
        <v>59305</v>
      </c>
      <c r="J350" s="3">
        <v>59305</v>
      </c>
      <c r="K350" s="3">
        <v>0</v>
      </c>
      <c r="L350" s="3">
        <v>0</v>
      </c>
      <c r="M350" s="3">
        <v>0</v>
      </c>
      <c r="N350" s="3">
        <v>0</v>
      </c>
    </row>
    <row r="351" spans="1:14" ht="14.4">
      <c r="A351" s="3">
        <v>13365</v>
      </c>
      <c r="B351" s="3">
        <v>13366</v>
      </c>
      <c r="C351" s="3">
        <v>4085</v>
      </c>
      <c r="D351" s="3" t="s">
        <v>18</v>
      </c>
      <c r="E351" s="3" t="s">
        <v>242</v>
      </c>
      <c r="F351" s="3">
        <v>11040</v>
      </c>
      <c r="G351" s="3" t="s">
        <v>20</v>
      </c>
      <c r="H351" s="3" t="s">
        <v>21</v>
      </c>
      <c r="I351" s="3">
        <v>62787</v>
      </c>
      <c r="J351" s="3">
        <v>44819</v>
      </c>
      <c r="K351" s="3">
        <v>17968</v>
      </c>
      <c r="L351" s="3">
        <v>24100</v>
      </c>
      <c r="M351" s="3">
        <v>0</v>
      </c>
      <c r="N351" s="3">
        <v>0</v>
      </c>
    </row>
    <row r="352" spans="1:14" ht="14.4">
      <c r="A352" s="3">
        <v>13365</v>
      </c>
      <c r="B352" s="3">
        <v>13366</v>
      </c>
      <c r="C352" s="3">
        <v>4085</v>
      </c>
      <c r="D352" s="3" t="s">
        <v>18</v>
      </c>
      <c r="E352" s="3" t="s">
        <v>243</v>
      </c>
      <c r="F352" s="3">
        <v>10002</v>
      </c>
      <c r="G352" s="3" t="s">
        <v>32</v>
      </c>
      <c r="H352" s="3" t="s">
        <v>21</v>
      </c>
      <c r="I352" s="3">
        <v>8575</v>
      </c>
      <c r="J352" s="3">
        <v>0</v>
      </c>
      <c r="K352" s="3">
        <v>8575</v>
      </c>
      <c r="L352" s="3">
        <v>0</v>
      </c>
      <c r="M352" s="3">
        <v>0</v>
      </c>
      <c r="N352" s="3">
        <v>0</v>
      </c>
    </row>
    <row r="353" spans="1:14" ht="14.4">
      <c r="A353" s="3">
        <v>13365</v>
      </c>
      <c r="B353" s="3">
        <v>13366</v>
      </c>
      <c r="C353" s="3">
        <v>4085</v>
      </c>
      <c r="D353" s="3" t="s">
        <v>18</v>
      </c>
      <c r="E353" s="3" t="s">
        <v>244</v>
      </c>
      <c r="F353" s="3">
        <v>10801</v>
      </c>
      <c r="G353" s="3" t="s">
        <v>64</v>
      </c>
      <c r="H353" s="3" t="s">
        <v>21</v>
      </c>
      <c r="I353" s="3">
        <v>304298</v>
      </c>
      <c r="J353" s="3">
        <v>189392</v>
      </c>
      <c r="K353" s="3">
        <v>114906</v>
      </c>
      <c r="L353" s="3">
        <v>245300</v>
      </c>
      <c r="M353" s="3">
        <v>99700</v>
      </c>
      <c r="N353" s="3">
        <v>69300</v>
      </c>
    </row>
    <row r="354" spans="1:14" ht="14.4">
      <c r="A354" s="3">
        <v>13365</v>
      </c>
      <c r="B354" s="3">
        <v>13366</v>
      </c>
      <c r="C354" s="3">
        <v>4085</v>
      </c>
      <c r="D354" s="3" t="s">
        <v>18</v>
      </c>
      <c r="E354" s="3" t="s">
        <v>244</v>
      </c>
      <c r="F354" s="3">
        <v>10803</v>
      </c>
      <c r="G354" s="3" t="s">
        <v>64</v>
      </c>
      <c r="H354" s="3" t="s">
        <v>21</v>
      </c>
      <c r="I354" s="3">
        <v>198650</v>
      </c>
      <c r="J354" s="3">
        <v>198650</v>
      </c>
      <c r="K354" s="3">
        <v>0</v>
      </c>
      <c r="L354" s="3">
        <v>0</v>
      </c>
      <c r="M354" s="3">
        <v>0</v>
      </c>
      <c r="N354" s="3">
        <v>0</v>
      </c>
    </row>
    <row r="355" spans="1:14" ht="14.4">
      <c r="A355" s="3">
        <v>13365</v>
      </c>
      <c r="B355" s="3">
        <v>13366</v>
      </c>
      <c r="C355" s="3">
        <v>4085</v>
      </c>
      <c r="D355" s="3" t="s">
        <v>18</v>
      </c>
      <c r="E355" s="3" t="s">
        <v>244</v>
      </c>
      <c r="F355" s="3">
        <v>10805</v>
      </c>
      <c r="G355" s="3" t="s">
        <v>64</v>
      </c>
      <c r="H355" s="3" t="s">
        <v>21</v>
      </c>
      <c r="I355" s="3">
        <v>734098</v>
      </c>
      <c r="J355" s="3">
        <v>720298</v>
      </c>
      <c r="K355" s="3">
        <v>13800</v>
      </c>
      <c r="L355" s="3">
        <v>71700</v>
      </c>
      <c r="M355" s="3">
        <v>70200</v>
      </c>
      <c r="N355" s="3">
        <v>1500</v>
      </c>
    </row>
    <row r="356" spans="1:14" ht="14.4">
      <c r="A356" s="3">
        <v>13365</v>
      </c>
      <c r="B356" s="3">
        <v>13366</v>
      </c>
      <c r="C356" s="3">
        <v>4085</v>
      </c>
      <c r="D356" s="3" t="s">
        <v>18</v>
      </c>
      <c r="E356" s="3" t="s">
        <v>245</v>
      </c>
      <c r="F356" s="3">
        <v>11956</v>
      </c>
      <c r="G356" s="3" t="s">
        <v>23</v>
      </c>
      <c r="H356" s="3" t="s">
        <v>21</v>
      </c>
      <c r="I356" s="3">
        <v>1221808</v>
      </c>
      <c r="J356" s="3">
        <v>1088525</v>
      </c>
      <c r="K356" s="3">
        <v>133283</v>
      </c>
      <c r="L356" s="3">
        <v>1435700</v>
      </c>
      <c r="M356" s="3">
        <v>1072300</v>
      </c>
      <c r="N356" s="3">
        <v>133300</v>
      </c>
    </row>
    <row r="357" spans="1:14" ht="14.4">
      <c r="A357" s="3">
        <v>13365</v>
      </c>
      <c r="B357" s="3">
        <v>13366</v>
      </c>
      <c r="C357" s="3">
        <v>4085</v>
      </c>
      <c r="D357" s="3" t="s">
        <v>18</v>
      </c>
      <c r="E357" s="3" t="s">
        <v>246</v>
      </c>
      <c r="F357" s="3">
        <v>10038</v>
      </c>
      <c r="G357" s="3" t="s">
        <v>32</v>
      </c>
      <c r="H357" s="3" t="s">
        <v>21</v>
      </c>
      <c r="I357" s="3">
        <v>4050</v>
      </c>
      <c r="J357" s="3">
        <v>0</v>
      </c>
      <c r="K357" s="3">
        <v>4050</v>
      </c>
      <c r="L357" s="3">
        <v>0</v>
      </c>
      <c r="M357" s="3">
        <v>0</v>
      </c>
      <c r="N357" s="3">
        <v>0</v>
      </c>
    </row>
    <row r="358" spans="1:14" ht="14.4">
      <c r="A358" s="3">
        <v>13365</v>
      </c>
      <c r="B358" s="3">
        <v>13366</v>
      </c>
      <c r="C358" s="3">
        <v>4085</v>
      </c>
      <c r="D358" s="3" t="s">
        <v>18</v>
      </c>
      <c r="E358" s="3" t="s">
        <v>32</v>
      </c>
      <c r="F358" s="3">
        <v>10454</v>
      </c>
      <c r="G358" s="3" t="s">
        <v>61</v>
      </c>
      <c r="H358" s="3" t="s">
        <v>21</v>
      </c>
      <c r="I358" s="3">
        <v>240528</v>
      </c>
      <c r="J358" s="3">
        <v>207241</v>
      </c>
      <c r="K358" s="3">
        <v>33287</v>
      </c>
      <c r="L358" s="3">
        <v>21300</v>
      </c>
      <c r="M358" s="3">
        <v>0</v>
      </c>
      <c r="N358" s="3">
        <v>21300</v>
      </c>
    </row>
    <row r="359" spans="1:14" ht="14.4">
      <c r="A359" s="3">
        <v>13365</v>
      </c>
      <c r="B359" s="3">
        <v>13366</v>
      </c>
      <c r="C359" s="3">
        <v>4085</v>
      </c>
      <c r="D359" s="3" t="s">
        <v>18</v>
      </c>
      <c r="E359" s="3" t="s">
        <v>32</v>
      </c>
      <c r="F359" s="3">
        <v>10005</v>
      </c>
      <c r="G359" s="3" t="s">
        <v>43</v>
      </c>
      <c r="H359" s="3" t="s">
        <v>21</v>
      </c>
      <c r="I359" s="3">
        <v>307572</v>
      </c>
      <c r="J359" s="3">
        <v>11426</v>
      </c>
      <c r="K359" s="3">
        <v>296146</v>
      </c>
      <c r="L359" s="3">
        <v>600000</v>
      </c>
      <c r="M359" s="3">
        <v>0</v>
      </c>
      <c r="N359" s="3">
        <v>254200</v>
      </c>
    </row>
    <row r="360" spans="1:14" ht="14.4">
      <c r="A360" s="3">
        <v>13365</v>
      </c>
      <c r="B360" s="3">
        <v>13366</v>
      </c>
      <c r="C360" s="3">
        <v>4085</v>
      </c>
      <c r="D360" s="3" t="s">
        <v>18</v>
      </c>
      <c r="E360" s="3" t="s">
        <v>32</v>
      </c>
      <c r="F360" s="3">
        <v>10009</v>
      </c>
      <c r="G360" s="3" t="s">
        <v>43</v>
      </c>
      <c r="H360" s="3" t="s">
        <v>21</v>
      </c>
      <c r="I360" s="3">
        <v>61483</v>
      </c>
      <c r="J360" s="3">
        <v>28143</v>
      </c>
      <c r="K360" s="3">
        <v>33340</v>
      </c>
      <c r="L360" s="3">
        <v>0</v>
      </c>
      <c r="M360" s="3">
        <v>0</v>
      </c>
      <c r="N360" s="3">
        <v>0</v>
      </c>
    </row>
    <row r="361" spans="1:14" ht="14.4">
      <c r="A361" s="3">
        <v>13365</v>
      </c>
      <c r="B361" s="3">
        <v>13366</v>
      </c>
      <c r="C361" s="3">
        <v>4085</v>
      </c>
      <c r="D361" s="3" t="s">
        <v>18</v>
      </c>
      <c r="E361" s="3" t="s">
        <v>32</v>
      </c>
      <c r="F361" s="3">
        <v>10014</v>
      </c>
      <c r="G361" s="3" t="s">
        <v>43</v>
      </c>
      <c r="H361" s="3" t="s">
        <v>21</v>
      </c>
      <c r="I361" s="3">
        <v>198104</v>
      </c>
      <c r="J361" s="3">
        <v>37004</v>
      </c>
      <c r="K361" s="3">
        <v>161100</v>
      </c>
      <c r="L361" s="3">
        <v>26400</v>
      </c>
      <c r="M361" s="3">
        <v>0</v>
      </c>
      <c r="N361" s="3">
        <v>26400</v>
      </c>
    </row>
    <row r="362" spans="1:14" ht="14.4">
      <c r="A362" s="3">
        <v>13365</v>
      </c>
      <c r="B362" s="3">
        <v>13366</v>
      </c>
      <c r="C362" s="3">
        <v>4085</v>
      </c>
      <c r="D362" s="3" t="s">
        <v>18</v>
      </c>
      <c r="E362" s="3" t="s">
        <v>32</v>
      </c>
      <c r="F362" s="3">
        <v>10038</v>
      </c>
      <c r="G362" s="3" t="s">
        <v>43</v>
      </c>
      <c r="H362" s="3" t="s">
        <v>21</v>
      </c>
      <c r="I362" s="3">
        <v>0</v>
      </c>
      <c r="J362" s="3">
        <v>0</v>
      </c>
      <c r="K362" s="3">
        <v>0</v>
      </c>
      <c r="L362" s="3">
        <v>1100</v>
      </c>
      <c r="M362" s="3">
        <v>0</v>
      </c>
      <c r="N362" s="3">
        <v>0</v>
      </c>
    </row>
    <row r="363" spans="1:14" ht="14.4">
      <c r="A363" s="3">
        <v>13365</v>
      </c>
      <c r="B363" s="3">
        <v>13366</v>
      </c>
      <c r="C363" s="3">
        <v>4085</v>
      </c>
      <c r="D363" s="3" t="s">
        <v>18</v>
      </c>
      <c r="E363" s="3" t="s">
        <v>32</v>
      </c>
      <c r="F363" s="3">
        <v>11231</v>
      </c>
      <c r="G363" s="3" t="s">
        <v>43</v>
      </c>
      <c r="H363" s="3" t="s">
        <v>21</v>
      </c>
      <c r="I363" s="3">
        <v>49575</v>
      </c>
      <c r="J363" s="3">
        <v>2645</v>
      </c>
      <c r="K363" s="3">
        <v>46930</v>
      </c>
      <c r="L363" s="3">
        <v>0</v>
      </c>
      <c r="M363" s="3">
        <v>0</v>
      </c>
      <c r="N363" s="3">
        <v>0</v>
      </c>
    </row>
    <row r="364" spans="1:14" ht="14.4">
      <c r="A364" s="3">
        <v>13365</v>
      </c>
      <c r="B364" s="3">
        <v>13366</v>
      </c>
      <c r="C364" s="3">
        <v>4085</v>
      </c>
      <c r="D364" s="3" t="s">
        <v>18</v>
      </c>
      <c r="E364" s="3" t="s">
        <v>32</v>
      </c>
      <c r="F364" s="3">
        <v>10001</v>
      </c>
      <c r="G364" s="3" t="s">
        <v>32</v>
      </c>
      <c r="H364" s="3" t="s">
        <v>21</v>
      </c>
      <c r="I364" s="3">
        <v>2805222</v>
      </c>
      <c r="J364" s="3">
        <v>1780782</v>
      </c>
      <c r="K364" s="3">
        <v>1024440</v>
      </c>
      <c r="L364" s="3">
        <v>1837700</v>
      </c>
      <c r="M364" s="3">
        <v>306600</v>
      </c>
      <c r="N364" s="3">
        <v>401700</v>
      </c>
    </row>
    <row r="365" spans="1:14" ht="14.4">
      <c r="A365" s="3">
        <v>13365</v>
      </c>
      <c r="B365" s="3">
        <v>13366</v>
      </c>
      <c r="C365" s="3">
        <v>4085</v>
      </c>
      <c r="D365" s="3" t="s">
        <v>18</v>
      </c>
      <c r="E365" s="3" t="s">
        <v>32</v>
      </c>
      <c r="F365" s="3">
        <v>10002</v>
      </c>
      <c r="G365" s="3" t="s">
        <v>32</v>
      </c>
      <c r="H365" s="3" t="s">
        <v>21</v>
      </c>
      <c r="I365" s="3">
        <v>5065497</v>
      </c>
      <c r="J365" s="3">
        <v>4002646</v>
      </c>
      <c r="K365" s="3">
        <v>1062851</v>
      </c>
      <c r="L365" s="3">
        <v>754600</v>
      </c>
      <c r="M365" s="3">
        <v>52200</v>
      </c>
      <c r="N365" s="3">
        <v>432600</v>
      </c>
    </row>
    <row r="366" spans="1:14" ht="14.4">
      <c r="A366" s="3">
        <v>13365</v>
      </c>
      <c r="B366" s="3">
        <v>13366</v>
      </c>
      <c r="C366" s="3">
        <v>4085</v>
      </c>
      <c r="D366" s="3" t="s">
        <v>18</v>
      </c>
      <c r="E366" s="3" t="s">
        <v>32</v>
      </c>
      <c r="F366" s="3">
        <v>10003</v>
      </c>
      <c r="G366" s="3" t="s">
        <v>32</v>
      </c>
      <c r="H366" s="3" t="s">
        <v>21</v>
      </c>
      <c r="I366" s="3">
        <v>213797</v>
      </c>
      <c r="J366" s="3">
        <v>59896</v>
      </c>
      <c r="K366" s="3">
        <v>153901</v>
      </c>
      <c r="L366" s="3">
        <v>268800</v>
      </c>
      <c r="M366" s="3">
        <v>2800</v>
      </c>
      <c r="N366" s="3">
        <v>9200</v>
      </c>
    </row>
    <row r="367" spans="1:14" ht="14.4">
      <c r="A367" s="3">
        <v>13365</v>
      </c>
      <c r="B367" s="3">
        <v>13366</v>
      </c>
      <c r="C367" s="3">
        <v>4085</v>
      </c>
      <c r="D367" s="3" t="s">
        <v>18</v>
      </c>
      <c r="E367" s="3" t="s">
        <v>32</v>
      </c>
      <c r="F367" s="3">
        <v>10004</v>
      </c>
      <c r="G367" s="3" t="s">
        <v>32</v>
      </c>
      <c r="H367" s="3" t="s">
        <v>21</v>
      </c>
      <c r="I367" s="3">
        <v>11956602</v>
      </c>
      <c r="J367" s="3">
        <v>9412961</v>
      </c>
      <c r="K367" s="3">
        <v>2543641</v>
      </c>
      <c r="L367" s="3">
        <v>2297600</v>
      </c>
      <c r="M367" s="3">
        <v>453500</v>
      </c>
      <c r="N367" s="3">
        <v>571900</v>
      </c>
    </row>
    <row r="368" spans="1:14" ht="14.4">
      <c r="A368" s="3">
        <v>13365</v>
      </c>
      <c r="B368" s="3">
        <v>13366</v>
      </c>
      <c r="C368" s="3">
        <v>4085</v>
      </c>
      <c r="D368" s="3" t="s">
        <v>18</v>
      </c>
      <c r="E368" s="3" t="s">
        <v>32</v>
      </c>
      <c r="F368" s="3">
        <v>10005</v>
      </c>
      <c r="G368" s="3" t="s">
        <v>32</v>
      </c>
      <c r="H368" s="3" t="s">
        <v>21</v>
      </c>
      <c r="I368" s="3">
        <v>8195727</v>
      </c>
      <c r="J368" s="3">
        <v>6898041</v>
      </c>
      <c r="K368" s="3">
        <v>1297686</v>
      </c>
      <c r="L368" s="3">
        <v>1555600</v>
      </c>
      <c r="M368" s="3">
        <v>565400</v>
      </c>
      <c r="N368" s="3">
        <v>645700</v>
      </c>
    </row>
    <row r="369" spans="1:14" ht="14.4">
      <c r="A369" s="3">
        <v>13365</v>
      </c>
      <c r="B369" s="3">
        <v>13366</v>
      </c>
      <c r="C369" s="3">
        <v>4085</v>
      </c>
      <c r="D369" s="3" t="s">
        <v>18</v>
      </c>
      <c r="E369" s="3" t="s">
        <v>32</v>
      </c>
      <c r="F369" s="3">
        <v>10006</v>
      </c>
      <c r="G369" s="3" t="s">
        <v>32</v>
      </c>
      <c r="H369" s="3" t="s">
        <v>21</v>
      </c>
      <c r="I369" s="3">
        <v>3664633</v>
      </c>
      <c r="J369" s="3">
        <v>1893968</v>
      </c>
      <c r="K369" s="3">
        <v>1770665</v>
      </c>
      <c r="L369" s="3">
        <v>416000</v>
      </c>
      <c r="M369" s="3">
        <v>67600</v>
      </c>
      <c r="N369" s="3">
        <v>170200</v>
      </c>
    </row>
    <row r="370" spans="1:14" ht="14.4">
      <c r="A370" s="3">
        <v>13365</v>
      </c>
      <c r="B370" s="3">
        <v>13366</v>
      </c>
      <c r="C370" s="3">
        <v>4085</v>
      </c>
      <c r="D370" s="3" t="s">
        <v>18</v>
      </c>
      <c r="E370" s="3" t="s">
        <v>32</v>
      </c>
      <c r="F370" s="3">
        <v>10007</v>
      </c>
      <c r="G370" s="3" t="s">
        <v>32</v>
      </c>
      <c r="H370" s="3" t="s">
        <v>21</v>
      </c>
      <c r="I370" s="3">
        <v>2606432</v>
      </c>
      <c r="J370" s="3">
        <v>2099244</v>
      </c>
      <c r="K370" s="3">
        <v>507188</v>
      </c>
      <c r="L370" s="3">
        <v>325900</v>
      </c>
      <c r="M370" s="3">
        <v>7000</v>
      </c>
      <c r="N370" s="3">
        <v>4100</v>
      </c>
    </row>
    <row r="371" spans="1:14" ht="14.4">
      <c r="A371" s="3">
        <v>13365</v>
      </c>
      <c r="B371" s="3">
        <v>13366</v>
      </c>
      <c r="C371" s="3">
        <v>4085</v>
      </c>
      <c r="D371" s="3" t="s">
        <v>18</v>
      </c>
      <c r="E371" s="3" t="s">
        <v>32</v>
      </c>
      <c r="F371" s="3">
        <v>10009</v>
      </c>
      <c r="G371" s="3" t="s">
        <v>32</v>
      </c>
      <c r="H371" s="3" t="s">
        <v>21</v>
      </c>
      <c r="I371" s="3">
        <v>4850683</v>
      </c>
      <c r="J371" s="3">
        <v>3511793</v>
      </c>
      <c r="K371" s="3">
        <v>1338890</v>
      </c>
      <c r="L371" s="3">
        <v>1434100</v>
      </c>
      <c r="M371" s="3">
        <v>491200</v>
      </c>
      <c r="N371" s="3">
        <v>452900</v>
      </c>
    </row>
    <row r="372" spans="1:14" ht="14.4">
      <c r="A372" s="3">
        <v>13365</v>
      </c>
      <c r="B372" s="3">
        <v>13366</v>
      </c>
      <c r="C372" s="3">
        <v>4085</v>
      </c>
      <c r="D372" s="3" t="s">
        <v>18</v>
      </c>
      <c r="E372" s="3" t="s">
        <v>32</v>
      </c>
      <c r="F372" s="3">
        <v>10010</v>
      </c>
      <c r="G372" s="3" t="s">
        <v>32</v>
      </c>
      <c r="H372" s="3" t="s">
        <v>21</v>
      </c>
      <c r="I372" s="3">
        <v>1063519</v>
      </c>
      <c r="J372" s="3">
        <v>859818</v>
      </c>
      <c r="K372" s="3">
        <v>203701</v>
      </c>
      <c r="L372" s="3">
        <v>239500</v>
      </c>
      <c r="M372" s="3">
        <v>30000</v>
      </c>
      <c r="N372" s="3">
        <v>0</v>
      </c>
    </row>
    <row r="373" spans="1:14" ht="14.4">
      <c r="A373" s="3">
        <v>13365</v>
      </c>
      <c r="B373" s="3">
        <v>13366</v>
      </c>
      <c r="C373" s="3">
        <v>4085</v>
      </c>
      <c r="D373" s="3" t="s">
        <v>18</v>
      </c>
      <c r="E373" s="3" t="s">
        <v>32</v>
      </c>
      <c r="F373" s="3">
        <v>10011</v>
      </c>
      <c r="G373" s="3" t="s">
        <v>32</v>
      </c>
      <c r="H373" s="3" t="s">
        <v>21</v>
      </c>
      <c r="I373" s="3">
        <v>3808172</v>
      </c>
      <c r="J373" s="3">
        <v>2679547</v>
      </c>
      <c r="K373" s="3">
        <v>1128625</v>
      </c>
      <c r="L373" s="3">
        <v>1920400</v>
      </c>
      <c r="M373" s="3">
        <v>816600</v>
      </c>
      <c r="N373" s="3">
        <v>178900</v>
      </c>
    </row>
    <row r="374" spans="1:14" ht="14.4">
      <c r="A374" s="3">
        <v>13365</v>
      </c>
      <c r="B374" s="3">
        <v>13366</v>
      </c>
      <c r="C374" s="3">
        <v>4085</v>
      </c>
      <c r="D374" s="3" t="s">
        <v>18</v>
      </c>
      <c r="E374" s="3" t="s">
        <v>32</v>
      </c>
      <c r="F374" s="3">
        <v>10012</v>
      </c>
      <c r="G374" s="3" t="s">
        <v>32</v>
      </c>
      <c r="H374" s="3" t="s">
        <v>21</v>
      </c>
      <c r="I374" s="3">
        <v>310984</v>
      </c>
      <c r="J374" s="3">
        <v>100455</v>
      </c>
      <c r="K374" s="3">
        <v>210529</v>
      </c>
      <c r="L374" s="3">
        <v>1063800</v>
      </c>
      <c r="M374" s="3">
        <v>4300</v>
      </c>
      <c r="N374" s="3">
        <v>45700</v>
      </c>
    </row>
    <row r="375" spans="1:14" ht="14.4">
      <c r="A375" s="3">
        <v>13365</v>
      </c>
      <c r="B375" s="3">
        <v>13366</v>
      </c>
      <c r="C375" s="3">
        <v>4085</v>
      </c>
      <c r="D375" s="3" t="s">
        <v>18</v>
      </c>
      <c r="E375" s="3" t="s">
        <v>32</v>
      </c>
      <c r="F375" s="3">
        <v>10013</v>
      </c>
      <c r="G375" s="3" t="s">
        <v>32</v>
      </c>
      <c r="H375" s="3" t="s">
        <v>21</v>
      </c>
      <c r="I375" s="3">
        <v>12533838</v>
      </c>
      <c r="J375" s="3">
        <v>9851890</v>
      </c>
      <c r="K375" s="3">
        <v>2681948</v>
      </c>
      <c r="L375" s="3">
        <v>3302700</v>
      </c>
      <c r="M375" s="3">
        <v>1097000</v>
      </c>
      <c r="N375" s="3">
        <v>1165800</v>
      </c>
    </row>
    <row r="376" spans="1:14" ht="14.4">
      <c r="A376" s="3">
        <v>13365</v>
      </c>
      <c r="B376" s="3">
        <v>13366</v>
      </c>
      <c r="C376" s="3">
        <v>4085</v>
      </c>
      <c r="D376" s="3" t="s">
        <v>18</v>
      </c>
      <c r="E376" s="3" t="s">
        <v>32</v>
      </c>
      <c r="F376" s="3">
        <v>10014</v>
      </c>
      <c r="G376" s="3" t="s">
        <v>32</v>
      </c>
      <c r="H376" s="3" t="s">
        <v>21</v>
      </c>
      <c r="I376" s="3">
        <v>11567153</v>
      </c>
      <c r="J376" s="3">
        <v>8632681</v>
      </c>
      <c r="K376" s="3">
        <v>2934472</v>
      </c>
      <c r="L376" s="3">
        <v>3239500</v>
      </c>
      <c r="M376" s="3">
        <v>2187200</v>
      </c>
      <c r="N376" s="3">
        <v>354000</v>
      </c>
    </row>
    <row r="377" spans="1:14" ht="14.4">
      <c r="A377" s="3">
        <v>13365</v>
      </c>
      <c r="B377" s="3">
        <v>13366</v>
      </c>
      <c r="C377" s="3">
        <v>4085</v>
      </c>
      <c r="D377" s="3" t="s">
        <v>18</v>
      </c>
      <c r="E377" s="3" t="s">
        <v>32</v>
      </c>
      <c r="F377" s="3">
        <v>10016</v>
      </c>
      <c r="G377" s="3" t="s">
        <v>32</v>
      </c>
      <c r="H377" s="3" t="s">
        <v>21</v>
      </c>
      <c r="I377" s="3">
        <v>7025864</v>
      </c>
      <c r="J377" s="3">
        <v>2132396</v>
      </c>
      <c r="K377" s="3">
        <v>4893468</v>
      </c>
      <c r="L377" s="3">
        <v>524600</v>
      </c>
      <c r="M377" s="3">
        <v>30500</v>
      </c>
      <c r="N377" s="3">
        <v>30400</v>
      </c>
    </row>
    <row r="378" spans="1:14" ht="14.4">
      <c r="A378" s="3">
        <v>13365</v>
      </c>
      <c r="B378" s="3">
        <v>13366</v>
      </c>
      <c r="C378" s="3">
        <v>4085</v>
      </c>
      <c r="D378" s="3" t="s">
        <v>18</v>
      </c>
      <c r="E378" s="3" t="s">
        <v>32</v>
      </c>
      <c r="F378" s="3">
        <v>10017</v>
      </c>
      <c r="G378" s="3" t="s">
        <v>32</v>
      </c>
      <c r="H378" s="3" t="s">
        <v>21</v>
      </c>
      <c r="I378" s="3">
        <v>7000</v>
      </c>
      <c r="J378" s="3">
        <v>0</v>
      </c>
      <c r="K378" s="3">
        <v>7000</v>
      </c>
      <c r="L378" s="3">
        <v>64200</v>
      </c>
      <c r="M378" s="3">
        <v>0</v>
      </c>
      <c r="N378" s="3">
        <v>0</v>
      </c>
    </row>
    <row r="379" spans="1:14" ht="14.4">
      <c r="A379" s="3">
        <v>13365</v>
      </c>
      <c r="B379" s="3">
        <v>13366</v>
      </c>
      <c r="C379" s="3">
        <v>4085</v>
      </c>
      <c r="D379" s="3" t="s">
        <v>18</v>
      </c>
      <c r="E379" s="3" t="s">
        <v>32</v>
      </c>
      <c r="F379" s="3">
        <v>10018</v>
      </c>
      <c r="G379" s="3" t="s">
        <v>32</v>
      </c>
      <c r="H379" s="3" t="s">
        <v>21</v>
      </c>
      <c r="I379" s="3">
        <v>68159</v>
      </c>
      <c r="J379" s="3">
        <v>8541</v>
      </c>
      <c r="K379" s="3">
        <v>59618</v>
      </c>
      <c r="L379" s="3">
        <v>498400</v>
      </c>
      <c r="M379" s="3">
        <v>0</v>
      </c>
      <c r="N379" s="3">
        <v>0</v>
      </c>
    </row>
    <row r="380" spans="1:14" ht="14.4">
      <c r="A380" s="3">
        <v>13365</v>
      </c>
      <c r="B380" s="3">
        <v>13366</v>
      </c>
      <c r="C380" s="3">
        <v>4085</v>
      </c>
      <c r="D380" s="3" t="s">
        <v>18</v>
      </c>
      <c r="E380" s="3" t="s">
        <v>32</v>
      </c>
      <c r="F380" s="3">
        <v>10019</v>
      </c>
      <c r="G380" s="3" t="s">
        <v>32</v>
      </c>
      <c r="H380" s="3" t="s">
        <v>21</v>
      </c>
      <c r="I380" s="3">
        <v>163388</v>
      </c>
      <c r="J380" s="3">
        <v>66854</v>
      </c>
      <c r="K380" s="3">
        <v>96534</v>
      </c>
      <c r="L380" s="3">
        <v>71500</v>
      </c>
      <c r="M380" s="3">
        <v>0</v>
      </c>
      <c r="N380" s="3">
        <v>71500</v>
      </c>
    </row>
    <row r="381" spans="1:14" ht="14.4">
      <c r="A381" s="3">
        <v>13365</v>
      </c>
      <c r="B381" s="3">
        <v>13366</v>
      </c>
      <c r="C381" s="3">
        <v>4085</v>
      </c>
      <c r="D381" s="3" t="s">
        <v>18</v>
      </c>
      <c r="E381" s="3" t="s">
        <v>32</v>
      </c>
      <c r="F381" s="3">
        <v>10022</v>
      </c>
      <c r="G381" s="3" t="s">
        <v>32</v>
      </c>
      <c r="H381" s="3" t="s">
        <v>21</v>
      </c>
      <c r="I381" s="3">
        <v>70594</v>
      </c>
      <c r="J381" s="3">
        <v>0</v>
      </c>
      <c r="K381" s="3">
        <v>70594</v>
      </c>
      <c r="L381" s="3">
        <v>22200</v>
      </c>
      <c r="M381" s="3">
        <v>0</v>
      </c>
      <c r="N381" s="3">
        <v>0</v>
      </c>
    </row>
    <row r="382" spans="1:14" ht="14.4">
      <c r="A382" s="3">
        <v>13365</v>
      </c>
      <c r="B382" s="3">
        <v>13366</v>
      </c>
      <c r="C382" s="3">
        <v>4085</v>
      </c>
      <c r="D382" s="3" t="s">
        <v>18</v>
      </c>
      <c r="E382" s="3" t="s">
        <v>32</v>
      </c>
      <c r="F382" s="3">
        <v>10023</v>
      </c>
      <c r="G382" s="3" t="s">
        <v>32</v>
      </c>
      <c r="H382" s="3" t="s">
        <v>21</v>
      </c>
      <c r="I382" s="3">
        <v>0</v>
      </c>
      <c r="J382" s="3">
        <v>0</v>
      </c>
      <c r="K382" s="3">
        <v>0</v>
      </c>
      <c r="L382" s="3">
        <v>24700</v>
      </c>
      <c r="M382" s="3">
        <v>0</v>
      </c>
      <c r="N382" s="3">
        <v>0</v>
      </c>
    </row>
    <row r="383" spans="1:14" ht="14.4">
      <c r="A383" s="3">
        <v>13365</v>
      </c>
      <c r="B383" s="3">
        <v>13366</v>
      </c>
      <c r="C383" s="3">
        <v>4085</v>
      </c>
      <c r="D383" s="3" t="s">
        <v>18</v>
      </c>
      <c r="E383" s="3" t="s">
        <v>32</v>
      </c>
      <c r="F383" s="3">
        <v>10024</v>
      </c>
      <c r="G383" s="3" t="s">
        <v>32</v>
      </c>
      <c r="H383" s="3" t="s">
        <v>21</v>
      </c>
      <c r="I383" s="3">
        <v>52975</v>
      </c>
      <c r="J383" s="3">
        <v>0</v>
      </c>
      <c r="K383" s="3">
        <v>52975</v>
      </c>
      <c r="L383" s="3">
        <v>0</v>
      </c>
      <c r="M383" s="3">
        <v>0</v>
      </c>
      <c r="N383" s="3">
        <v>0</v>
      </c>
    </row>
    <row r="384" spans="1:14" ht="14.4">
      <c r="A384" s="3">
        <v>13365</v>
      </c>
      <c r="B384" s="3">
        <v>13366</v>
      </c>
      <c r="C384" s="3">
        <v>4085</v>
      </c>
      <c r="D384" s="3" t="s">
        <v>18</v>
      </c>
      <c r="E384" s="3" t="s">
        <v>32</v>
      </c>
      <c r="F384" s="3">
        <v>10025</v>
      </c>
      <c r="G384" s="3" t="s">
        <v>32</v>
      </c>
      <c r="H384" s="3" t="s">
        <v>21</v>
      </c>
      <c r="I384" s="3">
        <v>0</v>
      </c>
      <c r="J384" s="3">
        <v>0</v>
      </c>
      <c r="K384" s="3">
        <v>0</v>
      </c>
      <c r="L384" s="3">
        <v>90600</v>
      </c>
      <c r="M384" s="3">
        <v>0</v>
      </c>
      <c r="N384" s="3">
        <v>0</v>
      </c>
    </row>
    <row r="385" spans="1:14" ht="14.4">
      <c r="A385" s="3">
        <v>13365</v>
      </c>
      <c r="B385" s="3">
        <v>13366</v>
      </c>
      <c r="C385" s="3">
        <v>4085</v>
      </c>
      <c r="D385" s="3" t="s">
        <v>18</v>
      </c>
      <c r="E385" s="3" t="s">
        <v>32</v>
      </c>
      <c r="F385" s="3">
        <v>10026</v>
      </c>
      <c r="G385" s="3" t="s">
        <v>32</v>
      </c>
      <c r="H385" s="3" t="s">
        <v>21</v>
      </c>
      <c r="I385" s="3">
        <v>19980</v>
      </c>
      <c r="J385" s="3">
        <v>9280</v>
      </c>
      <c r="K385" s="3">
        <v>10700</v>
      </c>
      <c r="L385" s="3">
        <v>0</v>
      </c>
      <c r="M385" s="3">
        <v>0</v>
      </c>
      <c r="N385" s="3">
        <v>0</v>
      </c>
    </row>
    <row r="386" spans="1:14" ht="14.4">
      <c r="A386" s="3">
        <v>13365</v>
      </c>
      <c r="B386" s="3">
        <v>13366</v>
      </c>
      <c r="C386" s="3">
        <v>4085</v>
      </c>
      <c r="D386" s="3" t="s">
        <v>18</v>
      </c>
      <c r="E386" s="3" t="s">
        <v>32</v>
      </c>
      <c r="F386" s="3">
        <v>10029</v>
      </c>
      <c r="G386" s="3" t="s">
        <v>32</v>
      </c>
      <c r="H386" s="3" t="s">
        <v>21</v>
      </c>
      <c r="I386" s="3">
        <v>70995</v>
      </c>
      <c r="J386" s="3">
        <v>43820</v>
      </c>
      <c r="K386" s="3">
        <v>27175</v>
      </c>
      <c r="L386" s="3">
        <v>28900</v>
      </c>
      <c r="M386" s="3">
        <v>2900</v>
      </c>
      <c r="N386" s="3">
        <v>19000</v>
      </c>
    </row>
    <row r="387" spans="1:14" ht="14.4">
      <c r="A387" s="3">
        <v>13365</v>
      </c>
      <c r="B387" s="3">
        <v>13366</v>
      </c>
      <c r="C387" s="3">
        <v>4085</v>
      </c>
      <c r="D387" s="3" t="s">
        <v>18</v>
      </c>
      <c r="E387" s="3" t="s">
        <v>32</v>
      </c>
      <c r="F387" s="3">
        <v>10030</v>
      </c>
      <c r="G387" s="3" t="s">
        <v>32</v>
      </c>
      <c r="H387" s="3" t="s">
        <v>21</v>
      </c>
      <c r="I387" s="3">
        <v>14406</v>
      </c>
      <c r="J387" s="3">
        <v>14406</v>
      </c>
      <c r="K387" s="3">
        <v>0</v>
      </c>
      <c r="L387" s="3">
        <v>17600</v>
      </c>
      <c r="M387" s="3">
        <v>14000</v>
      </c>
      <c r="N387" s="3">
        <v>0</v>
      </c>
    </row>
    <row r="388" spans="1:14" ht="14.4">
      <c r="A388" s="3">
        <v>13365</v>
      </c>
      <c r="B388" s="3">
        <v>13366</v>
      </c>
      <c r="C388" s="3">
        <v>4085</v>
      </c>
      <c r="D388" s="3" t="s">
        <v>18</v>
      </c>
      <c r="E388" s="3" t="s">
        <v>32</v>
      </c>
      <c r="F388" s="3">
        <v>10031</v>
      </c>
      <c r="G388" s="3" t="s">
        <v>32</v>
      </c>
      <c r="H388" s="3" t="s">
        <v>21</v>
      </c>
      <c r="I388" s="3">
        <v>22116</v>
      </c>
      <c r="J388" s="3">
        <v>17116</v>
      </c>
      <c r="K388" s="3">
        <v>5000</v>
      </c>
      <c r="L388" s="3">
        <v>0</v>
      </c>
      <c r="M388" s="3">
        <v>0</v>
      </c>
      <c r="N388" s="3">
        <v>0</v>
      </c>
    </row>
    <row r="389" spans="1:14" ht="14.4">
      <c r="A389" s="3">
        <v>13365</v>
      </c>
      <c r="B389" s="3">
        <v>13366</v>
      </c>
      <c r="C389" s="3">
        <v>4085</v>
      </c>
      <c r="D389" s="3" t="s">
        <v>18</v>
      </c>
      <c r="E389" s="3" t="s">
        <v>32</v>
      </c>
      <c r="F389" s="3">
        <v>10032</v>
      </c>
      <c r="G389" s="3" t="s">
        <v>32</v>
      </c>
      <c r="H389" s="3" t="s">
        <v>21</v>
      </c>
      <c r="I389" s="3">
        <v>1000</v>
      </c>
      <c r="J389" s="3">
        <v>0</v>
      </c>
      <c r="K389" s="3">
        <v>1000</v>
      </c>
      <c r="L389" s="3">
        <v>4500</v>
      </c>
      <c r="M389" s="3">
        <v>0</v>
      </c>
      <c r="N389" s="3">
        <v>1000</v>
      </c>
    </row>
    <row r="390" spans="1:14" ht="14.4">
      <c r="A390" s="3">
        <v>13365</v>
      </c>
      <c r="B390" s="3">
        <v>13366</v>
      </c>
      <c r="C390" s="3">
        <v>4085</v>
      </c>
      <c r="D390" s="3" t="s">
        <v>18</v>
      </c>
      <c r="E390" s="3" t="s">
        <v>32</v>
      </c>
      <c r="F390" s="3">
        <v>10034</v>
      </c>
      <c r="G390" s="3" t="s">
        <v>32</v>
      </c>
      <c r="H390" s="3" t="s">
        <v>21</v>
      </c>
      <c r="I390" s="3">
        <v>335736</v>
      </c>
      <c r="J390" s="3">
        <v>219760</v>
      </c>
      <c r="K390" s="3">
        <v>115976</v>
      </c>
      <c r="L390" s="3">
        <v>0</v>
      </c>
      <c r="M390" s="3">
        <v>0</v>
      </c>
      <c r="N390" s="3">
        <v>0</v>
      </c>
    </row>
    <row r="391" spans="1:14" ht="14.4">
      <c r="A391" s="3">
        <v>13365</v>
      </c>
      <c r="B391" s="3">
        <v>13366</v>
      </c>
      <c r="C391" s="3">
        <v>4085</v>
      </c>
      <c r="D391" s="3" t="s">
        <v>18</v>
      </c>
      <c r="E391" s="3" t="s">
        <v>32</v>
      </c>
      <c r="F391" s="3">
        <v>10036</v>
      </c>
      <c r="G391" s="3" t="s">
        <v>32</v>
      </c>
      <c r="H391" s="3" t="s">
        <v>21</v>
      </c>
      <c r="I391" s="3">
        <v>2406154</v>
      </c>
      <c r="J391" s="3">
        <v>1640018</v>
      </c>
      <c r="K391" s="3">
        <v>766136</v>
      </c>
      <c r="L391" s="3">
        <v>841500</v>
      </c>
      <c r="M391" s="3">
        <v>461500</v>
      </c>
      <c r="N391" s="3">
        <v>281600</v>
      </c>
    </row>
    <row r="392" spans="1:14" ht="14.4">
      <c r="A392" s="3">
        <v>13365</v>
      </c>
      <c r="B392" s="3">
        <v>13366</v>
      </c>
      <c r="C392" s="3">
        <v>4085</v>
      </c>
      <c r="D392" s="3" t="s">
        <v>18</v>
      </c>
      <c r="E392" s="3" t="s">
        <v>32</v>
      </c>
      <c r="F392" s="3">
        <v>10037</v>
      </c>
      <c r="G392" s="3" t="s">
        <v>32</v>
      </c>
      <c r="H392" s="3" t="s">
        <v>21</v>
      </c>
      <c r="I392" s="3">
        <v>281787</v>
      </c>
      <c r="J392" s="3">
        <v>218436</v>
      </c>
      <c r="K392" s="3">
        <v>63351</v>
      </c>
      <c r="L392" s="3">
        <v>0</v>
      </c>
      <c r="M392" s="3">
        <v>0</v>
      </c>
      <c r="N392" s="3">
        <v>0</v>
      </c>
    </row>
    <row r="393" spans="1:14" ht="14.4">
      <c r="A393" s="3">
        <v>13365</v>
      </c>
      <c r="B393" s="3">
        <v>13366</v>
      </c>
      <c r="C393" s="3">
        <v>4085</v>
      </c>
      <c r="D393" s="3" t="s">
        <v>18</v>
      </c>
      <c r="E393" s="3" t="s">
        <v>32</v>
      </c>
      <c r="F393" s="3">
        <v>10038</v>
      </c>
      <c r="G393" s="3" t="s">
        <v>32</v>
      </c>
      <c r="H393" s="3" t="s">
        <v>21</v>
      </c>
      <c r="I393" s="3">
        <v>10666342</v>
      </c>
      <c r="J393" s="3">
        <v>5955742</v>
      </c>
      <c r="K393" s="3">
        <v>4710600</v>
      </c>
      <c r="L393" s="3">
        <v>4732300</v>
      </c>
      <c r="M393" s="3">
        <v>933600</v>
      </c>
      <c r="N393" s="3">
        <v>1944600</v>
      </c>
    </row>
    <row r="394" spans="1:14" ht="14.4">
      <c r="A394" s="3">
        <v>13365</v>
      </c>
      <c r="B394" s="3">
        <v>13366</v>
      </c>
      <c r="C394" s="3">
        <v>4085</v>
      </c>
      <c r="D394" s="3" t="s">
        <v>18</v>
      </c>
      <c r="E394" s="3" t="s">
        <v>32</v>
      </c>
      <c r="F394" s="3">
        <v>10039</v>
      </c>
      <c r="G394" s="3" t="s">
        <v>32</v>
      </c>
      <c r="H394" s="3" t="s">
        <v>21</v>
      </c>
      <c r="I394" s="3">
        <v>30164</v>
      </c>
      <c r="J394" s="3">
        <v>29864</v>
      </c>
      <c r="K394" s="3">
        <v>300</v>
      </c>
      <c r="L394" s="3">
        <v>0</v>
      </c>
      <c r="M394" s="3">
        <v>0</v>
      </c>
      <c r="N394" s="3">
        <v>0</v>
      </c>
    </row>
    <row r="395" spans="1:14" ht="14.4">
      <c r="A395" s="3">
        <v>13365</v>
      </c>
      <c r="B395" s="3">
        <v>13366</v>
      </c>
      <c r="C395" s="3">
        <v>4085</v>
      </c>
      <c r="D395" s="3" t="s">
        <v>18</v>
      </c>
      <c r="E395" s="3" t="s">
        <v>32</v>
      </c>
      <c r="F395" s="3">
        <v>10069</v>
      </c>
      <c r="G395" s="3" t="s">
        <v>32</v>
      </c>
      <c r="H395" s="3" t="s">
        <v>21</v>
      </c>
      <c r="I395" s="3">
        <v>10158</v>
      </c>
      <c r="J395" s="3">
        <v>2958</v>
      </c>
      <c r="K395" s="3">
        <v>7200</v>
      </c>
      <c r="L395" s="3">
        <v>0</v>
      </c>
      <c r="M395" s="3">
        <v>0</v>
      </c>
      <c r="N395" s="3">
        <v>0</v>
      </c>
    </row>
    <row r="396" spans="1:14" ht="14.4">
      <c r="A396" s="3">
        <v>13365</v>
      </c>
      <c r="B396" s="3">
        <v>13366</v>
      </c>
      <c r="C396" s="3">
        <v>4085</v>
      </c>
      <c r="D396" s="3" t="s">
        <v>18</v>
      </c>
      <c r="E396" s="3" t="s">
        <v>32</v>
      </c>
      <c r="F396" s="3">
        <v>10128</v>
      </c>
      <c r="G396" s="3" t="s">
        <v>32</v>
      </c>
      <c r="H396" s="3" t="s">
        <v>21</v>
      </c>
      <c r="I396" s="3">
        <v>133783</v>
      </c>
      <c r="J396" s="3">
        <v>104328</v>
      </c>
      <c r="K396" s="3">
        <v>29455</v>
      </c>
      <c r="L396" s="3">
        <v>0</v>
      </c>
      <c r="M396" s="3">
        <v>0</v>
      </c>
      <c r="N396" s="3">
        <v>0</v>
      </c>
    </row>
    <row r="397" spans="1:14" ht="14.4">
      <c r="A397" s="3">
        <v>13365</v>
      </c>
      <c r="B397" s="3">
        <v>13366</v>
      </c>
      <c r="C397" s="3">
        <v>4085</v>
      </c>
      <c r="D397" s="3" t="s">
        <v>18</v>
      </c>
      <c r="E397" s="3" t="s">
        <v>32</v>
      </c>
      <c r="F397" s="3">
        <v>10177</v>
      </c>
      <c r="G397" s="3" t="s">
        <v>32</v>
      </c>
      <c r="H397" s="3" t="s">
        <v>21</v>
      </c>
      <c r="I397" s="3">
        <v>19500</v>
      </c>
      <c r="J397" s="3">
        <v>0</v>
      </c>
      <c r="K397" s="3">
        <v>19500</v>
      </c>
      <c r="L397" s="3">
        <v>0</v>
      </c>
      <c r="M397" s="3">
        <v>0</v>
      </c>
      <c r="N397" s="3">
        <v>0</v>
      </c>
    </row>
    <row r="398" spans="1:14" ht="14.4">
      <c r="A398" s="3">
        <v>13365</v>
      </c>
      <c r="B398" s="3">
        <v>13366</v>
      </c>
      <c r="C398" s="3">
        <v>4085</v>
      </c>
      <c r="D398" s="3" t="s">
        <v>18</v>
      </c>
      <c r="E398" s="3" t="s">
        <v>32</v>
      </c>
      <c r="F398" s="3">
        <v>10270</v>
      </c>
      <c r="G398" s="3" t="s">
        <v>32</v>
      </c>
      <c r="H398" s="3" t="s">
        <v>21</v>
      </c>
      <c r="I398" s="3">
        <v>279210</v>
      </c>
      <c r="J398" s="3">
        <v>202710</v>
      </c>
      <c r="K398" s="3">
        <v>76500</v>
      </c>
      <c r="L398" s="3">
        <v>141000</v>
      </c>
      <c r="M398" s="3">
        <v>0</v>
      </c>
      <c r="N398" s="3">
        <v>76500</v>
      </c>
    </row>
    <row r="399" spans="1:14" ht="14.4">
      <c r="A399" s="3">
        <v>13365</v>
      </c>
      <c r="B399" s="3">
        <v>13366</v>
      </c>
      <c r="C399" s="3">
        <v>4085</v>
      </c>
      <c r="D399" s="3" t="s">
        <v>18</v>
      </c>
      <c r="E399" s="3" t="s">
        <v>32</v>
      </c>
      <c r="F399" s="3">
        <v>10279</v>
      </c>
      <c r="G399" s="3" t="s">
        <v>32</v>
      </c>
      <c r="H399" s="3" t="s">
        <v>21</v>
      </c>
      <c r="I399" s="3">
        <v>0</v>
      </c>
      <c r="J399" s="3">
        <v>0</v>
      </c>
      <c r="K399" s="3">
        <v>0</v>
      </c>
      <c r="L399" s="3">
        <v>64100</v>
      </c>
      <c r="M399" s="3">
        <v>0</v>
      </c>
      <c r="N399" s="3">
        <v>0</v>
      </c>
    </row>
    <row r="400" spans="1:14" ht="14.4">
      <c r="A400" s="3">
        <v>13365</v>
      </c>
      <c r="B400" s="3">
        <v>13366</v>
      </c>
      <c r="C400" s="3">
        <v>4085</v>
      </c>
      <c r="D400" s="3" t="s">
        <v>18</v>
      </c>
      <c r="E400" s="3" t="s">
        <v>32</v>
      </c>
      <c r="F400" s="3">
        <v>10280</v>
      </c>
      <c r="G400" s="3" t="s">
        <v>32</v>
      </c>
      <c r="H400" s="3" t="s">
        <v>21</v>
      </c>
      <c r="I400" s="3">
        <v>269634</v>
      </c>
      <c r="J400" s="3">
        <v>139440</v>
      </c>
      <c r="K400" s="3">
        <v>130194</v>
      </c>
      <c r="L400" s="3">
        <v>147700</v>
      </c>
      <c r="M400" s="3">
        <v>66600</v>
      </c>
      <c r="N400" s="3">
        <v>81100</v>
      </c>
    </row>
    <row r="401" spans="1:14" ht="14.4">
      <c r="A401" s="3">
        <v>13365</v>
      </c>
      <c r="B401" s="3">
        <v>13366</v>
      </c>
      <c r="C401" s="3">
        <v>4085</v>
      </c>
      <c r="D401" s="3" t="s">
        <v>18</v>
      </c>
      <c r="E401" s="3" t="s">
        <v>32</v>
      </c>
      <c r="F401" s="3">
        <v>10301</v>
      </c>
      <c r="G401" s="3" t="s">
        <v>32</v>
      </c>
      <c r="H401" s="3" t="s">
        <v>21</v>
      </c>
      <c r="I401" s="3">
        <v>710311</v>
      </c>
      <c r="J401" s="3">
        <v>688724</v>
      </c>
      <c r="K401" s="3">
        <v>21587</v>
      </c>
      <c r="L401" s="3">
        <v>0</v>
      </c>
      <c r="M401" s="3">
        <v>0</v>
      </c>
      <c r="N401" s="3">
        <v>0</v>
      </c>
    </row>
    <row r="402" spans="1:14" ht="14.4">
      <c r="A402" s="3">
        <v>13365</v>
      </c>
      <c r="B402" s="3">
        <v>13366</v>
      </c>
      <c r="C402" s="3">
        <v>4085</v>
      </c>
      <c r="D402" s="3" t="s">
        <v>18</v>
      </c>
      <c r="E402" s="3" t="s">
        <v>32</v>
      </c>
      <c r="F402" s="3">
        <v>10583</v>
      </c>
      <c r="G402" s="3" t="s">
        <v>32</v>
      </c>
      <c r="H402" s="3" t="s">
        <v>21</v>
      </c>
      <c r="I402" s="3">
        <v>18915</v>
      </c>
      <c r="J402" s="3">
        <v>9135</v>
      </c>
      <c r="K402" s="3">
        <v>9780</v>
      </c>
      <c r="L402" s="3">
        <v>66500</v>
      </c>
      <c r="M402" s="3">
        <v>0</v>
      </c>
      <c r="N402" s="3">
        <v>9800</v>
      </c>
    </row>
    <row r="403" spans="1:14" ht="14.4">
      <c r="A403" s="3">
        <v>13365</v>
      </c>
      <c r="B403" s="3">
        <v>13366</v>
      </c>
      <c r="C403" s="3">
        <v>4085</v>
      </c>
      <c r="D403" s="3" t="s">
        <v>18</v>
      </c>
      <c r="E403" s="3" t="s">
        <v>32</v>
      </c>
      <c r="F403" s="3">
        <v>11231</v>
      </c>
      <c r="G403" s="3" t="s">
        <v>32</v>
      </c>
      <c r="H403" s="3" t="s">
        <v>21</v>
      </c>
      <c r="I403" s="3">
        <v>1023304</v>
      </c>
      <c r="J403" s="3">
        <v>242005</v>
      </c>
      <c r="K403" s="3">
        <v>781299</v>
      </c>
      <c r="L403" s="3">
        <v>471300</v>
      </c>
      <c r="M403" s="3">
        <v>0</v>
      </c>
      <c r="N403" s="3">
        <v>471300</v>
      </c>
    </row>
    <row r="404" spans="1:14" ht="14.4">
      <c r="A404" s="3">
        <v>13365</v>
      </c>
      <c r="B404" s="3">
        <v>13366</v>
      </c>
      <c r="C404" s="3">
        <v>4085</v>
      </c>
      <c r="D404" s="3" t="s">
        <v>18</v>
      </c>
      <c r="E404" s="3" t="s">
        <v>32</v>
      </c>
      <c r="F404" s="3">
        <v>10016</v>
      </c>
      <c r="G404" s="3" t="s">
        <v>28</v>
      </c>
      <c r="H404" s="3" t="s">
        <v>21</v>
      </c>
      <c r="I404" s="3">
        <v>25000</v>
      </c>
      <c r="J404" s="3">
        <v>0</v>
      </c>
      <c r="K404" s="3">
        <v>25000</v>
      </c>
      <c r="L404" s="3">
        <v>0</v>
      </c>
      <c r="M404" s="3">
        <v>0</v>
      </c>
      <c r="N404" s="3">
        <v>0</v>
      </c>
    </row>
    <row r="405" spans="1:14" ht="14.4">
      <c r="A405" s="3">
        <v>13365</v>
      </c>
      <c r="B405" s="3">
        <v>13366</v>
      </c>
      <c r="C405" s="3">
        <v>4085</v>
      </c>
      <c r="D405" s="3" t="s">
        <v>18</v>
      </c>
      <c r="E405" s="3" t="s">
        <v>32</v>
      </c>
      <c r="F405" s="3">
        <v>11414</v>
      </c>
      <c r="G405" s="3" t="s">
        <v>28</v>
      </c>
      <c r="H405" s="3" t="s">
        <v>21</v>
      </c>
      <c r="I405" s="3">
        <v>32791</v>
      </c>
      <c r="J405" s="3">
        <v>31691</v>
      </c>
      <c r="K405" s="3">
        <v>1100</v>
      </c>
      <c r="L405" s="3">
        <v>30800</v>
      </c>
      <c r="M405" s="3">
        <v>29700</v>
      </c>
      <c r="N405" s="3">
        <v>1100</v>
      </c>
    </row>
    <row r="406" spans="1:14" ht="14.4">
      <c r="A406" s="3">
        <v>13365</v>
      </c>
      <c r="B406" s="3">
        <v>13366</v>
      </c>
      <c r="C406" s="3">
        <v>4085</v>
      </c>
      <c r="D406" s="3" t="s">
        <v>18</v>
      </c>
      <c r="E406" s="3" t="s">
        <v>247</v>
      </c>
      <c r="F406" s="3">
        <v>10474</v>
      </c>
      <c r="G406" s="3" t="s">
        <v>61</v>
      </c>
      <c r="H406" s="3" t="s">
        <v>21</v>
      </c>
      <c r="I406" s="3">
        <v>1282554</v>
      </c>
      <c r="J406" s="3">
        <v>1282554</v>
      </c>
      <c r="K406" s="3">
        <v>0</v>
      </c>
      <c r="L406" s="3">
        <v>0</v>
      </c>
      <c r="M406" s="3">
        <v>0</v>
      </c>
      <c r="N406" s="3">
        <v>0</v>
      </c>
    </row>
    <row r="407" spans="1:14" ht="14.4">
      <c r="A407" s="3">
        <v>13365</v>
      </c>
      <c r="B407" s="3">
        <v>13366</v>
      </c>
      <c r="C407" s="3">
        <v>4085</v>
      </c>
      <c r="D407" s="3" t="s">
        <v>18</v>
      </c>
      <c r="E407" s="3" t="s">
        <v>247</v>
      </c>
      <c r="F407" s="3">
        <v>10002</v>
      </c>
      <c r="G407" s="3" t="s">
        <v>32</v>
      </c>
      <c r="H407" s="3" t="s">
        <v>21</v>
      </c>
      <c r="I407" s="3">
        <v>12000</v>
      </c>
      <c r="J407" s="3">
        <v>0</v>
      </c>
      <c r="K407" s="3">
        <v>12000</v>
      </c>
      <c r="L407" s="3">
        <v>48000</v>
      </c>
      <c r="M407" s="3">
        <v>0</v>
      </c>
      <c r="N407" s="3">
        <v>12000</v>
      </c>
    </row>
    <row r="408" spans="1:14" ht="14.4">
      <c r="A408" s="3">
        <v>13365</v>
      </c>
      <c r="B408" s="3">
        <v>13366</v>
      </c>
      <c r="C408" s="3">
        <v>4085</v>
      </c>
      <c r="D408" s="3" t="s">
        <v>18</v>
      </c>
      <c r="E408" s="3" t="s">
        <v>247</v>
      </c>
      <c r="F408" s="3">
        <v>10011</v>
      </c>
      <c r="G408" s="3" t="s">
        <v>32</v>
      </c>
      <c r="H408" s="3" t="s">
        <v>21</v>
      </c>
      <c r="I408" s="3">
        <v>3707900</v>
      </c>
      <c r="J408" s="3">
        <v>0</v>
      </c>
      <c r="K408" s="3">
        <v>3707900</v>
      </c>
      <c r="L408" s="3">
        <v>0</v>
      </c>
      <c r="M408" s="3">
        <v>0</v>
      </c>
      <c r="N408" s="3">
        <v>0</v>
      </c>
    </row>
    <row r="409" spans="1:14" ht="14.4">
      <c r="A409" s="3">
        <v>13365</v>
      </c>
      <c r="B409" s="3">
        <v>13366</v>
      </c>
      <c r="C409" s="3">
        <v>4085</v>
      </c>
      <c r="D409" s="3" t="s">
        <v>18</v>
      </c>
      <c r="E409" s="3" t="s">
        <v>247</v>
      </c>
      <c r="F409" s="3">
        <v>10012</v>
      </c>
      <c r="G409" s="3" t="s">
        <v>32</v>
      </c>
      <c r="H409" s="3" t="s">
        <v>21</v>
      </c>
      <c r="I409" s="3">
        <v>12000</v>
      </c>
      <c r="J409" s="3">
        <v>0</v>
      </c>
      <c r="K409" s="3">
        <v>12000</v>
      </c>
      <c r="L409" s="3">
        <v>0</v>
      </c>
      <c r="M409" s="3">
        <v>0</v>
      </c>
      <c r="N409" s="3">
        <v>0</v>
      </c>
    </row>
    <row r="410" spans="1:14" ht="14.4">
      <c r="A410" s="3">
        <v>13365</v>
      </c>
      <c r="B410" s="3">
        <v>13366</v>
      </c>
      <c r="C410" s="3">
        <v>4085</v>
      </c>
      <c r="D410" s="3" t="s">
        <v>18</v>
      </c>
      <c r="E410" s="3" t="s">
        <v>247</v>
      </c>
      <c r="F410" s="3">
        <v>10014</v>
      </c>
      <c r="G410" s="3" t="s">
        <v>32</v>
      </c>
      <c r="H410" s="3" t="s">
        <v>21</v>
      </c>
      <c r="I410" s="3">
        <v>143070</v>
      </c>
      <c r="J410" s="3">
        <v>69165</v>
      </c>
      <c r="K410" s="3">
        <v>73905</v>
      </c>
      <c r="L410" s="3">
        <v>0</v>
      </c>
      <c r="M410" s="3">
        <v>0</v>
      </c>
      <c r="N410" s="3">
        <v>0</v>
      </c>
    </row>
    <row r="411" spans="1:14" ht="14.4">
      <c r="A411" s="3">
        <v>13365</v>
      </c>
      <c r="B411" s="3">
        <v>13366</v>
      </c>
      <c r="C411" s="3">
        <v>4085</v>
      </c>
      <c r="D411" s="3" t="s">
        <v>18</v>
      </c>
      <c r="E411" s="3" t="s">
        <v>247</v>
      </c>
      <c r="F411" s="3">
        <v>10032</v>
      </c>
      <c r="G411" s="3" t="s">
        <v>32</v>
      </c>
      <c r="H411" s="3" t="s">
        <v>21</v>
      </c>
      <c r="I411" s="3">
        <v>10336</v>
      </c>
      <c r="J411" s="3">
        <v>10336</v>
      </c>
      <c r="K411" s="3">
        <v>0</v>
      </c>
      <c r="L411" s="3">
        <v>0</v>
      </c>
      <c r="M411" s="3">
        <v>0</v>
      </c>
      <c r="N411" s="3">
        <v>0</v>
      </c>
    </row>
    <row r="412" spans="1:14" ht="14.4">
      <c r="A412" s="3">
        <v>13365</v>
      </c>
      <c r="B412" s="3">
        <v>13366</v>
      </c>
      <c r="C412" s="3">
        <v>4085</v>
      </c>
      <c r="D412" s="3" t="s">
        <v>18</v>
      </c>
      <c r="E412" s="3" t="s">
        <v>248</v>
      </c>
      <c r="F412" s="3">
        <v>12550</v>
      </c>
      <c r="G412" s="3" t="s">
        <v>51</v>
      </c>
      <c r="H412" s="3" t="s">
        <v>21</v>
      </c>
      <c r="I412" s="3">
        <v>122743</v>
      </c>
      <c r="J412" s="3">
        <v>117483</v>
      </c>
      <c r="K412" s="3">
        <v>5260</v>
      </c>
      <c r="L412" s="3">
        <v>122800</v>
      </c>
      <c r="M412" s="3">
        <v>117500</v>
      </c>
      <c r="N412" s="3">
        <v>5300</v>
      </c>
    </row>
    <row r="413" spans="1:14" ht="14.4">
      <c r="A413" s="3">
        <v>13365</v>
      </c>
      <c r="B413" s="3">
        <v>13366</v>
      </c>
      <c r="C413" s="3">
        <v>4085</v>
      </c>
      <c r="D413" s="3" t="s">
        <v>18</v>
      </c>
      <c r="E413" s="3" t="s">
        <v>249</v>
      </c>
      <c r="F413" s="3">
        <v>10002</v>
      </c>
      <c r="G413" s="3" t="s">
        <v>32</v>
      </c>
      <c r="H413" s="3" t="s">
        <v>21</v>
      </c>
      <c r="I413" s="3">
        <v>7000</v>
      </c>
      <c r="J413" s="3">
        <v>0</v>
      </c>
      <c r="K413" s="3">
        <v>7000</v>
      </c>
      <c r="L413" s="3">
        <v>0</v>
      </c>
      <c r="M413" s="3">
        <v>0</v>
      </c>
      <c r="N413" s="3">
        <v>0</v>
      </c>
    </row>
    <row r="414" spans="1:14" ht="14.4">
      <c r="A414" s="3">
        <v>13365</v>
      </c>
      <c r="B414" s="3">
        <v>13366</v>
      </c>
      <c r="C414" s="3">
        <v>4085</v>
      </c>
      <c r="D414" s="3" t="s">
        <v>18</v>
      </c>
      <c r="E414" s="3" t="s">
        <v>249</v>
      </c>
      <c r="F414" s="3">
        <v>10010</v>
      </c>
      <c r="G414" s="3" t="s">
        <v>32</v>
      </c>
      <c r="H414" s="3" t="s">
        <v>21</v>
      </c>
      <c r="I414" s="3">
        <v>154405</v>
      </c>
      <c r="J414" s="3">
        <v>131670</v>
      </c>
      <c r="K414" s="3">
        <v>22735</v>
      </c>
      <c r="L414" s="3">
        <v>0</v>
      </c>
      <c r="M414" s="3">
        <v>0</v>
      </c>
      <c r="N414" s="3">
        <v>0</v>
      </c>
    </row>
    <row r="415" spans="1:14" ht="14.4">
      <c r="A415" s="3">
        <v>13365</v>
      </c>
      <c r="B415" s="3">
        <v>13366</v>
      </c>
      <c r="C415" s="3">
        <v>4085</v>
      </c>
      <c r="D415" s="3" t="s">
        <v>18</v>
      </c>
      <c r="E415" s="3" t="s">
        <v>250</v>
      </c>
      <c r="F415" s="3">
        <v>11703</v>
      </c>
      <c r="G415" s="3" t="s">
        <v>23</v>
      </c>
      <c r="H415" s="3" t="s">
        <v>21</v>
      </c>
      <c r="I415" s="3">
        <v>7735</v>
      </c>
      <c r="J415" s="3">
        <v>0</v>
      </c>
      <c r="K415" s="3">
        <v>7735</v>
      </c>
      <c r="L415" s="3">
        <v>0</v>
      </c>
      <c r="M415" s="3">
        <v>0</v>
      </c>
      <c r="N415" s="3">
        <v>0</v>
      </c>
    </row>
    <row r="416" spans="1:14" ht="14.4">
      <c r="A416" s="3">
        <v>13365</v>
      </c>
      <c r="B416" s="3">
        <v>13366</v>
      </c>
      <c r="C416" s="3">
        <v>4085</v>
      </c>
      <c r="D416" s="3" t="s">
        <v>18</v>
      </c>
      <c r="E416" s="3" t="s">
        <v>251</v>
      </c>
      <c r="F416" s="3">
        <v>11510</v>
      </c>
      <c r="G416" s="3" t="s">
        <v>20</v>
      </c>
      <c r="H416" s="3" t="s">
        <v>21</v>
      </c>
      <c r="I416" s="3">
        <v>7000</v>
      </c>
      <c r="J416" s="3">
        <v>0</v>
      </c>
      <c r="K416" s="3">
        <v>7000</v>
      </c>
      <c r="L416" s="3">
        <v>0</v>
      </c>
      <c r="M416" s="3">
        <v>0</v>
      </c>
      <c r="N416" s="3">
        <v>0</v>
      </c>
    </row>
    <row r="417" spans="1:14" ht="14.4">
      <c r="A417" s="3">
        <v>13365</v>
      </c>
      <c r="B417" s="3">
        <v>13366</v>
      </c>
      <c r="C417" s="3">
        <v>4085</v>
      </c>
      <c r="D417" s="3" t="s">
        <v>18</v>
      </c>
      <c r="E417" s="3" t="s">
        <v>252</v>
      </c>
      <c r="F417" s="3">
        <v>11710</v>
      </c>
      <c r="G417" s="3" t="s">
        <v>20</v>
      </c>
      <c r="H417" s="3" t="s">
        <v>21</v>
      </c>
      <c r="I417" s="3">
        <v>21790</v>
      </c>
      <c r="J417" s="3">
        <v>1740</v>
      </c>
      <c r="K417" s="3">
        <v>20050</v>
      </c>
      <c r="L417" s="3">
        <v>31000</v>
      </c>
      <c r="M417" s="3">
        <v>0</v>
      </c>
      <c r="N417" s="3">
        <v>20000</v>
      </c>
    </row>
    <row r="418" spans="1:14" ht="14.4">
      <c r="A418" s="3">
        <v>13365</v>
      </c>
      <c r="B418" s="3">
        <v>13366</v>
      </c>
      <c r="C418" s="3">
        <v>4085</v>
      </c>
      <c r="D418" s="3" t="s">
        <v>18</v>
      </c>
      <c r="E418" s="3" t="s">
        <v>253</v>
      </c>
      <c r="F418" s="3">
        <v>11566</v>
      </c>
      <c r="G418" s="3" t="s">
        <v>20</v>
      </c>
      <c r="H418" s="3" t="s">
        <v>21</v>
      </c>
      <c r="I418" s="3">
        <v>0</v>
      </c>
      <c r="J418" s="3">
        <v>0</v>
      </c>
      <c r="K418" s="3">
        <v>0</v>
      </c>
      <c r="L418" s="3">
        <v>16300</v>
      </c>
      <c r="M418" s="3">
        <v>0</v>
      </c>
      <c r="N418" s="3">
        <v>0</v>
      </c>
    </row>
    <row r="419" spans="1:14" ht="14.4">
      <c r="A419" s="3">
        <v>13365</v>
      </c>
      <c r="B419" s="3">
        <v>13366</v>
      </c>
      <c r="C419" s="3">
        <v>4085</v>
      </c>
      <c r="D419" s="3" t="s">
        <v>18</v>
      </c>
      <c r="E419" s="3" t="s">
        <v>254</v>
      </c>
      <c r="F419" s="3">
        <v>10560</v>
      </c>
      <c r="G419" s="3" t="s">
        <v>64</v>
      </c>
      <c r="H419" s="3" t="s">
        <v>21</v>
      </c>
      <c r="I419" s="3">
        <v>1000</v>
      </c>
      <c r="J419" s="3">
        <v>0</v>
      </c>
      <c r="K419" s="3">
        <v>1000</v>
      </c>
      <c r="L419" s="3">
        <v>0</v>
      </c>
      <c r="M419" s="3">
        <v>0</v>
      </c>
      <c r="N419" s="3">
        <v>0</v>
      </c>
    </row>
    <row r="420" spans="1:14" ht="14.4">
      <c r="A420" s="3">
        <v>13365</v>
      </c>
      <c r="B420" s="3">
        <v>13366</v>
      </c>
      <c r="C420" s="3">
        <v>4085</v>
      </c>
      <c r="D420" s="3" t="s">
        <v>18</v>
      </c>
      <c r="E420" s="3" t="s">
        <v>255</v>
      </c>
      <c r="F420" s="3">
        <v>11581</v>
      </c>
      <c r="G420" s="3" t="s">
        <v>20</v>
      </c>
      <c r="H420" s="3" t="s">
        <v>21</v>
      </c>
      <c r="I420" s="3">
        <v>533190</v>
      </c>
      <c r="J420" s="3">
        <v>68093</v>
      </c>
      <c r="K420" s="3">
        <v>465097</v>
      </c>
      <c r="L420" s="3">
        <v>372400</v>
      </c>
      <c r="M420" s="3">
        <v>14800</v>
      </c>
      <c r="N420" s="3">
        <v>357600</v>
      </c>
    </row>
    <row r="421" spans="1:14" ht="14.4">
      <c r="A421" s="3">
        <v>13365</v>
      </c>
      <c r="B421" s="3">
        <v>13366</v>
      </c>
      <c r="C421" s="3">
        <v>4085</v>
      </c>
      <c r="D421" s="3" t="s">
        <v>18</v>
      </c>
      <c r="E421" s="3" t="s">
        <v>256</v>
      </c>
      <c r="F421" s="3">
        <v>11725</v>
      </c>
      <c r="G421" s="3" t="s">
        <v>23</v>
      </c>
      <c r="H421" s="3" t="s">
        <v>21</v>
      </c>
      <c r="I421" s="3">
        <v>51500</v>
      </c>
      <c r="J421" s="3">
        <v>35449</v>
      </c>
      <c r="K421" s="3">
        <v>16051</v>
      </c>
      <c r="L421" s="3">
        <v>0</v>
      </c>
      <c r="M421" s="3">
        <v>0</v>
      </c>
      <c r="N421" s="3">
        <v>0</v>
      </c>
    </row>
    <row r="422" spans="1:14" ht="14.4">
      <c r="A422" s="3">
        <v>13365</v>
      </c>
      <c r="B422" s="3">
        <v>13366</v>
      </c>
      <c r="C422" s="3">
        <v>4085</v>
      </c>
      <c r="D422" s="3" t="s">
        <v>18</v>
      </c>
      <c r="E422" s="3" t="s">
        <v>256</v>
      </c>
      <c r="F422" s="3">
        <v>11768</v>
      </c>
      <c r="G422" s="3" t="s">
        <v>23</v>
      </c>
      <c r="H422" s="3" t="s">
        <v>21</v>
      </c>
      <c r="I422" s="3">
        <v>20291</v>
      </c>
      <c r="J422" s="3">
        <v>14616</v>
      </c>
      <c r="K422" s="3">
        <v>5675</v>
      </c>
      <c r="L422" s="3">
        <v>145000</v>
      </c>
      <c r="M422" s="3">
        <v>0</v>
      </c>
      <c r="N422" s="3">
        <v>5700</v>
      </c>
    </row>
    <row r="423" spans="1:14" ht="14.4">
      <c r="A423" s="3">
        <v>13365</v>
      </c>
      <c r="B423" s="3">
        <v>13366</v>
      </c>
      <c r="C423" s="3">
        <v>4085</v>
      </c>
      <c r="D423" s="3" t="s">
        <v>18</v>
      </c>
      <c r="E423" s="3" t="s">
        <v>21</v>
      </c>
      <c r="F423" s="3">
        <v>10001</v>
      </c>
      <c r="G423" s="3" t="s">
        <v>32</v>
      </c>
      <c r="H423" s="3" t="s">
        <v>21</v>
      </c>
      <c r="I423" s="3">
        <v>124601</v>
      </c>
      <c r="J423" s="3">
        <v>0</v>
      </c>
      <c r="K423" s="3">
        <v>124601</v>
      </c>
      <c r="L423" s="3">
        <v>166500</v>
      </c>
      <c r="M423" s="3">
        <v>0</v>
      </c>
      <c r="N423" s="3">
        <v>124700</v>
      </c>
    </row>
    <row r="424" spans="1:14" ht="14.4">
      <c r="A424" s="3">
        <v>13365</v>
      </c>
      <c r="B424" s="3">
        <v>13366</v>
      </c>
      <c r="C424" s="3">
        <v>4085</v>
      </c>
      <c r="D424" s="3" t="s">
        <v>18</v>
      </c>
      <c r="E424" s="3" t="s">
        <v>21</v>
      </c>
      <c r="F424" s="3">
        <v>10002</v>
      </c>
      <c r="G424" s="3" t="s">
        <v>32</v>
      </c>
      <c r="H424" s="3" t="s">
        <v>21</v>
      </c>
      <c r="I424" s="3">
        <v>8000</v>
      </c>
      <c r="J424" s="3">
        <v>0</v>
      </c>
      <c r="K424" s="3">
        <v>8000</v>
      </c>
      <c r="L424" s="3">
        <v>0</v>
      </c>
      <c r="M424" s="3">
        <v>0</v>
      </c>
      <c r="N424" s="3">
        <v>0</v>
      </c>
    </row>
    <row r="425" spans="1:14" ht="14.4">
      <c r="A425" s="3">
        <v>13365</v>
      </c>
      <c r="B425" s="3">
        <v>13366</v>
      </c>
      <c r="C425" s="3">
        <v>4085</v>
      </c>
      <c r="D425" s="3" t="s">
        <v>18</v>
      </c>
      <c r="E425" s="3" t="s">
        <v>21</v>
      </c>
      <c r="F425" s="3">
        <v>10003</v>
      </c>
      <c r="G425" s="3" t="s">
        <v>32</v>
      </c>
      <c r="H425" s="3" t="s">
        <v>21</v>
      </c>
      <c r="I425" s="3">
        <v>5100</v>
      </c>
      <c r="J425" s="3">
        <v>0</v>
      </c>
      <c r="K425" s="3">
        <v>5100</v>
      </c>
      <c r="L425" s="3">
        <v>68500</v>
      </c>
      <c r="M425" s="3">
        <v>0</v>
      </c>
      <c r="N425" s="3">
        <v>5100</v>
      </c>
    </row>
    <row r="426" spans="1:14" ht="14.4">
      <c r="A426" s="3">
        <v>13365</v>
      </c>
      <c r="B426" s="3">
        <v>13366</v>
      </c>
      <c r="C426" s="3">
        <v>4085</v>
      </c>
      <c r="D426" s="3" t="s">
        <v>18</v>
      </c>
      <c r="E426" s="3" t="s">
        <v>21</v>
      </c>
      <c r="F426" s="3">
        <v>10007</v>
      </c>
      <c r="G426" s="3" t="s">
        <v>32</v>
      </c>
      <c r="H426" s="3" t="s">
        <v>21</v>
      </c>
      <c r="I426" s="3">
        <v>12500</v>
      </c>
      <c r="J426" s="3">
        <v>0</v>
      </c>
      <c r="K426" s="3">
        <v>12500</v>
      </c>
      <c r="L426" s="3">
        <v>144000</v>
      </c>
      <c r="M426" s="3">
        <v>0</v>
      </c>
      <c r="N426" s="3">
        <v>0</v>
      </c>
    </row>
    <row r="427" spans="1:14" ht="14.4">
      <c r="A427" s="3">
        <v>13365</v>
      </c>
      <c r="B427" s="3">
        <v>13366</v>
      </c>
      <c r="C427" s="3">
        <v>4085</v>
      </c>
      <c r="D427" s="3" t="s">
        <v>18</v>
      </c>
      <c r="E427" s="3" t="s">
        <v>21</v>
      </c>
      <c r="F427" s="3">
        <v>10014</v>
      </c>
      <c r="G427" s="3" t="s">
        <v>32</v>
      </c>
      <c r="H427" s="3" t="s">
        <v>21</v>
      </c>
      <c r="I427" s="3">
        <v>2050</v>
      </c>
      <c r="J427" s="3">
        <v>0</v>
      </c>
      <c r="K427" s="3">
        <v>2050</v>
      </c>
      <c r="L427" s="3">
        <v>0</v>
      </c>
      <c r="M427" s="3">
        <v>0</v>
      </c>
      <c r="N427" s="3">
        <v>0</v>
      </c>
    </row>
    <row r="428" spans="1:14" ht="14.4">
      <c r="A428" s="3">
        <v>13365</v>
      </c>
      <c r="B428" s="3">
        <v>13366</v>
      </c>
      <c r="C428" s="3">
        <v>4085</v>
      </c>
      <c r="D428" s="3" t="s">
        <v>18</v>
      </c>
      <c r="E428" s="3" t="s">
        <v>21</v>
      </c>
      <c r="F428" s="3">
        <v>10016</v>
      </c>
      <c r="G428" s="3" t="s">
        <v>32</v>
      </c>
      <c r="H428" s="3" t="s">
        <v>21</v>
      </c>
      <c r="I428" s="3">
        <v>22787</v>
      </c>
      <c r="J428" s="3">
        <v>10874</v>
      </c>
      <c r="K428" s="3">
        <v>11913</v>
      </c>
      <c r="L428" s="3">
        <v>0</v>
      </c>
      <c r="M428" s="3">
        <v>0</v>
      </c>
      <c r="N428" s="3">
        <v>0</v>
      </c>
    </row>
    <row r="429" spans="1:14" ht="14.4">
      <c r="A429" s="3">
        <v>13365</v>
      </c>
      <c r="B429" s="3">
        <v>13366</v>
      </c>
      <c r="C429" s="3">
        <v>4085</v>
      </c>
      <c r="D429" s="3" t="s">
        <v>18</v>
      </c>
      <c r="E429" s="3" t="s">
        <v>21</v>
      </c>
      <c r="F429" s="3">
        <v>10036</v>
      </c>
      <c r="G429" s="3" t="s">
        <v>32</v>
      </c>
      <c r="H429" s="3" t="s">
        <v>21</v>
      </c>
      <c r="I429" s="3">
        <v>29500</v>
      </c>
      <c r="J429" s="3">
        <v>0</v>
      </c>
      <c r="K429" s="3">
        <v>29500</v>
      </c>
      <c r="L429" s="3">
        <v>0</v>
      </c>
      <c r="M429" s="3">
        <v>0</v>
      </c>
      <c r="N429" s="3">
        <v>0</v>
      </c>
    </row>
    <row r="430" spans="1:14" ht="14.4">
      <c r="A430" s="3">
        <v>13365</v>
      </c>
      <c r="B430" s="3">
        <v>13366</v>
      </c>
      <c r="C430" s="3">
        <v>4085</v>
      </c>
      <c r="D430" s="3" t="s">
        <v>18</v>
      </c>
      <c r="E430" s="3" t="s">
        <v>21</v>
      </c>
      <c r="F430" s="3">
        <v>10038</v>
      </c>
      <c r="G430" s="3" t="s">
        <v>32</v>
      </c>
      <c r="H430" s="3" t="s">
        <v>21</v>
      </c>
      <c r="I430" s="3">
        <v>525676</v>
      </c>
      <c r="J430" s="3">
        <v>461161</v>
      </c>
      <c r="K430" s="3">
        <v>64515</v>
      </c>
      <c r="L430" s="3">
        <v>0</v>
      </c>
      <c r="M430" s="3">
        <v>0</v>
      </c>
      <c r="N430" s="3">
        <v>0</v>
      </c>
    </row>
    <row r="431" spans="1:14" ht="14.4">
      <c r="A431" s="3">
        <v>13365</v>
      </c>
      <c r="B431" s="3">
        <v>13366</v>
      </c>
      <c r="C431" s="3">
        <v>4085</v>
      </c>
      <c r="D431" s="3" t="s">
        <v>18</v>
      </c>
      <c r="E431" s="3" t="s">
        <v>257</v>
      </c>
      <c r="F431" s="3">
        <v>10960</v>
      </c>
      <c r="G431" s="3" t="s">
        <v>85</v>
      </c>
      <c r="H431" s="3" t="s">
        <v>21</v>
      </c>
      <c r="I431" s="3">
        <v>2232551</v>
      </c>
      <c r="J431" s="3">
        <v>2114860</v>
      </c>
      <c r="K431" s="3">
        <v>117691</v>
      </c>
      <c r="L431" s="3">
        <v>391200</v>
      </c>
      <c r="M431" s="3">
        <v>323300</v>
      </c>
      <c r="N431" s="3">
        <v>67900</v>
      </c>
    </row>
    <row r="432" spans="1:14" ht="14.4">
      <c r="A432" s="3">
        <v>13365</v>
      </c>
      <c r="B432" s="3">
        <v>13366</v>
      </c>
      <c r="C432" s="3">
        <v>4085</v>
      </c>
      <c r="D432" s="3" t="s">
        <v>18</v>
      </c>
      <c r="E432" s="3" t="s">
        <v>258</v>
      </c>
      <c r="F432" s="3">
        <v>10003</v>
      </c>
      <c r="G432" s="3" t="s">
        <v>32</v>
      </c>
      <c r="H432" s="3" t="s">
        <v>21</v>
      </c>
      <c r="I432" s="3">
        <v>0</v>
      </c>
      <c r="J432" s="3">
        <v>0</v>
      </c>
      <c r="K432" s="3">
        <v>0</v>
      </c>
      <c r="L432" s="3">
        <v>103800</v>
      </c>
      <c r="M432" s="3">
        <v>0</v>
      </c>
      <c r="N432" s="3">
        <v>0</v>
      </c>
    </row>
    <row r="433" spans="1:14" ht="14.4">
      <c r="A433" s="3">
        <v>13365</v>
      </c>
      <c r="B433" s="3">
        <v>13366</v>
      </c>
      <c r="C433" s="3">
        <v>4085</v>
      </c>
      <c r="D433" s="3" t="s">
        <v>18</v>
      </c>
      <c r="E433" s="3" t="s">
        <v>258</v>
      </c>
      <c r="F433" s="3">
        <v>10029</v>
      </c>
      <c r="G433" s="3" t="s">
        <v>32</v>
      </c>
      <c r="H433" s="3" t="s">
        <v>21</v>
      </c>
      <c r="I433" s="3">
        <v>203459</v>
      </c>
      <c r="J433" s="3">
        <v>188459</v>
      </c>
      <c r="K433" s="3">
        <v>15000</v>
      </c>
      <c r="L433" s="3">
        <v>0</v>
      </c>
      <c r="M433" s="3">
        <v>0</v>
      </c>
      <c r="N433" s="3">
        <v>0</v>
      </c>
    </row>
    <row r="434" spans="1:14" ht="14.4">
      <c r="A434" s="3">
        <v>13365</v>
      </c>
      <c r="B434" s="3">
        <v>13366</v>
      </c>
      <c r="C434" s="3">
        <v>4085</v>
      </c>
      <c r="D434" s="3" t="s">
        <v>18</v>
      </c>
      <c r="E434" s="3" t="s">
        <v>259</v>
      </c>
      <c r="F434" s="3">
        <v>11702</v>
      </c>
      <c r="G434" s="3" t="s">
        <v>23</v>
      </c>
      <c r="H434" s="3" t="s">
        <v>21</v>
      </c>
      <c r="I434" s="3">
        <v>5500</v>
      </c>
      <c r="J434" s="3">
        <v>0</v>
      </c>
      <c r="K434" s="3">
        <v>5500</v>
      </c>
      <c r="L434" s="3">
        <v>0</v>
      </c>
      <c r="M434" s="3">
        <v>0</v>
      </c>
      <c r="N434" s="3">
        <v>0</v>
      </c>
    </row>
    <row r="435" spans="1:14" ht="14.4">
      <c r="A435" s="3">
        <v>13365</v>
      </c>
      <c r="B435" s="3">
        <v>13366</v>
      </c>
      <c r="C435" s="3">
        <v>4085</v>
      </c>
      <c r="D435" s="3" t="s">
        <v>18</v>
      </c>
      <c r="E435" s="3" t="s">
        <v>260</v>
      </c>
      <c r="F435" s="3">
        <v>11769</v>
      </c>
      <c r="G435" s="3" t="s">
        <v>23</v>
      </c>
      <c r="H435" s="3" t="s">
        <v>21</v>
      </c>
      <c r="I435" s="3">
        <v>62360</v>
      </c>
      <c r="J435" s="3">
        <v>55535</v>
      </c>
      <c r="K435" s="3">
        <v>6825</v>
      </c>
      <c r="L435" s="3">
        <v>58100</v>
      </c>
      <c r="M435" s="3">
        <v>19300</v>
      </c>
      <c r="N435" s="3">
        <v>600</v>
      </c>
    </row>
    <row r="436" spans="1:14" ht="14.4">
      <c r="A436" s="3">
        <v>13365</v>
      </c>
      <c r="B436" s="3">
        <v>13366</v>
      </c>
      <c r="C436" s="3">
        <v>4085</v>
      </c>
      <c r="D436" s="3" t="s">
        <v>18</v>
      </c>
      <c r="E436" s="3" t="s">
        <v>261</v>
      </c>
      <c r="F436" s="3">
        <v>11364</v>
      </c>
      <c r="G436" s="3" t="s">
        <v>28</v>
      </c>
      <c r="H436" s="3" t="s">
        <v>21</v>
      </c>
      <c r="I436" s="3">
        <v>21961</v>
      </c>
      <c r="J436" s="3">
        <v>0</v>
      </c>
      <c r="K436" s="3">
        <v>21961</v>
      </c>
      <c r="L436" s="3">
        <v>0</v>
      </c>
      <c r="M436" s="3">
        <v>0</v>
      </c>
      <c r="N436" s="3">
        <v>0</v>
      </c>
    </row>
    <row r="437" spans="1:14" ht="14.4">
      <c r="A437" s="3">
        <v>13365</v>
      </c>
      <c r="B437" s="3">
        <v>13366</v>
      </c>
      <c r="C437" s="3">
        <v>4085</v>
      </c>
      <c r="D437" s="3" t="s">
        <v>18</v>
      </c>
      <c r="E437" s="3" t="s">
        <v>262</v>
      </c>
      <c r="F437" s="3">
        <v>11770</v>
      </c>
      <c r="G437" s="3" t="s">
        <v>23</v>
      </c>
      <c r="H437" s="3" t="s">
        <v>21</v>
      </c>
      <c r="I437" s="3">
        <v>657360</v>
      </c>
      <c r="J437" s="3">
        <v>634820</v>
      </c>
      <c r="K437" s="3">
        <v>22540</v>
      </c>
      <c r="L437" s="3">
        <v>70400</v>
      </c>
      <c r="M437" s="3">
        <v>70400</v>
      </c>
      <c r="N437" s="3">
        <v>0</v>
      </c>
    </row>
    <row r="438" spans="1:14" ht="14.4">
      <c r="A438" s="3">
        <v>13365</v>
      </c>
      <c r="B438" s="3">
        <v>13366</v>
      </c>
      <c r="C438" s="3">
        <v>4085</v>
      </c>
      <c r="D438" s="3" t="s">
        <v>18</v>
      </c>
      <c r="E438" s="3" t="s">
        <v>263</v>
      </c>
      <c r="F438" s="3">
        <v>11770</v>
      </c>
      <c r="G438" s="3" t="s">
        <v>23</v>
      </c>
      <c r="H438" s="3" t="s">
        <v>21</v>
      </c>
      <c r="I438" s="3">
        <v>448489</v>
      </c>
      <c r="J438" s="3">
        <v>414189</v>
      </c>
      <c r="K438" s="3">
        <v>34300</v>
      </c>
      <c r="L438" s="3">
        <v>0</v>
      </c>
      <c r="M438" s="3">
        <v>0</v>
      </c>
      <c r="N438" s="3">
        <v>0</v>
      </c>
    </row>
    <row r="439" spans="1:14" ht="14.4">
      <c r="A439" s="3">
        <v>13365</v>
      </c>
      <c r="B439" s="3">
        <v>13366</v>
      </c>
      <c r="C439" s="3">
        <v>4085</v>
      </c>
      <c r="D439" s="3" t="s">
        <v>18</v>
      </c>
      <c r="E439" s="3" t="s">
        <v>264</v>
      </c>
      <c r="F439" s="3">
        <v>11770</v>
      </c>
      <c r="G439" s="3" t="s">
        <v>23</v>
      </c>
      <c r="H439" s="3" t="s">
        <v>21</v>
      </c>
      <c r="I439" s="3">
        <v>2245273</v>
      </c>
      <c r="J439" s="3">
        <v>1563004</v>
      </c>
      <c r="K439" s="3">
        <v>682269</v>
      </c>
      <c r="L439" s="3">
        <v>1105500</v>
      </c>
      <c r="M439" s="3">
        <v>616200</v>
      </c>
      <c r="N439" s="3">
        <v>264700</v>
      </c>
    </row>
    <row r="440" spans="1:14" ht="14.4">
      <c r="A440" s="3">
        <v>13365</v>
      </c>
      <c r="B440" s="3">
        <v>13366</v>
      </c>
      <c r="C440" s="3">
        <v>4085</v>
      </c>
      <c r="D440" s="3" t="s">
        <v>18</v>
      </c>
      <c r="E440" s="3" t="s">
        <v>265</v>
      </c>
      <c r="F440" s="3">
        <v>11572</v>
      </c>
      <c r="G440" s="3" t="s">
        <v>20</v>
      </c>
      <c r="H440" s="3" t="s">
        <v>21</v>
      </c>
      <c r="I440" s="3">
        <v>443281</v>
      </c>
      <c r="J440" s="3">
        <v>66492</v>
      </c>
      <c r="K440" s="3">
        <v>376789</v>
      </c>
      <c r="L440" s="3">
        <v>0</v>
      </c>
      <c r="M440" s="3">
        <v>0</v>
      </c>
      <c r="N440" s="3">
        <v>0</v>
      </c>
    </row>
    <row r="441" spans="1:14" ht="14.4">
      <c r="A441" s="3">
        <v>13365</v>
      </c>
      <c r="B441" s="3">
        <v>13366</v>
      </c>
      <c r="C441" s="3">
        <v>4085</v>
      </c>
      <c r="D441" s="3" t="s">
        <v>18</v>
      </c>
      <c r="E441" s="3" t="s">
        <v>266</v>
      </c>
      <c r="F441" s="3">
        <v>11572</v>
      </c>
      <c r="G441" s="3" t="s">
        <v>20</v>
      </c>
      <c r="H441" s="3" t="s">
        <v>21</v>
      </c>
      <c r="I441" s="3">
        <v>11100</v>
      </c>
      <c r="J441" s="3">
        <v>0</v>
      </c>
      <c r="K441" s="3">
        <v>11100</v>
      </c>
      <c r="L441" s="3">
        <v>0</v>
      </c>
      <c r="M441" s="3">
        <v>0</v>
      </c>
      <c r="N441" s="3">
        <v>0</v>
      </c>
    </row>
    <row r="442" spans="1:14" ht="14.4">
      <c r="A442" s="3">
        <v>13365</v>
      </c>
      <c r="B442" s="3">
        <v>13366</v>
      </c>
      <c r="C442" s="3">
        <v>4085</v>
      </c>
      <c r="D442" s="3" t="s">
        <v>18</v>
      </c>
      <c r="E442" s="3" t="s">
        <v>267</v>
      </c>
      <c r="F442" s="3">
        <v>11510</v>
      </c>
      <c r="G442" s="3" t="s">
        <v>20</v>
      </c>
      <c r="H442" s="3" t="s">
        <v>21</v>
      </c>
      <c r="I442" s="3">
        <v>74732</v>
      </c>
      <c r="J442" s="3">
        <v>43746</v>
      </c>
      <c r="K442" s="3">
        <v>30986</v>
      </c>
      <c r="L442" s="3">
        <v>19000</v>
      </c>
      <c r="M442" s="3">
        <v>8500</v>
      </c>
      <c r="N442" s="3">
        <v>5500</v>
      </c>
    </row>
    <row r="443" spans="1:14" ht="14.4">
      <c r="A443" s="3">
        <v>13365</v>
      </c>
      <c r="B443" s="3">
        <v>13366</v>
      </c>
      <c r="C443" s="3">
        <v>4085</v>
      </c>
      <c r="D443" s="3" t="s">
        <v>18</v>
      </c>
      <c r="E443" s="3" t="s">
        <v>267</v>
      </c>
      <c r="F443" s="3">
        <v>11518</v>
      </c>
      <c r="G443" s="3" t="s">
        <v>20</v>
      </c>
      <c r="H443" s="3" t="s">
        <v>21</v>
      </c>
      <c r="I443" s="3">
        <v>312467</v>
      </c>
      <c r="J443" s="3">
        <v>288217</v>
      </c>
      <c r="K443" s="3">
        <v>24250</v>
      </c>
      <c r="L443" s="3">
        <v>0</v>
      </c>
      <c r="M443" s="3">
        <v>0</v>
      </c>
      <c r="N443" s="3">
        <v>0</v>
      </c>
    </row>
    <row r="444" spans="1:14" ht="14.4">
      <c r="A444" s="3">
        <v>13365</v>
      </c>
      <c r="B444" s="3">
        <v>13366</v>
      </c>
      <c r="C444" s="3">
        <v>4085</v>
      </c>
      <c r="D444" s="3" t="s">
        <v>18</v>
      </c>
      <c r="E444" s="3" t="s">
        <v>267</v>
      </c>
      <c r="F444" s="3">
        <v>11554</v>
      </c>
      <c r="G444" s="3" t="s">
        <v>20</v>
      </c>
      <c r="H444" s="3" t="s">
        <v>21</v>
      </c>
      <c r="I444" s="3">
        <v>219703</v>
      </c>
      <c r="J444" s="3">
        <v>65253</v>
      </c>
      <c r="K444" s="3">
        <v>154450</v>
      </c>
      <c r="L444" s="3">
        <v>332700</v>
      </c>
      <c r="M444" s="3">
        <v>58000</v>
      </c>
      <c r="N444" s="3">
        <v>154500</v>
      </c>
    </row>
    <row r="445" spans="1:14" ht="14.4">
      <c r="A445" s="3">
        <v>13365</v>
      </c>
      <c r="B445" s="3">
        <v>13366</v>
      </c>
      <c r="C445" s="3">
        <v>4085</v>
      </c>
      <c r="D445" s="3" t="s">
        <v>18</v>
      </c>
      <c r="E445" s="3" t="s">
        <v>267</v>
      </c>
      <c r="F445" s="3">
        <v>11570</v>
      </c>
      <c r="G445" s="3" t="s">
        <v>20</v>
      </c>
      <c r="H445" s="3" t="s">
        <v>21</v>
      </c>
      <c r="I445" s="3">
        <v>30199</v>
      </c>
      <c r="J445" s="3">
        <v>10599</v>
      </c>
      <c r="K445" s="3">
        <v>19600</v>
      </c>
      <c r="L445" s="3">
        <v>0</v>
      </c>
      <c r="M445" s="3">
        <v>0</v>
      </c>
      <c r="N445" s="3">
        <v>0</v>
      </c>
    </row>
    <row r="446" spans="1:14" ht="14.4">
      <c r="A446" s="3">
        <v>13365</v>
      </c>
      <c r="B446" s="3">
        <v>13366</v>
      </c>
      <c r="C446" s="3">
        <v>4085</v>
      </c>
      <c r="D446" s="3" t="s">
        <v>18</v>
      </c>
      <c r="E446" s="3" t="s">
        <v>267</v>
      </c>
      <c r="F446" s="3">
        <v>11572</v>
      </c>
      <c r="G446" s="3" t="s">
        <v>20</v>
      </c>
      <c r="H446" s="3" t="s">
        <v>21</v>
      </c>
      <c r="I446" s="3">
        <v>24271984</v>
      </c>
      <c r="J446" s="3">
        <v>9328552</v>
      </c>
      <c r="K446" s="3">
        <v>14943432</v>
      </c>
      <c r="L446" s="3">
        <v>10829600</v>
      </c>
      <c r="M446" s="3">
        <v>2341300</v>
      </c>
      <c r="N446" s="3">
        <v>6297800</v>
      </c>
    </row>
    <row r="447" spans="1:14" ht="14.4">
      <c r="A447" s="3">
        <v>13365</v>
      </c>
      <c r="B447" s="3">
        <v>13366</v>
      </c>
      <c r="C447" s="3">
        <v>4085</v>
      </c>
      <c r="D447" s="3" t="s">
        <v>18</v>
      </c>
      <c r="E447" s="3" t="s">
        <v>268</v>
      </c>
      <c r="F447" s="3">
        <v>11572</v>
      </c>
      <c r="G447" s="3" t="s">
        <v>20</v>
      </c>
      <c r="H447" s="3" t="s">
        <v>21</v>
      </c>
      <c r="I447" s="3">
        <v>204082</v>
      </c>
      <c r="J447" s="3">
        <v>165757</v>
      </c>
      <c r="K447" s="3">
        <v>38325</v>
      </c>
      <c r="L447" s="3">
        <v>0</v>
      </c>
      <c r="M447" s="3">
        <v>0</v>
      </c>
      <c r="N447" s="3">
        <v>0</v>
      </c>
    </row>
    <row r="448" spans="1:14" ht="14.4">
      <c r="A448" s="3">
        <v>13365</v>
      </c>
      <c r="B448" s="3">
        <v>13366</v>
      </c>
      <c r="C448" s="3">
        <v>4085</v>
      </c>
      <c r="D448" s="3" t="s">
        <v>18</v>
      </c>
      <c r="E448" s="3" t="s">
        <v>269</v>
      </c>
      <c r="F448" s="3">
        <v>11804</v>
      </c>
      <c r="G448" s="3" t="s">
        <v>20</v>
      </c>
      <c r="H448" s="3" t="s">
        <v>21</v>
      </c>
      <c r="I448" s="3">
        <v>303478</v>
      </c>
      <c r="J448" s="3">
        <v>295854</v>
      </c>
      <c r="K448" s="3">
        <v>7624</v>
      </c>
      <c r="L448" s="3">
        <v>0</v>
      </c>
      <c r="M448" s="3">
        <v>0</v>
      </c>
      <c r="N448" s="3">
        <v>0</v>
      </c>
    </row>
    <row r="449" spans="1:14" ht="14.4">
      <c r="A449" s="3">
        <v>13365</v>
      </c>
      <c r="B449" s="3">
        <v>13366</v>
      </c>
      <c r="C449" s="3">
        <v>4085</v>
      </c>
      <c r="D449" s="3" t="s">
        <v>18</v>
      </c>
      <c r="E449" s="3" t="s">
        <v>270</v>
      </c>
      <c r="F449" s="3">
        <v>11957</v>
      </c>
      <c r="G449" s="3" t="s">
        <v>23</v>
      </c>
      <c r="H449" s="3" t="s">
        <v>21</v>
      </c>
      <c r="I449" s="3">
        <v>119747</v>
      </c>
      <c r="J449" s="3">
        <v>118687</v>
      </c>
      <c r="K449" s="3">
        <v>1060</v>
      </c>
      <c r="L449" s="3">
        <v>0</v>
      </c>
      <c r="M449" s="3">
        <v>0</v>
      </c>
      <c r="N449" s="3">
        <v>0</v>
      </c>
    </row>
    <row r="450" spans="1:14" ht="14.4">
      <c r="A450" s="3">
        <v>13365</v>
      </c>
      <c r="B450" s="3">
        <v>13366</v>
      </c>
      <c r="C450" s="3">
        <v>4085</v>
      </c>
      <c r="D450" s="3" t="s">
        <v>18</v>
      </c>
      <c r="E450" s="3" t="s">
        <v>271</v>
      </c>
      <c r="F450" s="3">
        <v>10562</v>
      </c>
      <c r="G450" s="3" t="s">
        <v>64</v>
      </c>
      <c r="H450" s="3" t="s">
        <v>21</v>
      </c>
      <c r="I450" s="3">
        <v>250969</v>
      </c>
      <c r="J450" s="3">
        <v>244669</v>
      </c>
      <c r="K450" s="3">
        <v>6300</v>
      </c>
      <c r="L450" s="3">
        <v>0</v>
      </c>
      <c r="M450" s="3">
        <v>0</v>
      </c>
      <c r="N450" s="3">
        <v>0</v>
      </c>
    </row>
    <row r="451" spans="1:14" ht="14.4">
      <c r="A451" s="3">
        <v>13365</v>
      </c>
      <c r="B451" s="3">
        <v>13366</v>
      </c>
      <c r="C451" s="3">
        <v>4085</v>
      </c>
      <c r="D451" s="3" t="s">
        <v>18</v>
      </c>
      <c r="E451" s="3" t="s">
        <v>272</v>
      </c>
      <c r="F451" s="3">
        <v>11771</v>
      </c>
      <c r="G451" s="3" t="s">
        <v>20</v>
      </c>
      <c r="H451" s="3" t="s">
        <v>21</v>
      </c>
      <c r="I451" s="3">
        <v>5000</v>
      </c>
      <c r="J451" s="3">
        <v>0</v>
      </c>
      <c r="K451" s="3">
        <v>5000</v>
      </c>
      <c r="L451" s="3">
        <v>0</v>
      </c>
      <c r="M451" s="3">
        <v>0</v>
      </c>
      <c r="N451" s="3">
        <v>0</v>
      </c>
    </row>
    <row r="452" spans="1:14" ht="14.4">
      <c r="A452" s="3">
        <v>13365</v>
      </c>
      <c r="B452" s="3">
        <v>13366</v>
      </c>
      <c r="C452" s="3">
        <v>4085</v>
      </c>
      <c r="D452" s="3" t="s">
        <v>18</v>
      </c>
      <c r="E452" s="3" t="s">
        <v>273</v>
      </c>
      <c r="F452" s="3">
        <v>11771</v>
      </c>
      <c r="G452" s="3" t="s">
        <v>20</v>
      </c>
      <c r="H452" s="3" t="s">
        <v>21</v>
      </c>
      <c r="I452" s="3">
        <v>19861</v>
      </c>
      <c r="J452" s="3">
        <v>19861</v>
      </c>
      <c r="K452" s="3">
        <v>0</v>
      </c>
      <c r="L452" s="3">
        <v>0</v>
      </c>
      <c r="M452" s="3">
        <v>0</v>
      </c>
      <c r="N452" s="3">
        <v>0</v>
      </c>
    </row>
    <row r="453" spans="1:14" ht="14.4">
      <c r="A453" s="3">
        <v>13365</v>
      </c>
      <c r="B453" s="3">
        <v>13366</v>
      </c>
      <c r="C453" s="3">
        <v>4085</v>
      </c>
      <c r="D453" s="3" t="s">
        <v>18</v>
      </c>
      <c r="E453" s="3" t="s">
        <v>274</v>
      </c>
      <c r="F453" s="3">
        <v>11414</v>
      </c>
      <c r="G453" s="3" t="s">
        <v>28</v>
      </c>
      <c r="H453" s="3" t="s">
        <v>21</v>
      </c>
      <c r="I453" s="3">
        <v>5000</v>
      </c>
      <c r="J453" s="3">
        <v>0</v>
      </c>
      <c r="K453" s="3">
        <v>5000</v>
      </c>
      <c r="L453" s="3">
        <v>0</v>
      </c>
      <c r="M453" s="3">
        <v>0</v>
      </c>
      <c r="N453" s="3">
        <v>0</v>
      </c>
    </row>
    <row r="454" spans="1:14" ht="14.4">
      <c r="A454" s="3">
        <v>13365</v>
      </c>
      <c r="B454" s="3">
        <v>13366</v>
      </c>
      <c r="C454" s="3">
        <v>4085</v>
      </c>
      <c r="D454" s="3" t="s">
        <v>18</v>
      </c>
      <c r="E454" s="3" t="s">
        <v>274</v>
      </c>
      <c r="F454" s="3">
        <v>11416</v>
      </c>
      <c r="G454" s="3" t="s">
        <v>28</v>
      </c>
      <c r="H454" s="3" t="s">
        <v>21</v>
      </c>
      <c r="I454" s="3">
        <v>80782</v>
      </c>
      <c r="J454" s="3">
        <v>10875</v>
      </c>
      <c r="K454" s="3">
        <v>69907</v>
      </c>
      <c r="L454" s="3">
        <v>63000</v>
      </c>
      <c r="M454" s="3">
        <v>1000</v>
      </c>
      <c r="N454" s="3">
        <v>50000</v>
      </c>
    </row>
    <row r="455" spans="1:14" ht="14.4">
      <c r="A455" s="3">
        <v>13365</v>
      </c>
      <c r="B455" s="3">
        <v>13366</v>
      </c>
      <c r="C455" s="3">
        <v>4085</v>
      </c>
      <c r="D455" s="3" t="s">
        <v>18</v>
      </c>
      <c r="E455" s="3" t="s">
        <v>274</v>
      </c>
      <c r="F455" s="3">
        <v>11417</v>
      </c>
      <c r="G455" s="3" t="s">
        <v>28</v>
      </c>
      <c r="H455" s="3" t="s">
        <v>21</v>
      </c>
      <c r="I455" s="3">
        <v>57900</v>
      </c>
      <c r="J455" s="3">
        <v>11761</v>
      </c>
      <c r="K455" s="3">
        <v>46139</v>
      </c>
      <c r="L455" s="3">
        <v>9300</v>
      </c>
      <c r="M455" s="3">
        <v>0</v>
      </c>
      <c r="N455" s="3">
        <v>9300</v>
      </c>
    </row>
    <row r="456" spans="1:14" ht="14.4">
      <c r="A456" s="3">
        <v>13365</v>
      </c>
      <c r="B456" s="3">
        <v>13366</v>
      </c>
      <c r="C456" s="3">
        <v>4085</v>
      </c>
      <c r="D456" s="3" t="s">
        <v>18</v>
      </c>
      <c r="E456" s="3" t="s">
        <v>275</v>
      </c>
      <c r="F456" s="3">
        <v>11772</v>
      </c>
      <c r="G456" s="3" t="s">
        <v>23</v>
      </c>
      <c r="H456" s="3" t="s">
        <v>21</v>
      </c>
      <c r="I456" s="3">
        <v>1996774</v>
      </c>
      <c r="J456" s="3">
        <v>1597045</v>
      </c>
      <c r="K456" s="3">
        <v>399729</v>
      </c>
      <c r="L456" s="3">
        <v>880400</v>
      </c>
      <c r="M456" s="3">
        <v>709200</v>
      </c>
      <c r="N456" s="3">
        <v>166200</v>
      </c>
    </row>
    <row r="457" spans="1:14" ht="14.4">
      <c r="A457" s="3">
        <v>13365</v>
      </c>
      <c r="B457" s="3">
        <v>13366</v>
      </c>
      <c r="C457" s="3">
        <v>4085</v>
      </c>
      <c r="D457" s="3" t="s">
        <v>18</v>
      </c>
      <c r="E457" s="3" t="s">
        <v>276</v>
      </c>
      <c r="F457" s="3">
        <v>12563</v>
      </c>
      <c r="G457" s="3" t="s">
        <v>58</v>
      </c>
      <c r="H457" s="3" t="s">
        <v>21</v>
      </c>
      <c r="I457" s="3">
        <v>82673</v>
      </c>
      <c r="J457" s="3">
        <v>82673</v>
      </c>
      <c r="K457" s="3">
        <v>0</v>
      </c>
      <c r="L457" s="3">
        <v>0</v>
      </c>
      <c r="M457" s="3">
        <v>0</v>
      </c>
      <c r="N457" s="3">
        <v>0</v>
      </c>
    </row>
    <row r="458" spans="1:14" ht="14.4">
      <c r="A458" s="3">
        <v>13365</v>
      </c>
      <c r="B458" s="3">
        <v>13366</v>
      </c>
      <c r="C458" s="3">
        <v>4085</v>
      </c>
      <c r="D458" s="3" t="s">
        <v>18</v>
      </c>
      <c r="E458" s="3" t="s">
        <v>277</v>
      </c>
      <c r="F458" s="3">
        <v>10965</v>
      </c>
      <c r="G458" s="3" t="s">
        <v>85</v>
      </c>
      <c r="H458" s="3" t="s">
        <v>21</v>
      </c>
      <c r="I458" s="3">
        <v>486927</v>
      </c>
      <c r="J458" s="3">
        <v>453795</v>
      </c>
      <c r="K458" s="3">
        <v>33132</v>
      </c>
      <c r="L458" s="3">
        <v>73100</v>
      </c>
      <c r="M458" s="3">
        <v>57600</v>
      </c>
      <c r="N458" s="3">
        <v>15500</v>
      </c>
    </row>
    <row r="459" spans="1:14" ht="14.4">
      <c r="A459" s="3">
        <v>13365</v>
      </c>
      <c r="B459" s="3">
        <v>13366</v>
      </c>
      <c r="C459" s="3">
        <v>4085</v>
      </c>
      <c r="D459" s="3" t="s">
        <v>18</v>
      </c>
      <c r="E459" s="3" t="s">
        <v>278</v>
      </c>
      <c r="F459" s="3">
        <v>10566</v>
      </c>
      <c r="G459" s="3" t="s">
        <v>64</v>
      </c>
      <c r="H459" s="3" t="s">
        <v>21</v>
      </c>
      <c r="I459" s="3">
        <v>42725</v>
      </c>
      <c r="J459" s="3">
        <v>0</v>
      </c>
      <c r="K459" s="3">
        <v>42725</v>
      </c>
      <c r="L459" s="3">
        <v>0</v>
      </c>
      <c r="M459" s="3">
        <v>0</v>
      </c>
      <c r="N459" s="3">
        <v>0</v>
      </c>
    </row>
    <row r="460" spans="1:14" ht="14.4">
      <c r="A460" s="3">
        <v>13365</v>
      </c>
      <c r="B460" s="3">
        <v>13366</v>
      </c>
      <c r="C460" s="3">
        <v>4085</v>
      </c>
      <c r="D460" s="3" t="s">
        <v>18</v>
      </c>
      <c r="E460" s="3" t="s">
        <v>278</v>
      </c>
      <c r="F460" s="3">
        <v>10604</v>
      </c>
      <c r="G460" s="3" t="s">
        <v>64</v>
      </c>
      <c r="H460" s="3" t="s">
        <v>21</v>
      </c>
      <c r="I460" s="3">
        <v>18000</v>
      </c>
      <c r="J460" s="3">
        <v>0</v>
      </c>
      <c r="K460" s="3">
        <v>18000</v>
      </c>
      <c r="L460" s="3">
        <v>0</v>
      </c>
      <c r="M460" s="3">
        <v>0</v>
      </c>
      <c r="N460" s="3">
        <v>0</v>
      </c>
    </row>
    <row r="461" spans="1:14" ht="14.4">
      <c r="A461" s="3">
        <v>13365</v>
      </c>
      <c r="B461" s="3">
        <v>13366</v>
      </c>
      <c r="C461" s="3">
        <v>4085</v>
      </c>
      <c r="D461" s="3" t="s">
        <v>18</v>
      </c>
      <c r="E461" s="3" t="s">
        <v>279</v>
      </c>
      <c r="F461" s="3">
        <v>10968</v>
      </c>
      <c r="G461" s="3" t="s">
        <v>85</v>
      </c>
      <c r="H461" s="3" t="s">
        <v>21</v>
      </c>
      <c r="I461" s="3">
        <v>1573160</v>
      </c>
      <c r="J461" s="3">
        <v>1402015</v>
      </c>
      <c r="K461" s="3">
        <v>171145</v>
      </c>
      <c r="L461" s="3">
        <v>397900</v>
      </c>
      <c r="M461" s="3">
        <v>376100</v>
      </c>
      <c r="N461" s="3">
        <v>12200</v>
      </c>
    </row>
    <row r="462" spans="1:14" ht="14.4">
      <c r="A462" s="3">
        <v>13365</v>
      </c>
      <c r="B462" s="3">
        <v>13366</v>
      </c>
      <c r="C462" s="3">
        <v>4085</v>
      </c>
      <c r="D462" s="3" t="s">
        <v>18</v>
      </c>
      <c r="E462" s="3" t="s">
        <v>280</v>
      </c>
      <c r="F462" s="3">
        <v>12566</v>
      </c>
      <c r="G462" s="3" t="s">
        <v>186</v>
      </c>
      <c r="H462" s="3" t="s">
        <v>21</v>
      </c>
      <c r="I462" s="3">
        <v>74016</v>
      </c>
      <c r="J462" s="3">
        <v>65666</v>
      </c>
      <c r="K462" s="3">
        <v>8350</v>
      </c>
      <c r="L462" s="3">
        <v>0</v>
      </c>
      <c r="M462" s="3">
        <v>0</v>
      </c>
      <c r="N462" s="3">
        <v>0</v>
      </c>
    </row>
    <row r="463" spans="1:14" ht="14.4">
      <c r="A463" s="3">
        <v>13365</v>
      </c>
      <c r="B463" s="3">
        <v>13366</v>
      </c>
      <c r="C463" s="3">
        <v>4085</v>
      </c>
      <c r="D463" s="3" t="s">
        <v>18</v>
      </c>
      <c r="E463" s="3" t="s">
        <v>281</v>
      </c>
      <c r="F463" s="3">
        <v>11803</v>
      </c>
      <c r="G463" s="3" t="s">
        <v>20</v>
      </c>
      <c r="H463" s="3" t="s">
        <v>21</v>
      </c>
      <c r="I463" s="3">
        <v>916701</v>
      </c>
      <c r="J463" s="3">
        <v>100210</v>
      </c>
      <c r="K463" s="3">
        <v>816491</v>
      </c>
      <c r="L463" s="3">
        <v>655800</v>
      </c>
      <c r="M463" s="3">
        <v>0</v>
      </c>
      <c r="N463" s="3">
        <v>195400</v>
      </c>
    </row>
    <row r="464" spans="1:14" ht="14.4">
      <c r="A464" s="3">
        <v>13365</v>
      </c>
      <c r="B464" s="3">
        <v>13366</v>
      </c>
      <c r="C464" s="3">
        <v>4085</v>
      </c>
      <c r="D464" s="3" t="s">
        <v>18</v>
      </c>
      <c r="E464" s="3" t="s">
        <v>282</v>
      </c>
      <c r="F464" s="3">
        <v>10570</v>
      </c>
      <c r="G464" s="3" t="s">
        <v>64</v>
      </c>
      <c r="H464" s="3" t="s">
        <v>21</v>
      </c>
      <c r="I464" s="3">
        <v>22000</v>
      </c>
      <c r="J464" s="3">
        <v>0</v>
      </c>
      <c r="K464" s="3">
        <v>22000</v>
      </c>
      <c r="L464" s="3">
        <v>36500</v>
      </c>
      <c r="M464" s="3">
        <v>0</v>
      </c>
      <c r="N464" s="3">
        <v>22000</v>
      </c>
    </row>
    <row r="465" spans="1:14" ht="14.4">
      <c r="A465" s="3">
        <v>13365</v>
      </c>
      <c r="B465" s="3">
        <v>13366</v>
      </c>
      <c r="C465" s="3">
        <v>4085</v>
      </c>
      <c r="D465" s="3" t="s">
        <v>18</v>
      </c>
      <c r="E465" s="3" t="s">
        <v>283</v>
      </c>
      <c r="F465" s="3">
        <v>11561</v>
      </c>
      <c r="G465" s="3" t="s">
        <v>20</v>
      </c>
      <c r="H465" s="3" t="s">
        <v>21</v>
      </c>
      <c r="I465" s="3">
        <v>88664</v>
      </c>
      <c r="J465" s="3">
        <v>23664</v>
      </c>
      <c r="K465" s="3">
        <v>65000</v>
      </c>
      <c r="L465" s="3">
        <v>65000</v>
      </c>
      <c r="M465" s="3">
        <v>0</v>
      </c>
      <c r="N465" s="3">
        <v>65000</v>
      </c>
    </row>
    <row r="466" spans="1:14" ht="14.4">
      <c r="A466" s="3">
        <v>13365</v>
      </c>
      <c r="B466" s="3">
        <v>13366</v>
      </c>
      <c r="C466" s="3">
        <v>4085</v>
      </c>
      <c r="D466" s="3" t="s">
        <v>18</v>
      </c>
      <c r="E466" s="3" t="s">
        <v>283</v>
      </c>
      <c r="F466" s="3">
        <v>11569</v>
      </c>
      <c r="G466" s="3" t="s">
        <v>20</v>
      </c>
      <c r="H466" s="3" t="s">
        <v>21</v>
      </c>
      <c r="I466" s="3">
        <v>1995843</v>
      </c>
      <c r="J466" s="3">
        <v>1476792</v>
      </c>
      <c r="K466" s="3">
        <v>519051</v>
      </c>
      <c r="L466" s="3">
        <v>1472900</v>
      </c>
      <c r="M466" s="3">
        <v>1030600</v>
      </c>
      <c r="N466" s="3">
        <v>386100</v>
      </c>
    </row>
    <row r="467" spans="1:14" ht="14.4">
      <c r="A467" s="3">
        <v>13365</v>
      </c>
      <c r="B467" s="3">
        <v>13366</v>
      </c>
      <c r="C467" s="3">
        <v>4085</v>
      </c>
      <c r="D467" s="3" t="s">
        <v>18</v>
      </c>
      <c r="E467" s="3" t="s">
        <v>284</v>
      </c>
      <c r="F467" s="3">
        <v>11706</v>
      </c>
      <c r="G467" s="3" t="s">
        <v>23</v>
      </c>
      <c r="H467" s="3" t="s">
        <v>21</v>
      </c>
      <c r="I467" s="3">
        <v>74909</v>
      </c>
      <c r="J467" s="3">
        <v>73709</v>
      </c>
      <c r="K467" s="3">
        <v>1200</v>
      </c>
      <c r="L467" s="3">
        <v>0</v>
      </c>
      <c r="M467" s="3">
        <v>0</v>
      </c>
      <c r="N467" s="3">
        <v>0</v>
      </c>
    </row>
    <row r="468" spans="1:14" ht="14.4">
      <c r="A468" s="3">
        <v>13365</v>
      </c>
      <c r="B468" s="3">
        <v>13366</v>
      </c>
      <c r="C468" s="3">
        <v>4085</v>
      </c>
      <c r="D468" s="3" t="s">
        <v>18</v>
      </c>
      <c r="E468" s="3" t="s">
        <v>285</v>
      </c>
      <c r="F468" s="3">
        <v>11569</v>
      </c>
      <c r="G468" s="3" t="s">
        <v>20</v>
      </c>
      <c r="H468" s="3" t="s">
        <v>21</v>
      </c>
      <c r="I468" s="3">
        <v>69763</v>
      </c>
      <c r="J468" s="3">
        <v>45563</v>
      </c>
      <c r="K468" s="3">
        <v>24200</v>
      </c>
      <c r="L468" s="3">
        <v>0</v>
      </c>
      <c r="M468" s="3">
        <v>0</v>
      </c>
      <c r="N468" s="3">
        <v>0</v>
      </c>
    </row>
    <row r="469" spans="1:14" ht="14.4">
      <c r="A469" s="3">
        <v>13365</v>
      </c>
      <c r="B469" s="3">
        <v>13366</v>
      </c>
      <c r="C469" s="3">
        <v>4085</v>
      </c>
      <c r="D469" s="3" t="s">
        <v>18</v>
      </c>
      <c r="E469" s="3" t="s">
        <v>286</v>
      </c>
      <c r="F469" s="3">
        <v>10970</v>
      </c>
      <c r="G469" s="3" t="s">
        <v>85</v>
      </c>
      <c r="H469" s="3" t="s">
        <v>21</v>
      </c>
      <c r="I469" s="3">
        <v>7357</v>
      </c>
      <c r="J469" s="3">
        <v>0</v>
      </c>
      <c r="K469" s="3">
        <v>7357</v>
      </c>
      <c r="L469" s="3">
        <v>0</v>
      </c>
      <c r="M469" s="3">
        <v>0</v>
      </c>
      <c r="N469" s="3">
        <v>0</v>
      </c>
    </row>
    <row r="470" spans="1:14" ht="14.4">
      <c r="A470" s="3">
        <v>13365</v>
      </c>
      <c r="B470" s="3">
        <v>13366</v>
      </c>
      <c r="C470" s="3">
        <v>4085</v>
      </c>
      <c r="D470" s="3" t="s">
        <v>18</v>
      </c>
      <c r="E470" s="3" t="s">
        <v>287</v>
      </c>
      <c r="F470" s="3">
        <v>10573</v>
      </c>
      <c r="G470" s="3" t="s">
        <v>64</v>
      </c>
      <c r="H470" s="3" t="s">
        <v>21</v>
      </c>
      <c r="I470" s="3">
        <v>328778</v>
      </c>
      <c r="J470" s="3">
        <v>87849</v>
      </c>
      <c r="K470" s="3">
        <v>240929</v>
      </c>
      <c r="L470" s="3">
        <v>65100</v>
      </c>
      <c r="M470" s="3">
        <v>28800</v>
      </c>
      <c r="N470" s="3">
        <v>7300</v>
      </c>
    </row>
    <row r="471" spans="1:14" ht="14.4">
      <c r="A471" s="3">
        <v>13365</v>
      </c>
      <c r="B471" s="3">
        <v>13366</v>
      </c>
      <c r="C471" s="3">
        <v>4085</v>
      </c>
      <c r="D471" s="3" t="s">
        <v>18</v>
      </c>
      <c r="E471" s="3" t="s">
        <v>288</v>
      </c>
      <c r="F471" s="3">
        <v>11777</v>
      </c>
      <c r="G471" s="3" t="s">
        <v>23</v>
      </c>
      <c r="H471" s="3" t="s">
        <v>21</v>
      </c>
      <c r="I471" s="3">
        <v>130011</v>
      </c>
      <c r="J471" s="3">
        <v>32231</v>
      </c>
      <c r="K471" s="3">
        <v>97780</v>
      </c>
      <c r="L471" s="3">
        <v>94700</v>
      </c>
      <c r="M471" s="3">
        <v>18000</v>
      </c>
      <c r="N471" s="3">
        <v>51700</v>
      </c>
    </row>
    <row r="472" spans="1:14" ht="14.4">
      <c r="A472" s="3">
        <v>13365</v>
      </c>
      <c r="B472" s="3">
        <v>13366</v>
      </c>
      <c r="C472" s="3">
        <v>4085</v>
      </c>
      <c r="D472" s="3" t="s">
        <v>18</v>
      </c>
      <c r="E472" s="3" t="s">
        <v>289</v>
      </c>
      <c r="F472" s="3">
        <v>11776</v>
      </c>
      <c r="G472" s="3" t="s">
        <v>23</v>
      </c>
      <c r="H472" s="3" t="s">
        <v>21</v>
      </c>
      <c r="I472" s="3">
        <v>40784</v>
      </c>
      <c r="J472" s="3">
        <v>11964</v>
      </c>
      <c r="K472" s="3">
        <v>28820</v>
      </c>
      <c r="L472" s="3">
        <v>27300</v>
      </c>
      <c r="M472" s="3">
        <v>5500</v>
      </c>
      <c r="N472" s="3">
        <v>21800</v>
      </c>
    </row>
    <row r="473" spans="1:14" ht="14.4">
      <c r="A473" s="3">
        <v>13365</v>
      </c>
      <c r="B473" s="3">
        <v>13366</v>
      </c>
      <c r="C473" s="3">
        <v>4085</v>
      </c>
      <c r="D473" s="3" t="s">
        <v>18</v>
      </c>
      <c r="E473" s="3" t="s">
        <v>290</v>
      </c>
      <c r="F473" s="3">
        <v>11050</v>
      </c>
      <c r="G473" s="3" t="s">
        <v>20</v>
      </c>
      <c r="H473" s="3" t="s">
        <v>21</v>
      </c>
      <c r="I473" s="3">
        <v>1151263</v>
      </c>
      <c r="J473" s="3">
        <v>1010496</v>
      </c>
      <c r="K473" s="3">
        <v>140767</v>
      </c>
      <c r="L473" s="3">
        <v>302100</v>
      </c>
      <c r="M473" s="3">
        <v>200</v>
      </c>
      <c r="N473" s="3">
        <v>57200</v>
      </c>
    </row>
    <row r="474" spans="1:14" ht="14.4">
      <c r="A474" s="3">
        <v>13365</v>
      </c>
      <c r="B474" s="3">
        <v>13366</v>
      </c>
      <c r="C474" s="3">
        <v>4085</v>
      </c>
      <c r="D474" s="3" t="s">
        <v>18</v>
      </c>
      <c r="E474" s="3" t="s">
        <v>291</v>
      </c>
      <c r="F474" s="3">
        <v>10576</v>
      </c>
      <c r="G474" s="3" t="s">
        <v>64</v>
      </c>
      <c r="H474" s="3" t="s">
        <v>21</v>
      </c>
      <c r="I474" s="3">
        <v>81147</v>
      </c>
      <c r="J474" s="3">
        <v>81147</v>
      </c>
      <c r="K474" s="3">
        <v>0</v>
      </c>
      <c r="L474" s="3">
        <v>0</v>
      </c>
      <c r="M474" s="3">
        <v>0</v>
      </c>
      <c r="N474" s="3">
        <v>0</v>
      </c>
    </row>
    <row r="475" spans="1:14" ht="14.4">
      <c r="A475" s="3">
        <v>13365</v>
      </c>
      <c r="B475" s="3">
        <v>13366</v>
      </c>
      <c r="C475" s="3">
        <v>4085</v>
      </c>
      <c r="D475" s="3" t="s">
        <v>18</v>
      </c>
      <c r="E475" s="3" t="s">
        <v>292</v>
      </c>
      <c r="F475" s="3">
        <v>11691</v>
      </c>
      <c r="G475" s="3" t="s">
        <v>28</v>
      </c>
      <c r="H475" s="3" t="s">
        <v>21</v>
      </c>
      <c r="I475" s="3">
        <v>3500</v>
      </c>
      <c r="J475" s="3">
        <v>0</v>
      </c>
      <c r="K475" s="3">
        <v>3500</v>
      </c>
      <c r="L475" s="3">
        <v>0</v>
      </c>
      <c r="M475" s="3">
        <v>0</v>
      </c>
      <c r="N475" s="3">
        <v>0</v>
      </c>
    </row>
    <row r="476" spans="1:14" ht="14.4">
      <c r="A476" s="3">
        <v>13365</v>
      </c>
      <c r="B476" s="3">
        <v>13366</v>
      </c>
      <c r="C476" s="3">
        <v>4085</v>
      </c>
      <c r="D476" s="3" t="s">
        <v>18</v>
      </c>
      <c r="E476" s="3" t="s">
        <v>28</v>
      </c>
      <c r="F476" s="3">
        <v>11694</v>
      </c>
      <c r="G476" s="3" t="s">
        <v>28</v>
      </c>
      <c r="H476" s="3" t="s">
        <v>21</v>
      </c>
      <c r="I476" s="3">
        <v>819789</v>
      </c>
      <c r="J476" s="3">
        <v>819389</v>
      </c>
      <c r="K476" s="3">
        <v>400</v>
      </c>
      <c r="L476" s="3">
        <v>16200</v>
      </c>
      <c r="M476" s="3">
        <v>0</v>
      </c>
      <c r="N476" s="3">
        <v>0</v>
      </c>
    </row>
    <row r="477" spans="1:14" ht="14.4">
      <c r="A477" s="3">
        <v>13365</v>
      </c>
      <c r="B477" s="3">
        <v>13366</v>
      </c>
      <c r="C477" s="3">
        <v>4085</v>
      </c>
      <c r="D477" s="3" t="s">
        <v>18</v>
      </c>
      <c r="E477" s="3" t="s">
        <v>293</v>
      </c>
      <c r="F477" s="3">
        <v>11427</v>
      </c>
      <c r="G477" s="3" t="s">
        <v>28</v>
      </c>
      <c r="H477" s="3" t="s">
        <v>21</v>
      </c>
      <c r="I477" s="3">
        <v>76468</v>
      </c>
      <c r="J477" s="3">
        <v>53218</v>
      </c>
      <c r="K477" s="3">
        <v>23250</v>
      </c>
      <c r="L477" s="3">
        <v>0</v>
      </c>
      <c r="M477" s="3">
        <v>0</v>
      </c>
      <c r="N477" s="3">
        <v>0</v>
      </c>
    </row>
    <row r="478" spans="1:14" ht="14.4">
      <c r="A478" s="3">
        <v>13365</v>
      </c>
      <c r="B478" s="3">
        <v>13366</v>
      </c>
      <c r="C478" s="3">
        <v>4085</v>
      </c>
      <c r="D478" s="3" t="s">
        <v>18</v>
      </c>
      <c r="E478" s="3" t="s">
        <v>293</v>
      </c>
      <c r="F478" s="3">
        <v>11429</v>
      </c>
      <c r="G478" s="3" t="s">
        <v>28</v>
      </c>
      <c r="H478" s="3" t="s">
        <v>21</v>
      </c>
      <c r="I478" s="3">
        <v>44625</v>
      </c>
      <c r="J478" s="3">
        <v>35525</v>
      </c>
      <c r="K478" s="3">
        <v>9100</v>
      </c>
      <c r="L478" s="3">
        <v>8700</v>
      </c>
      <c r="M478" s="3">
        <v>2200</v>
      </c>
      <c r="N478" s="3">
        <v>1500</v>
      </c>
    </row>
    <row r="479" spans="1:14" ht="14.4">
      <c r="A479" s="3">
        <v>13365</v>
      </c>
      <c r="B479" s="3">
        <v>13366</v>
      </c>
      <c r="C479" s="3">
        <v>4085</v>
      </c>
      <c r="D479" s="3" t="s">
        <v>18</v>
      </c>
      <c r="E479" s="3" t="s">
        <v>294</v>
      </c>
      <c r="F479" s="3">
        <v>11959</v>
      </c>
      <c r="G479" s="3" t="s">
        <v>23</v>
      </c>
      <c r="H479" s="3" t="s">
        <v>21</v>
      </c>
      <c r="I479" s="3">
        <v>365929</v>
      </c>
      <c r="J479" s="3">
        <v>308079</v>
      </c>
      <c r="K479" s="3">
        <v>57850</v>
      </c>
      <c r="L479" s="3">
        <v>0</v>
      </c>
      <c r="M479" s="3">
        <v>0</v>
      </c>
      <c r="N479" s="3">
        <v>0</v>
      </c>
    </row>
    <row r="480" spans="1:14" ht="14.4">
      <c r="A480" s="3">
        <v>13365</v>
      </c>
      <c r="B480" s="3">
        <v>13366</v>
      </c>
      <c r="C480" s="3">
        <v>4085</v>
      </c>
      <c r="D480" s="3" t="s">
        <v>18</v>
      </c>
      <c r="E480" s="3" t="s">
        <v>295</v>
      </c>
      <c r="F480" s="3">
        <v>11374</v>
      </c>
      <c r="G480" s="3" t="s">
        <v>28</v>
      </c>
      <c r="H480" s="3" t="s">
        <v>21</v>
      </c>
      <c r="I480" s="3">
        <v>3000</v>
      </c>
      <c r="J480" s="3">
        <v>0</v>
      </c>
      <c r="K480" s="3">
        <v>3000</v>
      </c>
      <c r="L480" s="3">
        <v>0</v>
      </c>
      <c r="M480" s="3">
        <v>0</v>
      </c>
      <c r="N480" s="3">
        <v>0</v>
      </c>
    </row>
    <row r="481" spans="1:14" ht="14.4">
      <c r="A481" s="3">
        <v>13365</v>
      </c>
      <c r="B481" s="3">
        <v>13366</v>
      </c>
      <c r="C481" s="3">
        <v>4085</v>
      </c>
      <c r="D481" s="3" t="s">
        <v>18</v>
      </c>
      <c r="E481" s="3" t="s">
        <v>296</v>
      </c>
      <c r="F481" s="3">
        <v>11960</v>
      </c>
      <c r="G481" s="3" t="s">
        <v>23</v>
      </c>
      <c r="H481" s="3" t="s">
        <v>21</v>
      </c>
      <c r="I481" s="3">
        <v>289455</v>
      </c>
      <c r="J481" s="3">
        <v>270455</v>
      </c>
      <c r="K481" s="3">
        <v>19000</v>
      </c>
      <c r="L481" s="3">
        <v>53200</v>
      </c>
      <c r="M481" s="3">
        <v>7700</v>
      </c>
      <c r="N481" s="3">
        <v>19000</v>
      </c>
    </row>
    <row r="482" spans="1:14" ht="14.4">
      <c r="A482" s="3">
        <v>13365</v>
      </c>
      <c r="B482" s="3">
        <v>13366</v>
      </c>
      <c r="C482" s="3">
        <v>4085</v>
      </c>
      <c r="D482" s="3" t="s">
        <v>18</v>
      </c>
      <c r="E482" s="3" t="s">
        <v>71</v>
      </c>
      <c r="F482" s="3">
        <v>10305</v>
      </c>
      <c r="G482" s="3" t="s">
        <v>71</v>
      </c>
      <c r="H482" s="3" t="s">
        <v>21</v>
      </c>
      <c r="I482" s="3">
        <v>15452</v>
      </c>
      <c r="J482" s="3">
        <v>0</v>
      </c>
      <c r="K482" s="3">
        <v>15452</v>
      </c>
      <c r="L482" s="3">
        <v>0</v>
      </c>
      <c r="M482" s="3">
        <v>0</v>
      </c>
      <c r="N482" s="3">
        <v>0</v>
      </c>
    </row>
    <row r="483" spans="1:14" ht="14.4">
      <c r="A483" s="3">
        <v>13365</v>
      </c>
      <c r="B483" s="3">
        <v>13366</v>
      </c>
      <c r="C483" s="3">
        <v>4085</v>
      </c>
      <c r="D483" s="3" t="s">
        <v>18</v>
      </c>
      <c r="E483" s="3" t="s">
        <v>297</v>
      </c>
      <c r="F483" s="3">
        <v>11418</v>
      </c>
      <c r="G483" s="3" t="s">
        <v>28</v>
      </c>
      <c r="H483" s="3" t="s">
        <v>21</v>
      </c>
      <c r="I483" s="3">
        <v>37267</v>
      </c>
      <c r="J483" s="3">
        <v>31552</v>
      </c>
      <c r="K483" s="3">
        <v>5715</v>
      </c>
      <c r="L483" s="3">
        <v>90900</v>
      </c>
      <c r="M483" s="3">
        <v>31600</v>
      </c>
      <c r="N483" s="3">
        <v>5700</v>
      </c>
    </row>
    <row r="484" spans="1:14" ht="14.4">
      <c r="A484" s="3">
        <v>13365</v>
      </c>
      <c r="B484" s="3">
        <v>13366</v>
      </c>
      <c r="C484" s="3">
        <v>4085</v>
      </c>
      <c r="D484" s="3" t="s">
        <v>18</v>
      </c>
      <c r="E484" s="3" t="s">
        <v>298</v>
      </c>
      <c r="F484" s="3">
        <v>11961</v>
      </c>
      <c r="G484" s="3" t="s">
        <v>23</v>
      </c>
      <c r="H484" s="3" t="s">
        <v>21</v>
      </c>
      <c r="I484" s="3">
        <v>0</v>
      </c>
      <c r="J484" s="3">
        <v>0</v>
      </c>
      <c r="K484" s="3">
        <v>0</v>
      </c>
      <c r="L484" s="3">
        <v>12300</v>
      </c>
      <c r="M484" s="3">
        <v>0</v>
      </c>
      <c r="N484" s="3">
        <v>0</v>
      </c>
    </row>
    <row r="485" spans="1:14" ht="14.4">
      <c r="A485" s="3">
        <v>13365</v>
      </c>
      <c r="B485" s="3">
        <v>13366</v>
      </c>
      <c r="C485" s="3">
        <v>4085</v>
      </c>
      <c r="D485" s="3" t="s">
        <v>18</v>
      </c>
      <c r="E485" s="3" t="s">
        <v>299</v>
      </c>
      <c r="F485" s="3">
        <v>11385</v>
      </c>
      <c r="G485" s="3" t="s">
        <v>28</v>
      </c>
      <c r="H485" s="3" t="s">
        <v>21</v>
      </c>
      <c r="I485" s="3">
        <v>78354</v>
      </c>
      <c r="J485" s="3">
        <v>12369</v>
      </c>
      <c r="K485" s="3">
        <v>65985</v>
      </c>
      <c r="L485" s="3">
        <v>114700</v>
      </c>
      <c r="M485" s="3">
        <v>12400</v>
      </c>
      <c r="N485" s="3">
        <v>56500</v>
      </c>
    </row>
    <row r="486" spans="1:14" ht="14.4">
      <c r="A486" s="3">
        <v>13365</v>
      </c>
      <c r="B486" s="3">
        <v>13366</v>
      </c>
      <c r="C486" s="3">
        <v>4085</v>
      </c>
      <c r="D486" s="3" t="s">
        <v>18</v>
      </c>
      <c r="E486" s="3" t="s">
        <v>300</v>
      </c>
      <c r="F486" s="3">
        <v>11901</v>
      </c>
      <c r="G486" s="3" t="s">
        <v>23</v>
      </c>
      <c r="H486" s="3" t="s">
        <v>21</v>
      </c>
      <c r="I486" s="3">
        <v>1628780</v>
      </c>
      <c r="J486" s="3">
        <v>864925</v>
      </c>
      <c r="K486" s="3">
        <v>763855</v>
      </c>
      <c r="L486" s="3">
        <v>1274600</v>
      </c>
      <c r="M486" s="3">
        <v>342800</v>
      </c>
      <c r="N486" s="3">
        <v>724600</v>
      </c>
    </row>
    <row r="487" spans="1:14" ht="14.4">
      <c r="A487" s="3">
        <v>13365</v>
      </c>
      <c r="B487" s="3">
        <v>13366</v>
      </c>
      <c r="C487" s="3">
        <v>4085</v>
      </c>
      <c r="D487" s="3" t="s">
        <v>18</v>
      </c>
      <c r="E487" s="3" t="s">
        <v>301</v>
      </c>
      <c r="F487" s="3">
        <v>11770</v>
      </c>
      <c r="G487" s="3" t="s">
        <v>23</v>
      </c>
      <c r="H487" s="3" t="s">
        <v>21</v>
      </c>
      <c r="I487" s="3">
        <v>41670</v>
      </c>
      <c r="J487" s="3">
        <v>40950</v>
      </c>
      <c r="K487" s="3">
        <v>720</v>
      </c>
      <c r="L487" s="3">
        <v>0</v>
      </c>
      <c r="M487" s="3">
        <v>0</v>
      </c>
      <c r="N487" s="3">
        <v>0</v>
      </c>
    </row>
    <row r="488" spans="1:14" ht="14.4">
      <c r="A488" s="3">
        <v>13365</v>
      </c>
      <c r="B488" s="3">
        <v>13366</v>
      </c>
      <c r="C488" s="3">
        <v>4085</v>
      </c>
      <c r="D488" s="3" t="s">
        <v>18</v>
      </c>
      <c r="E488" s="3" t="s">
        <v>302</v>
      </c>
      <c r="F488" s="3">
        <v>11770</v>
      </c>
      <c r="G488" s="3" t="s">
        <v>23</v>
      </c>
      <c r="H488" s="3" t="s">
        <v>21</v>
      </c>
      <c r="I488" s="3">
        <v>248572</v>
      </c>
      <c r="J488" s="3">
        <v>227322</v>
      </c>
      <c r="K488" s="3">
        <v>21250</v>
      </c>
      <c r="L488" s="3">
        <v>0</v>
      </c>
      <c r="M488" s="3">
        <v>0</v>
      </c>
      <c r="N488" s="3">
        <v>0</v>
      </c>
    </row>
    <row r="489" spans="1:14" ht="14.4">
      <c r="A489" s="3">
        <v>13365</v>
      </c>
      <c r="B489" s="3">
        <v>13366</v>
      </c>
      <c r="C489" s="3">
        <v>4085</v>
      </c>
      <c r="D489" s="3" t="s">
        <v>18</v>
      </c>
      <c r="E489" s="3" t="s">
        <v>303</v>
      </c>
      <c r="F489" s="3">
        <v>11693</v>
      </c>
      <c r="G489" s="3" t="s">
        <v>28</v>
      </c>
      <c r="H489" s="3" t="s">
        <v>21</v>
      </c>
      <c r="I489" s="3">
        <v>192806</v>
      </c>
      <c r="J489" s="3">
        <v>142806</v>
      </c>
      <c r="K489" s="3">
        <v>50000</v>
      </c>
      <c r="L489" s="3">
        <v>0</v>
      </c>
      <c r="M489" s="3">
        <v>0</v>
      </c>
      <c r="N489" s="3">
        <v>0</v>
      </c>
    </row>
    <row r="490" spans="1:14" ht="14.4">
      <c r="A490" s="3">
        <v>13365</v>
      </c>
      <c r="B490" s="3">
        <v>13366</v>
      </c>
      <c r="C490" s="3">
        <v>4085</v>
      </c>
      <c r="D490" s="3" t="s">
        <v>18</v>
      </c>
      <c r="E490" s="3" t="s">
        <v>303</v>
      </c>
      <c r="F490" s="3">
        <v>11694</v>
      </c>
      <c r="G490" s="3" t="s">
        <v>28</v>
      </c>
      <c r="H490" s="3" t="s">
        <v>21</v>
      </c>
      <c r="I490" s="3">
        <v>1154296</v>
      </c>
      <c r="J490" s="3">
        <v>960901</v>
      </c>
      <c r="K490" s="3">
        <v>193395</v>
      </c>
      <c r="L490" s="3">
        <v>492500</v>
      </c>
      <c r="M490" s="3">
        <v>327400</v>
      </c>
      <c r="N490" s="3">
        <v>128400</v>
      </c>
    </row>
    <row r="491" spans="1:14" ht="14.4">
      <c r="A491" s="3">
        <v>13365</v>
      </c>
      <c r="B491" s="3">
        <v>13366</v>
      </c>
      <c r="C491" s="3">
        <v>4085</v>
      </c>
      <c r="D491" s="3" t="s">
        <v>18</v>
      </c>
      <c r="E491" s="3" t="s">
        <v>303</v>
      </c>
      <c r="F491" s="3">
        <v>11743</v>
      </c>
      <c r="G491" s="3" t="s">
        <v>28</v>
      </c>
      <c r="H491" s="3" t="s">
        <v>21</v>
      </c>
      <c r="I491" s="3">
        <v>25000</v>
      </c>
      <c r="J491" s="3">
        <v>0</v>
      </c>
      <c r="K491" s="3">
        <v>25000</v>
      </c>
      <c r="L491" s="3">
        <v>0</v>
      </c>
      <c r="M491" s="3">
        <v>0</v>
      </c>
      <c r="N491" s="3">
        <v>0</v>
      </c>
    </row>
    <row r="492" spans="1:14" ht="14.4">
      <c r="A492" s="3">
        <v>13365</v>
      </c>
      <c r="B492" s="3">
        <v>13366</v>
      </c>
      <c r="C492" s="3">
        <v>4085</v>
      </c>
      <c r="D492" s="3" t="s">
        <v>18</v>
      </c>
      <c r="E492" s="3" t="s">
        <v>304</v>
      </c>
      <c r="F492" s="3">
        <v>11693</v>
      </c>
      <c r="G492" s="3" t="s">
        <v>28</v>
      </c>
      <c r="H492" s="3" t="s">
        <v>21</v>
      </c>
      <c r="I492" s="3">
        <v>653765</v>
      </c>
      <c r="J492" s="3">
        <v>522785</v>
      </c>
      <c r="K492" s="3">
        <v>130980</v>
      </c>
      <c r="L492" s="3">
        <v>0</v>
      </c>
      <c r="M492" s="3">
        <v>0</v>
      </c>
      <c r="N492" s="3">
        <v>0</v>
      </c>
    </row>
    <row r="493" spans="1:14" ht="14.4">
      <c r="A493" s="3">
        <v>13365</v>
      </c>
      <c r="B493" s="3">
        <v>13366</v>
      </c>
      <c r="C493" s="3">
        <v>4085</v>
      </c>
      <c r="D493" s="3" t="s">
        <v>18</v>
      </c>
      <c r="E493" s="3" t="s">
        <v>305</v>
      </c>
      <c r="F493" s="3">
        <v>11693</v>
      </c>
      <c r="G493" s="3" t="s">
        <v>43</v>
      </c>
      <c r="H493" s="3" t="s">
        <v>21</v>
      </c>
      <c r="I493" s="3">
        <v>12405</v>
      </c>
      <c r="J493" s="3">
        <v>0</v>
      </c>
      <c r="K493" s="3">
        <v>12405</v>
      </c>
      <c r="L493" s="3">
        <v>0</v>
      </c>
      <c r="M493" s="3">
        <v>0</v>
      </c>
      <c r="N493" s="3">
        <v>0</v>
      </c>
    </row>
    <row r="494" spans="1:14" ht="14.4">
      <c r="A494" s="3">
        <v>13365</v>
      </c>
      <c r="B494" s="3">
        <v>13366</v>
      </c>
      <c r="C494" s="3">
        <v>4085</v>
      </c>
      <c r="D494" s="3" t="s">
        <v>18</v>
      </c>
      <c r="E494" s="3" t="s">
        <v>305</v>
      </c>
      <c r="F494" s="3">
        <v>11230</v>
      </c>
      <c r="G494" s="3" t="s">
        <v>28</v>
      </c>
      <c r="H494" s="3" t="s">
        <v>21</v>
      </c>
      <c r="I494" s="3">
        <v>436491</v>
      </c>
      <c r="J494" s="3">
        <v>436491</v>
      </c>
      <c r="K494" s="3">
        <v>0</v>
      </c>
      <c r="L494" s="3">
        <v>436500</v>
      </c>
      <c r="M494" s="3">
        <v>436500</v>
      </c>
      <c r="N494" s="3">
        <v>0</v>
      </c>
    </row>
    <row r="495" spans="1:14" ht="14.4">
      <c r="A495" s="3">
        <v>13365</v>
      </c>
      <c r="B495" s="3">
        <v>13366</v>
      </c>
      <c r="C495" s="3">
        <v>4085</v>
      </c>
      <c r="D495" s="3" t="s">
        <v>18</v>
      </c>
      <c r="E495" s="3" t="s">
        <v>305</v>
      </c>
      <c r="F495" s="3">
        <v>11692</v>
      </c>
      <c r="G495" s="3" t="s">
        <v>28</v>
      </c>
      <c r="H495" s="3" t="s">
        <v>21</v>
      </c>
      <c r="I495" s="3">
        <v>30125</v>
      </c>
      <c r="J495" s="3">
        <v>0</v>
      </c>
      <c r="K495" s="3">
        <v>30125</v>
      </c>
      <c r="L495" s="3">
        <v>0</v>
      </c>
      <c r="M495" s="3">
        <v>0</v>
      </c>
      <c r="N495" s="3">
        <v>0</v>
      </c>
    </row>
    <row r="496" spans="1:14" ht="14.4">
      <c r="A496" s="3">
        <v>13365</v>
      </c>
      <c r="B496" s="3">
        <v>13366</v>
      </c>
      <c r="C496" s="3">
        <v>4085</v>
      </c>
      <c r="D496" s="3" t="s">
        <v>18</v>
      </c>
      <c r="E496" s="3" t="s">
        <v>305</v>
      </c>
      <c r="F496" s="3">
        <v>11693</v>
      </c>
      <c r="G496" s="3" t="s">
        <v>28</v>
      </c>
      <c r="H496" s="3" t="s">
        <v>21</v>
      </c>
      <c r="I496" s="3">
        <v>34762753</v>
      </c>
      <c r="J496" s="3">
        <v>17421389</v>
      </c>
      <c r="K496" s="3">
        <v>17341364</v>
      </c>
      <c r="L496" s="3">
        <v>17847400</v>
      </c>
      <c r="M496" s="3">
        <v>2885100</v>
      </c>
      <c r="N496" s="3">
        <v>11351900</v>
      </c>
    </row>
    <row r="497" spans="1:14" ht="14.4">
      <c r="A497" s="3">
        <v>13365</v>
      </c>
      <c r="B497" s="3">
        <v>13366</v>
      </c>
      <c r="C497" s="3">
        <v>4085</v>
      </c>
      <c r="D497" s="3" t="s">
        <v>18</v>
      </c>
      <c r="E497" s="3" t="s">
        <v>305</v>
      </c>
      <c r="F497" s="3">
        <v>11694</v>
      </c>
      <c r="G497" s="3" t="s">
        <v>28</v>
      </c>
      <c r="H497" s="3" t="s">
        <v>21</v>
      </c>
      <c r="I497" s="3">
        <v>2555930</v>
      </c>
      <c r="J497" s="3">
        <v>980580</v>
      </c>
      <c r="K497" s="3">
        <v>1575350</v>
      </c>
      <c r="L497" s="3">
        <v>1088300</v>
      </c>
      <c r="M497" s="3">
        <v>485900</v>
      </c>
      <c r="N497" s="3">
        <v>593100</v>
      </c>
    </row>
    <row r="498" spans="1:14" ht="14.4">
      <c r="A498" s="3">
        <v>13365</v>
      </c>
      <c r="B498" s="3">
        <v>13366</v>
      </c>
      <c r="C498" s="3">
        <v>4085</v>
      </c>
      <c r="D498" s="3" t="s">
        <v>18</v>
      </c>
      <c r="E498" s="3" t="s">
        <v>306</v>
      </c>
      <c r="F498" s="3">
        <v>11209</v>
      </c>
      <c r="G498" s="3" t="s">
        <v>28</v>
      </c>
      <c r="H498" s="3" t="s">
        <v>21</v>
      </c>
      <c r="I498" s="3">
        <v>24375</v>
      </c>
      <c r="J498" s="3">
        <v>20130</v>
      </c>
      <c r="K498" s="3">
        <v>4245</v>
      </c>
      <c r="L498" s="3">
        <v>0</v>
      </c>
      <c r="M498" s="3">
        <v>0</v>
      </c>
      <c r="N498" s="3">
        <v>0</v>
      </c>
    </row>
    <row r="499" spans="1:14" ht="14.4">
      <c r="A499" s="3">
        <v>13365</v>
      </c>
      <c r="B499" s="3">
        <v>13366</v>
      </c>
      <c r="C499" s="3">
        <v>4085</v>
      </c>
      <c r="D499" s="3" t="s">
        <v>18</v>
      </c>
      <c r="E499" s="3" t="s">
        <v>306</v>
      </c>
      <c r="F499" s="3">
        <v>11693</v>
      </c>
      <c r="G499" s="3" t="s">
        <v>28</v>
      </c>
      <c r="H499" s="3" t="s">
        <v>21</v>
      </c>
      <c r="I499" s="3">
        <v>94322</v>
      </c>
      <c r="J499" s="3">
        <v>56762</v>
      </c>
      <c r="K499" s="3">
        <v>37560</v>
      </c>
      <c r="L499" s="3">
        <v>29700</v>
      </c>
      <c r="M499" s="3">
        <v>29700</v>
      </c>
      <c r="N499" s="3">
        <v>0</v>
      </c>
    </row>
    <row r="500" spans="1:14" ht="14.4">
      <c r="A500" s="3">
        <v>13365</v>
      </c>
      <c r="B500" s="3">
        <v>13366</v>
      </c>
      <c r="C500" s="3">
        <v>4085</v>
      </c>
      <c r="D500" s="3" t="s">
        <v>18</v>
      </c>
      <c r="E500" s="3" t="s">
        <v>306</v>
      </c>
      <c r="F500" s="3">
        <v>11694</v>
      </c>
      <c r="G500" s="3" t="s">
        <v>28</v>
      </c>
      <c r="H500" s="3" t="s">
        <v>21</v>
      </c>
      <c r="I500" s="3">
        <v>28871639</v>
      </c>
      <c r="J500" s="3">
        <v>20494692</v>
      </c>
      <c r="K500" s="3">
        <v>8376947</v>
      </c>
      <c r="L500" s="3">
        <v>9750200</v>
      </c>
      <c r="M500" s="3">
        <v>6295500</v>
      </c>
      <c r="N500" s="3">
        <v>2269600</v>
      </c>
    </row>
    <row r="501" spans="1:14" ht="14.4">
      <c r="A501" s="3">
        <v>13365</v>
      </c>
      <c r="B501" s="3">
        <v>13366</v>
      </c>
      <c r="C501" s="3">
        <v>4085</v>
      </c>
      <c r="D501" s="3" t="s">
        <v>18</v>
      </c>
      <c r="E501" s="3" t="s">
        <v>307</v>
      </c>
      <c r="F501" s="3">
        <v>11694</v>
      </c>
      <c r="G501" s="3" t="s">
        <v>28</v>
      </c>
      <c r="H501" s="3" t="s">
        <v>21</v>
      </c>
      <c r="I501" s="3">
        <v>17009</v>
      </c>
      <c r="J501" s="3">
        <v>3126</v>
      </c>
      <c r="K501" s="3">
        <v>13883</v>
      </c>
      <c r="L501" s="3">
        <v>0</v>
      </c>
      <c r="M501" s="3">
        <v>0</v>
      </c>
      <c r="N501" s="3">
        <v>0</v>
      </c>
    </row>
    <row r="502" spans="1:14" ht="14.4">
      <c r="A502" s="3">
        <v>13365</v>
      </c>
      <c r="B502" s="3">
        <v>13366</v>
      </c>
      <c r="C502" s="3">
        <v>4085</v>
      </c>
      <c r="D502" s="3" t="s">
        <v>18</v>
      </c>
      <c r="E502" s="3" t="s">
        <v>308</v>
      </c>
      <c r="F502" s="3">
        <v>11697</v>
      </c>
      <c r="G502" s="3" t="s">
        <v>32</v>
      </c>
      <c r="H502" s="3" t="s">
        <v>21</v>
      </c>
      <c r="I502" s="3">
        <v>7350</v>
      </c>
      <c r="J502" s="3">
        <v>0</v>
      </c>
      <c r="K502" s="3">
        <v>7350</v>
      </c>
      <c r="L502" s="3">
        <v>7400</v>
      </c>
      <c r="M502" s="3">
        <v>0</v>
      </c>
      <c r="N502" s="3">
        <v>7400</v>
      </c>
    </row>
    <row r="503" spans="1:14" ht="14.4">
      <c r="A503" s="3">
        <v>13365</v>
      </c>
      <c r="B503" s="3">
        <v>13366</v>
      </c>
      <c r="C503" s="3">
        <v>4085</v>
      </c>
      <c r="D503" s="3" t="s">
        <v>18</v>
      </c>
      <c r="E503" s="3" t="s">
        <v>308</v>
      </c>
      <c r="F503" s="3">
        <v>11695</v>
      </c>
      <c r="G503" s="3" t="s">
        <v>28</v>
      </c>
      <c r="H503" s="3" t="s">
        <v>21</v>
      </c>
      <c r="I503" s="3">
        <v>173977</v>
      </c>
      <c r="J503" s="3">
        <v>167272</v>
      </c>
      <c r="K503" s="3">
        <v>6705</v>
      </c>
      <c r="L503" s="3">
        <v>0</v>
      </c>
      <c r="M503" s="3">
        <v>0</v>
      </c>
      <c r="N503" s="3">
        <v>0</v>
      </c>
    </row>
    <row r="504" spans="1:14" ht="14.4">
      <c r="A504" s="3">
        <v>13365</v>
      </c>
      <c r="B504" s="3">
        <v>13366</v>
      </c>
      <c r="C504" s="3">
        <v>4085</v>
      </c>
      <c r="D504" s="3" t="s">
        <v>18</v>
      </c>
      <c r="E504" s="3" t="s">
        <v>308</v>
      </c>
      <c r="F504" s="3">
        <v>11697</v>
      </c>
      <c r="G504" s="3" t="s">
        <v>28</v>
      </c>
      <c r="H504" s="3" t="s">
        <v>21</v>
      </c>
      <c r="I504" s="3">
        <v>3317437</v>
      </c>
      <c r="J504" s="3">
        <v>2030514</v>
      </c>
      <c r="K504" s="3">
        <v>1286923</v>
      </c>
      <c r="L504" s="3">
        <v>267300</v>
      </c>
      <c r="M504" s="3">
        <v>0</v>
      </c>
      <c r="N504" s="3">
        <v>98900</v>
      </c>
    </row>
    <row r="505" spans="1:14" ht="14.4">
      <c r="A505" s="3">
        <v>13365</v>
      </c>
      <c r="B505" s="3">
        <v>13366</v>
      </c>
      <c r="C505" s="3">
        <v>4085</v>
      </c>
      <c r="D505" s="3" t="s">
        <v>18</v>
      </c>
      <c r="E505" s="3" t="s">
        <v>309</v>
      </c>
      <c r="F505" s="3">
        <v>11570</v>
      </c>
      <c r="G505" s="3" t="s">
        <v>20</v>
      </c>
      <c r="H505" s="3" t="s">
        <v>21</v>
      </c>
      <c r="I505" s="3">
        <v>0</v>
      </c>
      <c r="J505" s="3">
        <v>0</v>
      </c>
      <c r="K505" s="3">
        <v>0</v>
      </c>
      <c r="L505" s="3">
        <v>4000</v>
      </c>
      <c r="M505" s="3">
        <v>0</v>
      </c>
      <c r="N505" s="3">
        <v>0</v>
      </c>
    </row>
    <row r="506" spans="1:14" ht="14.4">
      <c r="A506" s="3">
        <v>13365</v>
      </c>
      <c r="B506" s="3">
        <v>13366</v>
      </c>
      <c r="C506" s="3">
        <v>4085</v>
      </c>
      <c r="D506" s="3" t="s">
        <v>18</v>
      </c>
      <c r="E506" s="3" t="s">
        <v>310</v>
      </c>
      <c r="F506" s="3">
        <v>11693</v>
      </c>
      <c r="G506" s="3" t="s">
        <v>28</v>
      </c>
      <c r="H506" s="3" t="s">
        <v>21</v>
      </c>
      <c r="I506" s="3">
        <v>327945</v>
      </c>
      <c r="J506" s="3">
        <v>261730</v>
      </c>
      <c r="K506" s="3">
        <v>66215</v>
      </c>
      <c r="L506" s="3">
        <v>0</v>
      </c>
      <c r="M506" s="3">
        <v>0</v>
      </c>
      <c r="N506" s="3">
        <v>0</v>
      </c>
    </row>
    <row r="507" spans="1:14" ht="14.4">
      <c r="A507" s="3">
        <v>13365</v>
      </c>
      <c r="B507" s="3">
        <v>13366</v>
      </c>
      <c r="C507" s="3">
        <v>4085</v>
      </c>
      <c r="D507" s="3" t="s">
        <v>18</v>
      </c>
      <c r="E507" s="3" t="s">
        <v>311</v>
      </c>
      <c r="F507" s="3">
        <v>11778</v>
      </c>
      <c r="G507" s="3" t="s">
        <v>23</v>
      </c>
      <c r="H507" s="3" t="s">
        <v>21</v>
      </c>
      <c r="I507" s="3">
        <v>65320</v>
      </c>
      <c r="J507" s="3">
        <v>63970</v>
      </c>
      <c r="K507" s="3">
        <v>1350</v>
      </c>
      <c r="L507" s="3">
        <v>43000</v>
      </c>
      <c r="M507" s="3">
        <v>40700</v>
      </c>
      <c r="N507" s="3">
        <v>1300</v>
      </c>
    </row>
    <row r="508" spans="1:14" ht="14.4">
      <c r="A508" s="3">
        <v>13365</v>
      </c>
      <c r="B508" s="3">
        <v>13366</v>
      </c>
      <c r="C508" s="3">
        <v>4085</v>
      </c>
      <c r="D508" s="3" t="s">
        <v>18</v>
      </c>
      <c r="E508" s="3" t="s">
        <v>312</v>
      </c>
      <c r="F508" s="3">
        <v>11779</v>
      </c>
      <c r="G508" s="3" t="s">
        <v>23</v>
      </c>
      <c r="H508" s="3" t="s">
        <v>21</v>
      </c>
      <c r="I508" s="3">
        <v>235832</v>
      </c>
      <c r="J508" s="3">
        <v>235832</v>
      </c>
      <c r="K508" s="3">
        <v>0</v>
      </c>
      <c r="L508" s="3">
        <v>17200</v>
      </c>
      <c r="M508" s="3">
        <v>0</v>
      </c>
      <c r="N508" s="3">
        <v>0</v>
      </c>
    </row>
    <row r="509" spans="1:14" ht="14.4">
      <c r="A509" s="3">
        <v>13365</v>
      </c>
      <c r="B509" s="3">
        <v>13366</v>
      </c>
      <c r="C509" s="3">
        <v>4085</v>
      </c>
      <c r="D509" s="3" t="s">
        <v>18</v>
      </c>
      <c r="E509" s="3" t="s">
        <v>313</v>
      </c>
      <c r="F509" s="3">
        <v>11575</v>
      </c>
      <c r="G509" s="3" t="s">
        <v>20</v>
      </c>
      <c r="H509" s="3" t="s">
        <v>21</v>
      </c>
      <c r="I509" s="3">
        <v>484262</v>
      </c>
      <c r="J509" s="3">
        <v>457428</v>
      </c>
      <c r="K509" s="3">
        <v>26834</v>
      </c>
      <c r="L509" s="3">
        <v>0</v>
      </c>
      <c r="M509" s="3">
        <v>0</v>
      </c>
      <c r="N509" s="3">
        <v>0</v>
      </c>
    </row>
    <row r="510" spans="1:14" ht="14.4">
      <c r="A510" s="3">
        <v>13365</v>
      </c>
      <c r="B510" s="3">
        <v>13366</v>
      </c>
      <c r="C510" s="3">
        <v>4085</v>
      </c>
      <c r="D510" s="3" t="s">
        <v>18</v>
      </c>
      <c r="E510" s="3" t="s">
        <v>314</v>
      </c>
      <c r="F510" s="3">
        <v>10044</v>
      </c>
      <c r="G510" s="3" t="s">
        <v>32</v>
      </c>
      <c r="H510" s="3" t="s">
        <v>21</v>
      </c>
      <c r="I510" s="3">
        <v>800220</v>
      </c>
      <c r="J510" s="3">
        <v>800220</v>
      </c>
      <c r="K510" s="3">
        <v>0</v>
      </c>
      <c r="L510" s="3">
        <v>805200</v>
      </c>
      <c r="M510" s="3">
        <v>777700</v>
      </c>
      <c r="N510" s="3">
        <v>0</v>
      </c>
    </row>
    <row r="511" spans="1:14" ht="14.4">
      <c r="A511" s="3">
        <v>13365</v>
      </c>
      <c r="B511" s="3">
        <v>13366</v>
      </c>
      <c r="C511" s="3">
        <v>4085</v>
      </c>
      <c r="D511" s="3" t="s">
        <v>18</v>
      </c>
      <c r="E511" s="3" t="s">
        <v>315</v>
      </c>
      <c r="F511" s="3">
        <v>11510</v>
      </c>
      <c r="G511" s="3" t="s">
        <v>20</v>
      </c>
      <c r="H511" s="3" t="s">
        <v>21</v>
      </c>
      <c r="I511" s="3">
        <v>138389</v>
      </c>
      <c r="J511" s="3">
        <v>0</v>
      </c>
      <c r="K511" s="3">
        <v>138389</v>
      </c>
      <c r="L511" s="3">
        <v>0</v>
      </c>
      <c r="M511" s="3">
        <v>0</v>
      </c>
      <c r="N511" s="3">
        <v>0</v>
      </c>
    </row>
    <row r="512" spans="1:14" ht="14.4">
      <c r="A512" s="3">
        <v>13365</v>
      </c>
      <c r="B512" s="3">
        <v>13366</v>
      </c>
      <c r="C512" s="3">
        <v>4085</v>
      </c>
      <c r="D512" s="3" t="s">
        <v>18</v>
      </c>
      <c r="E512" s="3" t="s">
        <v>315</v>
      </c>
      <c r="F512" s="3">
        <v>11422</v>
      </c>
      <c r="G512" s="3" t="s">
        <v>32</v>
      </c>
      <c r="H512" s="3" t="s">
        <v>21</v>
      </c>
      <c r="I512" s="3">
        <v>9517</v>
      </c>
      <c r="J512" s="3">
        <v>0</v>
      </c>
      <c r="K512" s="3">
        <v>9517</v>
      </c>
      <c r="L512" s="3">
        <v>0</v>
      </c>
      <c r="M512" s="3">
        <v>0</v>
      </c>
      <c r="N512" s="3">
        <v>0</v>
      </c>
    </row>
    <row r="513" spans="1:14" ht="14.4">
      <c r="A513" s="3">
        <v>13365</v>
      </c>
      <c r="B513" s="3">
        <v>13366</v>
      </c>
      <c r="C513" s="3">
        <v>4085</v>
      </c>
      <c r="D513" s="3" t="s">
        <v>18</v>
      </c>
      <c r="E513" s="3" t="s">
        <v>315</v>
      </c>
      <c r="F513" s="3">
        <v>11413</v>
      </c>
      <c r="G513" s="3" t="s">
        <v>28</v>
      </c>
      <c r="H513" s="3" t="s">
        <v>21</v>
      </c>
      <c r="I513" s="3">
        <v>13175</v>
      </c>
      <c r="J513" s="3">
        <v>13175</v>
      </c>
      <c r="K513" s="3">
        <v>0</v>
      </c>
      <c r="L513" s="3">
        <v>12000</v>
      </c>
      <c r="M513" s="3">
        <v>12000</v>
      </c>
      <c r="N513" s="3">
        <v>0</v>
      </c>
    </row>
    <row r="514" spans="1:14" ht="14.4">
      <c r="A514" s="3">
        <v>13365</v>
      </c>
      <c r="B514" s="3">
        <v>13366</v>
      </c>
      <c r="C514" s="3">
        <v>4085</v>
      </c>
      <c r="D514" s="3" t="s">
        <v>18</v>
      </c>
      <c r="E514" s="3" t="s">
        <v>315</v>
      </c>
      <c r="F514" s="3">
        <v>11422</v>
      </c>
      <c r="G514" s="3" t="s">
        <v>28</v>
      </c>
      <c r="H514" s="3" t="s">
        <v>21</v>
      </c>
      <c r="I514" s="3">
        <v>1253329</v>
      </c>
      <c r="J514" s="3">
        <v>984575</v>
      </c>
      <c r="K514" s="3">
        <v>268754</v>
      </c>
      <c r="L514" s="3">
        <v>376200</v>
      </c>
      <c r="M514" s="3">
        <v>229000</v>
      </c>
      <c r="N514" s="3">
        <v>70400</v>
      </c>
    </row>
    <row r="515" spans="1:14" ht="14.4">
      <c r="A515" s="3">
        <v>13365</v>
      </c>
      <c r="B515" s="3">
        <v>13366</v>
      </c>
      <c r="C515" s="3">
        <v>4085</v>
      </c>
      <c r="D515" s="3" t="s">
        <v>18</v>
      </c>
      <c r="E515" s="3" t="s">
        <v>316</v>
      </c>
      <c r="F515" s="3">
        <v>11576</v>
      </c>
      <c r="G515" s="3" t="s">
        <v>20</v>
      </c>
      <c r="H515" s="3" t="s">
        <v>21</v>
      </c>
      <c r="I515" s="3">
        <v>117492</v>
      </c>
      <c r="J515" s="3">
        <v>82976</v>
      </c>
      <c r="K515" s="3">
        <v>34516</v>
      </c>
      <c r="L515" s="3">
        <v>0</v>
      </c>
      <c r="M515" s="3">
        <v>0</v>
      </c>
      <c r="N515" s="3">
        <v>0</v>
      </c>
    </row>
    <row r="516" spans="1:14" ht="14.4">
      <c r="A516" s="3">
        <v>13365</v>
      </c>
      <c r="B516" s="3">
        <v>13366</v>
      </c>
      <c r="C516" s="3">
        <v>4085</v>
      </c>
      <c r="D516" s="3" t="s">
        <v>18</v>
      </c>
      <c r="E516" s="3" t="s">
        <v>317</v>
      </c>
      <c r="F516" s="3">
        <v>11577</v>
      </c>
      <c r="G516" s="3" t="s">
        <v>20</v>
      </c>
      <c r="H516" s="3" t="s">
        <v>21</v>
      </c>
      <c r="I516" s="3">
        <v>318222</v>
      </c>
      <c r="J516" s="3">
        <v>281104</v>
      </c>
      <c r="K516" s="3">
        <v>37118</v>
      </c>
      <c r="L516" s="3">
        <v>126300</v>
      </c>
      <c r="M516" s="3">
        <v>126300</v>
      </c>
      <c r="N516" s="3">
        <v>0</v>
      </c>
    </row>
    <row r="517" spans="1:14" ht="14.4">
      <c r="A517" s="3">
        <v>13365</v>
      </c>
      <c r="B517" s="3">
        <v>13366</v>
      </c>
      <c r="C517" s="3">
        <v>4085</v>
      </c>
      <c r="D517" s="3" t="s">
        <v>18</v>
      </c>
      <c r="E517" s="3" t="s">
        <v>318</v>
      </c>
      <c r="F517" s="3">
        <v>10580</v>
      </c>
      <c r="G517" s="3" t="s">
        <v>64</v>
      </c>
      <c r="H517" s="3" t="s">
        <v>21</v>
      </c>
      <c r="I517" s="3">
        <v>4341057</v>
      </c>
      <c r="J517" s="3">
        <v>4205096</v>
      </c>
      <c r="K517" s="3">
        <v>135961</v>
      </c>
      <c r="L517" s="3">
        <v>317500</v>
      </c>
      <c r="M517" s="3">
        <v>317500</v>
      </c>
      <c r="N517" s="3">
        <v>0</v>
      </c>
    </row>
    <row r="518" spans="1:14" ht="14.4">
      <c r="A518" s="3">
        <v>13365</v>
      </c>
      <c r="B518" s="3">
        <v>13366</v>
      </c>
      <c r="C518" s="3">
        <v>4085</v>
      </c>
      <c r="D518" s="3" t="s">
        <v>18</v>
      </c>
      <c r="E518" s="3" t="s">
        <v>319</v>
      </c>
      <c r="F518" s="3">
        <v>10309</v>
      </c>
      <c r="G518" s="3" t="s">
        <v>71</v>
      </c>
      <c r="H518" s="3" t="s">
        <v>21</v>
      </c>
      <c r="I518" s="3">
        <v>256497</v>
      </c>
      <c r="J518" s="3">
        <v>216877</v>
      </c>
      <c r="K518" s="3">
        <v>39620</v>
      </c>
      <c r="L518" s="3">
        <v>0</v>
      </c>
      <c r="M518" s="3">
        <v>0</v>
      </c>
      <c r="N518" s="3">
        <v>0</v>
      </c>
    </row>
    <row r="519" spans="1:14" ht="14.4">
      <c r="A519" s="3">
        <v>13365</v>
      </c>
      <c r="B519" s="3">
        <v>13366</v>
      </c>
      <c r="C519" s="3">
        <v>4085</v>
      </c>
      <c r="D519" s="3" t="s">
        <v>18</v>
      </c>
      <c r="E519" s="3" t="s">
        <v>320</v>
      </c>
      <c r="F519" s="3">
        <v>11963</v>
      </c>
      <c r="G519" s="3" t="s">
        <v>23</v>
      </c>
      <c r="H519" s="3" t="s">
        <v>21</v>
      </c>
      <c r="I519" s="3">
        <v>98447</v>
      </c>
      <c r="J519" s="3">
        <v>63194</v>
      </c>
      <c r="K519" s="3">
        <v>35253</v>
      </c>
      <c r="L519" s="3">
        <v>148800</v>
      </c>
      <c r="M519" s="3">
        <v>51200</v>
      </c>
      <c r="N519" s="3">
        <v>28200</v>
      </c>
    </row>
    <row r="520" spans="1:14" ht="14.4">
      <c r="A520" s="3">
        <v>13365</v>
      </c>
      <c r="B520" s="3">
        <v>13366</v>
      </c>
      <c r="C520" s="3">
        <v>4085</v>
      </c>
      <c r="D520" s="3" t="s">
        <v>18</v>
      </c>
      <c r="E520" s="3" t="s">
        <v>321</v>
      </c>
      <c r="F520" s="3">
        <v>11962</v>
      </c>
      <c r="G520" s="3" t="s">
        <v>23</v>
      </c>
      <c r="H520" s="3" t="s">
        <v>21</v>
      </c>
      <c r="I520" s="3">
        <v>166705</v>
      </c>
      <c r="J520" s="3">
        <v>148355</v>
      </c>
      <c r="K520" s="3">
        <v>18350</v>
      </c>
      <c r="L520" s="3">
        <v>83300</v>
      </c>
      <c r="M520" s="3">
        <v>65000</v>
      </c>
      <c r="N520" s="3">
        <v>18300</v>
      </c>
    </row>
    <row r="521" spans="1:14" ht="14.4">
      <c r="A521" s="3">
        <v>13365</v>
      </c>
      <c r="B521" s="3">
        <v>13366</v>
      </c>
      <c r="C521" s="3">
        <v>4085</v>
      </c>
      <c r="D521" s="3" t="s">
        <v>18</v>
      </c>
      <c r="E521" s="3" t="s">
        <v>322</v>
      </c>
      <c r="F521" s="3">
        <v>11412</v>
      </c>
      <c r="G521" s="3" t="s">
        <v>28</v>
      </c>
      <c r="H521" s="3" t="s">
        <v>21</v>
      </c>
      <c r="I521" s="3">
        <v>100156</v>
      </c>
      <c r="J521" s="3">
        <v>81931</v>
      </c>
      <c r="K521" s="3">
        <v>18225</v>
      </c>
      <c r="L521" s="3">
        <v>91000</v>
      </c>
      <c r="M521" s="3">
        <v>3200</v>
      </c>
      <c r="N521" s="3">
        <v>4300</v>
      </c>
    </row>
    <row r="522" spans="1:14" ht="14.4">
      <c r="A522" s="3">
        <v>13365</v>
      </c>
      <c r="B522" s="3">
        <v>13366</v>
      </c>
      <c r="C522" s="3">
        <v>4085</v>
      </c>
      <c r="D522" s="3" t="s">
        <v>18</v>
      </c>
      <c r="E522" s="3" t="s">
        <v>322</v>
      </c>
      <c r="F522" s="3">
        <v>11413</v>
      </c>
      <c r="G522" s="3" t="s">
        <v>28</v>
      </c>
      <c r="H522" s="3" t="s">
        <v>21</v>
      </c>
      <c r="I522" s="3">
        <v>94216</v>
      </c>
      <c r="J522" s="3">
        <v>94216</v>
      </c>
      <c r="K522" s="3">
        <v>0</v>
      </c>
      <c r="L522" s="3">
        <v>0</v>
      </c>
      <c r="M522" s="3">
        <v>0</v>
      </c>
      <c r="N522" s="3">
        <v>0</v>
      </c>
    </row>
    <row r="523" spans="1:14" ht="14.4">
      <c r="A523" s="3">
        <v>13365</v>
      </c>
      <c r="B523" s="3">
        <v>13366</v>
      </c>
      <c r="C523" s="3">
        <v>4085</v>
      </c>
      <c r="D523" s="3" t="s">
        <v>18</v>
      </c>
      <c r="E523" s="3" t="s">
        <v>323</v>
      </c>
      <c r="F523" s="3">
        <v>11780</v>
      </c>
      <c r="G523" s="3" t="s">
        <v>23</v>
      </c>
      <c r="H523" s="3" t="s">
        <v>21</v>
      </c>
      <c r="I523" s="3">
        <v>67016</v>
      </c>
      <c r="J523" s="3">
        <v>3231</v>
      </c>
      <c r="K523" s="3">
        <v>63785</v>
      </c>
      <c r="L523" s="3">
        <v>0</v>
      </c>
      <c r="M523" s="3">
        <v>0</v>
      </c>
      <c r="N523" s="3">
        <v>0</v>
      </c>
    </row>
    <row r="524" spans="1:14" ht="14.4">
      <c r="A524" s="3">
        <v>13365</v>
      </c>
      <c r="B524" s="3">
        <v>13366</v>
      </c>
      <c r="C524" s="3">
        <v>4085</v>
      </c>
      <c r="D524" s="3" t="s">
        <v>18</v>
      </c>
      <c r="E524" s="3" t="s">
        <v>324</v>
      </c>
      <c r="F524" s="3">
        <v>11706</v>
      </c>
      <c r="G524" s="3" t="s">
        <v>23</v>
      </c>
      <c r="H524" s="3" t="s">
        <v>21</v>
      </c>
      <c r="I524" s="3">
        <v>4674</v>
      </c>
      <c r="J524" s="3">
        <v>0</v>
      </c>
      <c r="K524" s="3">
        <v>4674</v>
      </c>
      <c r="L524" s="3">
        <v>0</v>
      </c>
      <c r="M524" s="3">
        <v>0</v>
      </c>
      <c r="N524" s="3">
        <v>0</v>
      </c>
    </row>
    <row r="525" spans="1:14" ht="14.4">
      <c r="A525" s="3">
        <v>13365</v>
      </c>
      <c r="B525" s="3">
        <v>13366</v>
      </c>
      <c r="C525" s="3">
        <v>4085</v>
      </c>
      <c r="D525" s="3" t="s">
        <v>18</v>
      </c>
      <c r="E525" s="3" t="s">
        <v>325</v>
      </c>
      <c r="F525" s="3">
        <v>11510</v>
      </c>
      <c r="G525" s="3" t="s">
        <v>20</v>
      </c>
      <c r="H525" s="3" t="s">
        <v>21</v>
      </c>
      <c r="I525" s="3">
        <v>21569</v>
      </c>
      <c r="J525" s="3">
        <v>0</v>
      </c>
      <c r="K525" s="3">
        <v>21569</v>
      </c>
      <c r="L525" s="3">
        <v>0</v>
      </c>
      <c r="M525" s="3">
        <v>0</v>
      </c>
      <c r="N525" s="3">
        <v>0</v>
      </c>
    </row>
    <row r="526" spans="1:14" ht="14.4">
      <c r="A526" s="3">
        <v>13365</v>
      </c>
      <c r="B526" s="3">
        <v>13366</v>
      </c>
      <c r="C526" s="3">
        <v>4085</v>
      </c>
      <c r="D526" s="3" t="s">
        <v>18</v>
      </c>
      <c r="E526" s="3" t="s">
        <v>326</v>
      </c>
      <c r="F526" s="3">
        <v>11782</v>
      </c>
      <c r="G526" s="3" t="s">
        <v>23</v>
      </c>
      <c r="H526" s="3" t="s">
        <v>21</v>
      </c>
      <c r="I526" s="3">
        <v>934216</v>
      </c>
      <c r="J526" s="3">
        <v>689329</v>
      </c>
      <c r="K526" s="3">
        <v>244887</v>
      </c>
      <c r="L526" s="3">
        <v>626300</v>
      </c>
      <c r="M526" s="3">
        <v>460600</v>
      </c>
      <c r="N526" s="3">
        <v>135300</v>
      </c>
    </row>
    <row r="527" spans="1:14" ht="14.4">
      <c r="A527" s="3">
        <v>13365</v>
      </c>
      <c r="B527" s="3">
        <v>13366</v>
      </c>
      <c r="C527" s="3">
        <v>4085</v>
      </c>
      <c r="D527" s="3" t="s">
        <v>18</v>
      </c>
      <c r="E527" s="3" t="s">
        <v>327</v>
      </c>
      <c r="F527" s="3">
        <v>11758</v>
      </c>
      <c r="G527" s="3" t="s">
        <v>20</v>
      </c>
      <c r="H527" s="3" t="s">
        <v>21</v>
      </c>
      <c r="I527" s="3">
        <v>42794</v>
      </c>
      <c r="J527" s="3">
        <v>42794</v>
      </c>
      <c r="K527" s="3">
        <v>0</v>
      </c>
      <c r="L527" s="3">
        <v>0</v>
      </c>
      <c r="M527" s="3">
        <v>0</v>
      </c>
      <c r="N527" s="3">
        <v>0</v>
      </c>
    </row>
    <row r="528" spans="1:14" ht="14.4">
      <c r="A528" s="3">
        <v>13365</v>
      </c>
      <c r="B528" s="3">
        <v>13366</v>
      </c>
      <c r="C528" s="3">
        <v>4085</v>
      </c>
      <c r="D528" s="3" t="s">
        <v>18</v>
      </c>
      <c r="E528" s="3" t="s">
        <v>327</v>
      </c>
      <c r="F528" s="3">
        <v>11783</v>
      </c>
      <c r="G528" s="3" t="s">
        <v>20</v>
      </c>
      <c r="H528" s="3" t="s">
        <v>21</v>
      </c>
      <c r="I528" s="3">
        <v>4603236</v>
      </c>
      <c r="J528" s="3">
        <v>2617023</v>
      </c>
      <c r="K528" s="3">
        <v>1986213</v>
      </c>
      <c r="L528" s="3">
        <v>1978000</v>
      </c>
      <c r="M528" s="3">
        <v>944100</v>
      </c>
      <c r="N528" s="3">
        <v>826200</v>
      </c>
    </row>
    <row r="529" spans="1:14" ht="14.4">
      <c r="A529" s="3">
        <v>13365</v>
      </c>
      <c r="B529" s="3">
        <v>13366</v>
      </c>
      <c r="C529" s="3">
        <v>4085</v>
      </c>
      <c r="D529" s="3" t="s">
        <v>18</v>
      </c>
      <c r="E529" s="3" t="s">
        <v>328</v>
      </c>
      <c r="F529" s="3">
        <v>11770</v>
      </c>
      <c r="G529" s="3" t="s">
        <v>23</v>
      </c>
      <c r="H529" s="3" t="s">
        <v>21</v>
      </c>
      <c r="I529" s="3">
        <v>175416</v>
      </c>
      <c r="J529" s="3">
        <v>129826</v>
      </c>
      <c r="K529" s="3">
        <v>45590</v>
      </c>
      <c r="L529" s="3">
        <v>166800</v>
      </c>
      <c r="M529" s="3">
        <v>129900</v>
      </c>
      <c r="N529" s="3">
        <v>36900</v>
      </c>
    </row>
    <row r="530" spans="1:14" ht="14.4">
      <c r="A530" s="3">
        <v>13365</v>
      </c>
      <c r="B530" s="3">
        <v>13366</v>
      </c>
      <c r="C530" s="3">
        <v>4085</v>
      </c>
      <c r="D530" s="3" t="s">
        <v>18</v>
      </c>
      <c r="E530" s="3" t="s">
        <v>329</v>
      </c>
      <c r="F530" s="3">
        <v>11770</v>
      </c>
      <c r="G530" s="3" t="s">
        <v>23</v>
      </c>
      <c r="H530" s="3" t="s">
        <v>21</v>
      </c>
      <c r="I530" s="3">
        <v>1667011</v>
      </c>
      <c r="J530" s="3">
        <v>1580476</v>
      </c>
      <c r="K530" s="3">
        <v>86535</v>
      </c>
      <c r="L530" s="3">
        <v>1587200</v>
      </c>
      <c r="M530" s="3">
        <v>1570600</v>
      </c>
      <c r="N530" s="3">
        <v>16600</v>
      </c>
    </row>
    <row r="531" spans="1:14" ht="14.4">
      <c r="A531" s="3">
        <v>13365</v>
      </c>
      <c r="B531" s="3">
        <v>13366</v>
      </c>
      <c r="C531" s="3">
        <v>4085</v>
      </c>
      <c r="D531" s="3" t="s">
        <v>18</v>
      </c>
      <c r="E531" s="3" t="s">
        <v>330</v>
      </c>
      <c r="F531" s="3">
        <v>11784</v>
      </c>
      <c r="G531" s="3" t="s">
        <v>23</v>
      </c>
      <c r="H531" s="3" t="s">
        <v>21</v>
      </c>
      <c r="I531" s="3">
        <v>23896</v>
      </c>
      <c r="J531" s="3">
        <v>23896</v>
      </c>
      <c r="K531" s="3">
        <v>0</v>
      </c>
      <c r="L531" s="3">
        <v>42800</v>
      </c>
      <c r="M531" s="3">
        <v>0</v>
      </c>
      <c r="N531" s="3">
        <v>0</v>
      </c>
    </row>
    <row r="532" spans="1:14" ht="14.4">
      <c r="A532" s="3">
        <v>13365</v>
      </c>
      <c r="B532" s="3">
        <v>13366</v>
      </c>
      <c r="C532" s="3">
        <v>4085</v>
      </c>
      <c r="D532" s="3" t="s">
        <v>18</v>
      </c>
      <c r="E532" s="3" t="s">
        <v>331</v>
      </c>
      <c r="F532" s="3">
        <v>11964</v>
      </c>
      <c r="G532" s="3" t="s">
        <v>23</v>
      </c>
      <c r="H532" s="3" t="s">
        <v>21</v>
      </c>
      <c r="I532" s="3">
        <v>420462</v>
      </c>
      <c r="J532" s="3">
        <v>245457</v>
      </c>
      <c r="K532" s="3">
        <v>175005</v>
      </c>
      <c r="L532" s="3">
        <v>138400</v>
      </c>
      <c r="M532" s="3">
        <v>126100</v>
      </c>
      <c r="N532" s="3">
        <v>12300</v>
      </c>
    </row>
    <row r="533" spans="1:14" ht="14.4">
      <c r="A533" s="3">
        <v>13365</v>
      </c>
      <c r="B533" s="3">
        <v>13366</v>
      </c>
      <c r="C533" s="3">
        <v>4085</v>
      </c>
      <c r="D533" s="3" t="s">
        <v>18</v>
      </c>
      <c r="E533" s="3" t="s">
        <v>332</v>
      </c>
      <c r="F533" s="3">
        <v>11965</v>
      </c>
      <c r="G533" s="3" t="s">
        <v>23</v>
      </c>
      <c r="H533" s="3" t="s">
        <v>21</v>
      </c>
      <c r="I533" s="3">
        <v>65018</v>
      </c>
      <c r="J533" s="3">
        <v>65018</v>
      </c>
      <c r="K533" s="3">
        <v>0</v>
      </c>
      <c r="L533" s="3">
        <v>0</v>
      </c>
      <c r="M533" s="3">
        <v>0</v>
      </c>
      <c r="N533" s="3">
        <v>0</v>
      </c>
    </row>
    <row r="534" spans="1:14" ht="14.4">
      <c r="A534" s="3">
        <v>13365</v>
      </c>
      <c r="B534" s="3">
        <v>13366</v>
      </c>
      <c r="C534" s="3">
        <v>4085</v>
      </c>
      <c r="D534" s="3" t="s">
        <v>18</v>
      </c>
      <c r="E534" s="3" t="s">
        <v>333</v>
      </c>
      <c r="F534" s="3">
        <v>11965</v>
      </c>
      <c r="G534" s="3" t="s">
        <v>23</v>
      </c>
      <c r="H534" s="3" t="s">
        <v>21</v>
      </c>
      <c r="I534" s="3">
        <v>703163</v>
      </c>
      <c r="J534" s="3">
        <v>703163</v>
      </c>
      <c r="K534" s="3">
        <v>0</v>
      </c>
      <c r="L534" s="3">
        <v>703200</v>
      </c>
      <c r="M534" s="3">
        <v>703200</v>
      </c>
      <c r="N534" s="3">
        <v>0</v>
      </c>
    </row>
    <row r="535" spans="1:14" ht="14.4">
      <c r="A535" s="3">
        <v>13365</v>
      </c>
      <c r="B535" s="3">
        <v>13366</v>
      </c>
      <c r="C535" s="3">
        <v>4085</v>
      </c>
      <c r="D535" s="3" t="s">
        <v>18</v>
      </c>
      <c r="E535" s="3" t="s">
        <v>334</v>
      </c>
      <c r="F535" s="3">
        <v>11967</v>
      </c>
      <c r="G535" s="3" t="s">
        <v>23</v>
      </c>
      <c r="H535" s="3" t="s">
        <v>21</v>
      </c>
      <c r="I535" s="3">
        <v>6575</v>
      </c>
      <c r="J535" s="3">
        <v>0</v>
      </c>
      <c r="K535" s="3">
        <v>6575</v>
      </c>
      <c r="L535" s="3">
        <v>0</v>
      </c>
      <c r="M535" s="3">
        <v>0</v>
      </c>
      <c r="N535" s="3">
        <v>0</v>
      </c>
    </row>
    <row r="536" spans="1:14" ht="14.4">
      <c r="A536" s="3">
        <v>13365</v>
      </c>
      <c r="B536" s="3">
        <v>13366</v>
      </c>
      <c r="C536" s="3">
        <v>4085</v>
      </c>
      <c r="D536" s="3" t="s">
        <v>18</v>
      </c>
      <c r="E536" s="3" t="s">
        <v>335</v>
      </c>
      <c r="F536" s="3">
        <v>11967</v>
      </c>
      <c r="G536" s="3" t="s">
        <v>23</v>
      </c>
      <c r="H536" s="3" t="s">
        <v>21</v>
      </c>
      <c r="I536" s="3">
        <v>18241</v>
      </c>
      <c r="J536" s="3">
        <v>18241</v>
      </c>
      <c r="K536" s="3">
        <v>0</v>
      </c>
      <c r="L536" s="3">
        <v>0</v>
      </c>
      <c r="M536" s="3">
        <v>0</v>
      </c>
      <c r="N536" s="3">
        <v>0</v>
      </c>
    </row>
    <row r="537" spans="1:14" ht="14.4">
      <c r="A537" s="3">
        <v>13365</v>
      </c>
      <c r="B537" s="3">
        <v>13366</v>
      </c>
      <c r="C537" s="3">
        <v>4085</v>
      </c>
      <c r="D537" s="3" t="s">
        <v>18</v>
      </c>
      <c r="E537" s="3" t="s">
        <v>336</v>
      </c>
      <c r="F537" s="3">
        <v>12481</v>
      </c>
      <c r="G537" s="3" t="s">
        <v>186</v>
      </c>
      <c r="H537" s="3" t="s">
        <v>21</v>
      </c>
      <c r="I537" s="3">
        <v>997302</v>
      </c>
      <c r="J537" s="3">
        <v>212050</v>
      </c>
      <c r="K537" s="3">
        <v>785252</v>
      </c>
      <c r="L537" s="3">
        <v>418300</v>
      </c>
      <c r="M537" s="3">
        <v>0</v>
      </c>
      <c r="N537" s="3">
        <v>418300</v>
      </c>
    </row>
    <row r="538" spans="1:14" ht="14.4">
      <c r="A538" s="3">
        <v>13365</v>
      </c>
      <c r="B538" s="3">
        <v>13366</v>
      </c>
      <c r="C538" s="3">
        <v>4085</v>
      </c>
      <c r="D538" s="3" t="s">
        <v>18</v>
      </c>
      <c r="E538" s="3" t="s">
        <v>337</v>
      </c>
      <c r="F538" s="3">
        <v>11789</v>
      </c>
      <c r="G538" s="3" t="s">
        <v>23</v>
      </c>
      <c r="H538" s="3" t="s">
        <v>21</v>
      </c>
      <c r="I538" s="3">
        <v>201515</v>
      </c>
      <c r="J538" s="3">
        <v>201515</v>
      </c>
      <c r="K538" s="3">
        <v>0</v>
      </c>
      <c r="L538" s="3">
        <v>215300</v>
      </c>
      <c r="M538" s="3">
        <v>201500</v>
      </c>
      <c r="N538" s="3">
        <v>0</v>
      </c>
    </row>
    <row r="539" spans="1:14" ht="14.4">
      <c r="A539" s="3">
        <v>13365</v>
      </c>
      <c r="B539" s="3">
        <v>13366</v>
      </c>
      <c r="C539" s="3">
        <v>4085</v>
      </c>
      <c r="D539" s="3" t="s">
        <v>18</v>
      </c>
      <c r="E539" s="3" t="s">
        <v>338</v>
      </c>
      <c r="F539" s="3">
        <v>11231</v>
      </c>
      <c r="G539" s="3" t="s">
        <v>43</v>
      </c>
      <c r="H539" s="3" t="s">
        <v>21</v>
      </c>
      <c r="I539" s="3">
        <v>196207</v>
      </c>
      <c r="J539" s="3">
        <v>189832</v>
      </c>
      <c r="K539" s="3">
        <v>6375</v>
      </c>
      <c r="L539" s="3">
        <v>0</v>
      </c>
      <c r="M539" s="3">
        <v>0</v>
      </c>
      <c r="N539" s="3">
        <v>0</v>
      </c>
    </row>
    <row r="540" spans="1:14" ht="14.4">
      <c r="A540" s="3">
        <v>13365</v>
      </c>
      <c r="B540" s="3">
        <v>13366</v>
      </c>
      <c r="C540" s="3">
        <v>4085</v>
      </c>
      <c r="D540" s="3" t="s">
        <v>18</v>
      </c>
      <c r="E540" s="3" t="s">
        <v>339</v>
      </c>
      <c r="F540" s="3">
        <v>11783</v>
      </c>
      <c r="G540" s="3" t="s">
        <v>20</v>
      </c>
      <c r="H540" s="3" t="s">
        <v>21</v>
      </c>
      <c r="I540" s="3">
        <v>226571</v>
      </c>
      <c r="J540" s="3">
        <v>215121</v>
      </c>
      <c r="K540" s="3">
        <v>11450</v>
      </c>
      <c r="L540" s="3">
        <v>0</v>
      </c>
      <c r="M540" s="3">
        <v>0</v>
      </c>
      <c r="N540" s="3">
        <v>0</v>
      </c>
    </row>
    <row r="541" spans="1:14" ht="14.4">
      <c r="A541" s="3">
        <v>13365</v>
      </c>
      <c r="B541" s="3">
        <v>13366</v>
      </c>
      <c r="C541" s="3">
        <v>4085</v>
      </c>
      <c r="D541" s="3" t="s">
        <v>18</v>
      </c>
      <c r="E541" s="3" t="s">
        <v>340</v>
      </c>
      <c r="F541" s="3">
        <v>11420</v>
      </c>
      <c r="G541" s="3" t="s">
        <v>28</v>
      </c>
      <c r="H541" s="3" t="s">
        <v>21</v>
      </c>
      <c r="I541" s="3">
        <v>117664</v>
      </c>
      <c r="J541" s="3">
        <v>112864</v>
      </c>
      <c r="K541" s="3">
        <v>4800</v>
      </c>
      <c r="L541" s="3">
        <v>50800</v>
      </c>
      <c r="M541" s="3">
        <v>50800</v>
      </c>
      <c r="N541" s="3">
        <v>0</v>
      </c>
    </row>
    <row r="542" spans="1:14" ht="14.4">
      <c r="A542" s="3">
        <v>13365</v>
      </c>
      <c r="B542" s="3">
        <v>13366</v>
      </c>
      <c r="C542" s="3">
        <v>4085</v>
      </c>
      <c r="D542" s="3" t="s">
        <v>18</v>
      </c>
      <c r="E542" s="3" t="s">
        <v>341</v>
      </c>
      <c r="F542" s="3">
        <v>10590</v>
      </c>
      <c r="G542" s="3" t="s">
        <v>64</v>
      </c>
      <c r="H542" s="3" t="s">
        <v>21</v>
      </c>
      <c r="I542" s="3">
        <v>2191</v>
      </c>
      <c r="J542" s="3">
        <v>0</v>
      </c>
      <c r="K542" s="3">
        <v>2191</v>
      </c>
      <c r="L542" s="3">
        <v>0</v>
      </c>
      <c r="M542" s="3">
        <v>0</v>
      </c>
      <c r="N542" s="3">
        <v>0</v>
      </c>
    </row>
    <row r="543" spans="1:14" ht="14.4">
      <c r="A543" s="3">
        <v>13365</v>
      </c>
      <c r="B543" s="3">
        <v>13366</v>
      </c>
      <c r="C543" s="3">
        <v>4085</v>
      </c>
      <c r="D543" s="3" t="s">
        <v>18</v>
      </c>
      <c r="E543" s="3" t="s">
        <v>342</v>
      </c>
      <c r="F543" s="3">
        <v>11968</v>
      </c>
      <c r="G543" s="3" t="s">
        <v>23</v>
      </c>
      <c r="H543" s="3" t="s">
        <v>21</v>
      </c>
      <c r="I543" s="3">
        <v>546435</v>
      </c>
      <c r="J543" s="3">
        <v>430120</v>
      </c>
      <c r="K543" s="3">
        <v>116315</v>
      </c>
      <c r="L543" s="3">
        <v>556300</v>
      </c>
      <c r="M543" s="3">
        <v>332800</v>
      </c>
      <c r="N543" s="3">
        <v>91300</v>
      </c>
    </row>
    <row r="544" spans="1:14" ht="14.4">
      <c r="A544" s="3">
        <v>13365</v>
      </c>
      <c r="B544" s="3">
        <v>13366</v>
      </c>
      <c r="C544" s="3">
        <v>4085</v>
      </c>
      <c r="D544" s="3" t="s">
        <v>18</v>
      </c>
      <c r="E544" s="3" t="s">
        <v>343</v>
      </c>
      <c r="F544" s="3">
        <v>11971</v>
      </c>
      <c r="G544" s="3" t="s">
        <v>23</v>
      </c>
      <c r="H544" s="3" t="s">
        <v>21</v>
      </c>
      <c r="I544" s="3">
        <v>2971206</v>
      </c>
      <c r="J544" s="3">
        <v>2081695</v>
      </c>
      <c r="K544" s="3">
        <v>889511</v>
      </c>
      <c r="L544" s="3">
        <v>847300</v>
      </c>
      <c r="M544" s="3">
        <v>707400</v>
      </c>
      <c r="N544" s="3">
        <v>139900</v>
      </c>
    </row>
    <row r="545" spans="1:14" ht="14.4">
      <c r="A545" s="3">
        <v>13365</v>
      </c>
      <c r="B545" s="3">
        <v>13366</v>
      </c>
      <c r="C545" s="3">
        <v>4085</v>
      </c>
      <c r="D545" s="3" t="s">
        <v>18</v>
      </c>
      <c r="E545" s="3" t="s">
        <v>344</v>
      </c>
      <c r="F545" s="3">
        <v>11422</v>
      </c>
      <c r="G545" s="3" t="s">
        <v>28</v>
      </c>
      <c r="H545" s="3" t="s">
        <v>21</v>
      </c>
      <c r="I545" s="3">
        <v>68800</v>
      </c>
      <c r="J545" s="3">
        <v>48725</v>
      </c>
      <c r="K545" s="3">
        <v>20075</v>
      </c>
      <c r="L545" s="3">
        <v>0</v>
      </c>
      <c r="M545" s="3">
        <v>0</v>
      </c>
      <c r="N545" s="3">
        <v>0</v>
      </c>
    </row>
    <row r="546" spans="1:14" ht="14.4">
      <c r="A546" s="3">
        <v>13365</v>
      </c>
      <c r="B546" s="3">
        <v>13366</v>
      </c>
      <c r="C546" s="3">
        <v>4085</v>
      </c>
      <c r="D546" s="3" t="s">
        <v>18</v>
      </c>
      <c r="E546" s="3" t="s">
        <v>345</v>
      </c>
      <c r="F546" s="3">
        <v>10977</v>
      </c>
      <c r="G546" s="3" t="s">
        <v>85</v>
      </c>
      <c r="H546" s="3" t="s">
        <v>21</v>
      </c>
      <c r="I546" s="3">
        <v>241262</v>
      </c>
      <c r="J546" s="3">
        <v>215972</v>
      </c>
      <c r="K546" s="3">
        <v>25290</v>
      </c>
      <c r="L546" s="3">
        <v>13900</v>
      </c>
      <c r="M546" s="3">
        <v>4500</v>
      </c>
      <c r="N546" s="3">
        <v>0</v>
      </c>
    </row>
    <row r="547" spans="1:14" ht="14.4">
      <c r="A547" s="3">
        <v>13365</v>
      </c>
      <c r="B547" s="3">
        <v>13366</v>
      </c>
      <c r="C547" s="3">
        <v>4085</v>
      </c>
      <c r="D547" s="3" t="s">
        <v>18</v>
      </c>
      <c r="E547" s="3" t="s">
        <v>346</v>
      </c>
      <c r="F547" s="3">
        <v>11413</v>
      </c>
      <c r="G547" s="3" t="s">
        <v>28</v>
      </c>
      <c r="H547" s="3" t="s">
        <v>21</v>
      </c>
      <c r="I547" s="3">
        <v>2425</v>
      </c>
      <c r="J547" s="3">
        <v>725</v>
      </c>
      <c r="K547" s="3">
        <v>1700</v>
      </c>
      <c r="L547" s="3">
        <v>0</v>
      </c>
      <c r="M547" s="3">
        <v>0</v>
      </c>
      <c r="N547" s="3">
        <v>0</v>
      </c>
    </row>
    <row r="548" spans="1:14" ht="14.4">
      <c r="A548" s="3">
        <v>13365</v>
      </c>
      <c r="B548" s="3">
        <v>13366</v>
      </c>
      <c r="C548" s="3">
        <v>4085</v>
      </c>
      <c r="D548" s="3" t="s">
        <v>18</v>
      </c>
      <c r="E548" s="3" t="s">
        <v>347</v>
      </c>
      <c r="F548" s="3">
        <v>11413</v>
      </c>
      <c r="G548" s="3" t="s">
        <v>28</v>
      </c>
      <c r="H548" s="3" t="s">
        <v>21</v>
      </c>
      <c r="I548" s="3">
        <v>52942</v>
      </c>
      <c r="J548" s="3">
        <v>51342</v>
      </c>
      <c r="K548" s="3">
        <v>1600</v>
      </c>
      <c r="L548" s="3">
        <v>0</v>
      </c>
      <c r="M548" s="3">
        <v>0</v>
      </c>
      <c r="N548" s="3">
        <v>0</v>
      </c>
    </row>
    <row r="549" spans="1:14" ht="14.4">
      <c r="A549" s="3">
        <v>13365</v>
      </c>
      <c r="B549" s="3">
        <v>13366</v>
      </c>
      <c r="C549" s="3">
        <v>4085</v>
      </c>
      <c r="D549" s="3" t="s">
        <v>18</v>
      </c>
      <c r="E549" s="3" t="s">
        <v>348</v>
      </c>
      <c r="F549" s="3">
        <v>10306</v>
      </c>
      <c r="G549" s="3" t="s">
        <v>71</v>
      </c>
      <c r="H549" s="3" t="s">
        <v>21</v>
      </c>
      <c r="I549" s="3">
        <v>74534</v>
      </c>
      <c r="J549" s="3">
        <v>72034</v>
      </c>
      <c r="K549" s="3">
        <v>2500</v>
      </c>
      <c r="L549" s="3">
        <v>0</v>
      </c>
      <c r="M549" s="3">
        <v>0</v>
      </c>
      <c r="N549" s="3">
        <v>0</v>
      </c>
    </row>
    <row r="550" spans="1:14" ht="14.4">
      <c r="A550" s="3">
        <v>13365</v>
      </c>
      <c r="B550" s="3">
        <v>13366</v>
      </c>
      <c r="C550" s="3">
        <v>4085</v>
      </c>
      <c r="D550" s="3" t="s">
        <v>18</v>
      </c>
      <c r="E550" s="3" t="s">
        <v>349</v>
      </c>
      <c r="F550" s="3">
        <v>10303</v>
      </c>
      <c r="G550" s="3" t="s">
        <v>71</v>
      </c>
      <c r="H550" s="3" t="s">
        <v>21</v>
      </c>
      <c r="I550" s="3">
        <v>2442338</v>
      </c>
      <c r="J550" s="3">
        <v>60423</v>
      </c>
      <c r="K550" s="3">
        <v>2381915</v>
      </c>
      <c r="L550" s="3">
        <v>0</v>
      </c>
      <c r="M550" s="3">
        <v>0</v>
      </c>
      <c r="N550" s="3">
        <v>0</v>
      </c>
    </row>
    <row r="551" spans="1:14" ht="14.4">
      <c r="A551" s="3">
        <v>13365</v>
      </c>
      <c r="B551" s="3">
        <v>13366</v>
      </c>
      <c r="C551" s="3">
        <v>4085</v>
      </c>
      <c r="D551" s="3" t="s">
        <v>18</v>
      </c>
      <c r="E551" s="3" t="s">
        <v>350</v>
      </c>
      <c r="F551" s="3">
        <v>10309</v>
      </c>
      <c r="G551" s="3" t="s">
        <v>71</v>
      </c>
      <c r="H551" s="3" t="s">
        <v>21</v>
      </c>
      <c r="I551" s="3">
        <v>44810</v>
      </c>
      <c r="J551" s="3">
        <v>43160</v>
      </c>
      <c r="K551" s="3">
        <v>1650</v>
      </c>
      <c r="L551" s="3">
        <v>47500</v>
      </c>
      <c r="M551" s="3">
        <v>43200</v>
      </c>
      <c r="N551" s="3">
        <v>1700</v>
      </c>
    </row>
    <row r="552" spans="1:14" ht="14.4">
      <c r="A552" s="3">
        <v>13365</v>
      </c>
      <c r="B552" s="3">
        <v>13366</v>
      </c>
      <c r="C552" s="3">
        <v>4085</v>
      </c>
      <c r="D552" s="3" t="s">
        <v>18</v>
      </c>
      <c r="E552" s="3" t="s">
        <v>351</v>
      </c>
      <c r="F552" s="3">
        <v>10303</v>
      </c>
      <c r="G552" s="3" t="s">
        <v>32</v>
      </c>
      <c r="H552" s="3" t="s">
        <v>21</v>
      </c>
      <c r="I552" s="3">
        <v>15563</v>
      </c>
      <c r="J552" s="3">
        <v>4888</v>
      </c>
      <c r="K552" s="3">
        <v>10675</v>
      </c>
      <c r="L552" s="3">
        <v>0</v>
      </c>
      <c r="M552" s="3">
        <v>0</v>
      </c>
      <c r="N552" s="3">
        <v>0</v>
      </c>
    </row>
    <row r="553" spans="1:14" ht="14.4">
      <c r="A553" s="3">
        <v>13365</v>
      </c>
      <c r="B553" s="3">
        <v>13366</v>
      </c>
      <c r="C553" s="3">
        <v>4085</v>
      </c>
      <c r="D553" s="3" t="s">
        <v>18</v>
      </c>
      <c r="E553" s="3" t="s">
        <v>351</v>
      </c>
      <c r="F553" s="3">
        <v>10310</v>
      </c>
      <c r="G553" s="3" t="s">
        <v>32</v>
      </c>
      <c r="H553" s="3" t="s">
        <v>21</v>
      </c>
      <c r="I553" s="3">
        <v>60511</v>
      </c>
      <c r="J553" s="3">
        <v>48656</v>
      </c>
      <c r="K553" s="3">
        <v>11855</v>
      </c>
      <c r="L553" s="3">
        <v>0</v>
      </c>
      <c r="M553" s="3">
        <v>0</v>
      </c>
      <c r="N553" s="3">
        <v>0</v>
      </c>
    </row>
    <row r="554" spans="1:14" ht="14.4">
      <c r="A554" s="3">
        <v>13365</v>
      </c>
      <c r="B554" s="3">
        <v>13366</v>
      </c>
      <c r="C554" s="3">
        <v>4085</v>
      </c>
      <c r="D554" s="3" t="s">
        <v>18</v>
      </c>
      <c r="E554" s="3" t="s">
        <v>351</v>
      </c>
      <c r="F554" s="3">
        <v>10103</v>
      </c>
      <c r="G554" s="3" t="s">
        <v>71</v>
      </c>
      <c r="H554" s="3" t="s">
        <v>21</v>
      </c>
      <c r="I554" s="3">
        <v>27850</v>
      </c>
      <c r="J554" s="3">
        <v>0</v>
      </c>
      <c r="K554" s="3">
        <v>27850</v>
      </c>
      <c r="L554" s="3">
        <v>0</v>
      </c>
      <c r="M554" s="3">
        <v>0</v>
      </c>
      <c r="N554" s="3">
        <v>0</v>
      </c>
    </row>
    <row r="555" spans="1:14" ht="14.4">
      <c r="A555" s="3">
        <v>13365</v>
      </c>
      <c r="B555" s="3">
        <v>13366</v>
      </c>
      <c r="C555" s="3">
        <v>4085</v>
      </c>
      <c r="D555" s="3" t="s">
        <v>18</v>
      </c>
      <c r="E555" s="3" t="s">
        <v>351</v>
      </c>
      <c r="F555" s="3">
        <v>10301</v>
      </c>
      <c r="G555" s="3" t="s">
        <v>71</v>
      </c>
      <c r="H555" s="3" t="s">
        <v>21</v>
      </c>
      <c r="I555" s="3">
        <v>925016</v>
      </c>
      <c r="J555" s="3">
        <v>797851</v>
      </c>
      <c r="K555" s="3">
        <v>127165</v>
      </c>
      <c r="L555" s="3">
        <v>157200</v>
      </c>
      <c r="M555" s="3">
        <v>112900</v>
      </c>
      <c r="N555" s="3">
        <v>29300</v>
      </c>
    </row>
    <row r="556" spans="1:14" ht="14.4">
      <c r="A556" s="3">
        <v>13365</v>
      </c>
      <c r="B556" s="3">
        <v>13366</v>
      </c>
      <c r="C556" s="3">
        <v>4085</v>
      </c>
      <c r="D556" s="3" t="s">
        <v>18</v>
      </c>
      <c r="E556" s="3" t="s">
        <v>351</v>
      </c>
      <c r="F556" s="3">
        <v>10302</v>
      </c>
      <c r="G556" s="3" t="s">
        <v>71</v>
      </c>
      <c r="H556" s="3" t="s">
        <v>21</v>
      </c>
      <c r="I556" s="3">
        <v>1964015</v>
      </c>
      <c r="J556" s="3">
        <v>1039215</v>
      </c>
      <c r="K556" s="3">
        <v>924800</v>
      </c>
      <c r="L556" s="3">
        <v>242400</v>
      </c>
      <c r="M556" s="3">
        <v>48600</v>
      </c>
      <c r="N556" s="3">
        <v>74900</v>
      </c>
    </row>
    <row r="557" spans="1:14" ht="14.4">
      <c r="A557" s="3">
        <v>13365</v>
      </c>
      <c r="B557" s="3">
        <v>13366</v>
      </c>
      <c r="C557" s="3">
        <v>4085</v>
      </c>
      <c r="D557" s="3" t="s">
        <v>18</v>
      </c>
      <c r="E557" s="3" t="s">
        <v>351</v>
      </c>
      <c r="F557" s="3">
        <v>10303</v>
      </c>
      <c r="G557" s="3" t="s">
        <v>71</v>
      </c>
      <c r="H557" s="3" t="s">
        <v>21</v>
      </c>
      <c r="I557" s="3">
        <v>6015311</v>
      </c>
      <c r="J557" s="3">
        <v>2216880</v>
      </c>
      <c r="K557" s="3">
        <v>3798431</v>
      </c>
      <c r="L557" s="3">
        <v>2093400</v>
      </c>
      <c r="M557" s="3">
        <v>418200</v>
      </c>
      <c r="N557" s="3">
        <v>1657000</v>
      </c>
    </row>
    <row r="558" spans="1:14" ht="14.4">
      <c r="A558" s="3">
        <v>13365</v>
      </c>
      <c r="B558" s="3">
        <v>13366</v>
      </c>
      <c r="C558" s="3">
        <v>4085</v>
      </c>
      <c r="D558" s="3" t="s">
        <v>18</v>
      </c>
      <c r="E558" s="3" t="s">
        <v>351</v>
      </c>
      <c r="F558" s="3">
        <v>10304</v>
      </c>
      <c r="G558" s="3" t="s">
        <v>71</v>
      </c>
      <c r="H558" s="3" t="s">
        <v>21</v>
      </c>
      <c r="I558" s="3">
        <v>2892274</v>
      </c>
      <c r="J558" s="3">
        <v>2033879</v>
      </c>
      <c r="K558" s="3">
        <v>858395</v>
      </c>
      <c r="L558" s="3">
        <v>986200</v>
      </c>
      <c r="M558" s="3">
        <v>735000</v>
      </c>
      <c r="N558" s="3">
        <v>140400</v>
      </c>
    </row>
    <row r="559" spans="1:14" ht="14.4">
      <c r="A559" s="3">
        <v>13365</v>
      </c>
      <c r="B559" s="3">
        <v>13366</v>
      </c>
      <c r="C559" s="3">
        <v>4085</v>
      </c>
      <c r="D559" s="3" t="s">
        <v>18</v>
      </c>
      <c r="E559" s="3" t="s">
        <v>351</v>
      </c>
      <c r="F559" s="3">
        <v>10305</v>
      </c>
      <c r="G559" s="3" t="s">
        <v>71</v>
      </c>
      <c r="H559" s="3" t="s">
        <v>21</v>
      </c>
      <c r="I559" s="3">
        <v>13474000</v>
      </c>
      <c r="J559" s="3">
        <v>9239496</v>
      </c>
      <c r="K559" s="3">
        <v>4234504</v>
      </c>
      <c r="L559" s="3">
        <v>5245000</v>
      </c>
      <c r="M559" s="3">
        <v>3429500</v>
      </c>
      <c r="N559" s="3">
        <v>1399600</v>
      </c>
    </row>
    <row r="560" spans="1:14" ht="14.4">
      <c r="A560" s="3">
        <v>13365</v>
      </c>
      <c r="B560" s="3">
        <v>13366</v>
      </c>
      <c r="C560" s="3">
        <v>4085</v>
      </c>
      <c r="D560" s="3" t="s">
        <v>18</v>
      </c>
      <c r="E560" s="3" t="s">
        <v>351</v>
      </c>
      <c r="F560" s="3">
        <v>10306</v>
      </c>
      <c r="G560" s="3" t="s">
        <v>71</v>
      </c>
      <c r="H560" s="3" t="s">
        <v>21</v>
      </c>
      <c r="I560" s="3">
        <v>27937623</v>
      </c>
      <c r="J560" s="3">
        <v>20928493</v>
      </c>
      <c r="K560" s="3">
        <v>7009130</v>
      </c>
      <c r="L560" s="3">
        <v>7452700</v>
      </c>
      <c r="M560" s="3">
        <v>4772100</v>
      </c>
      <c r="N560" s="3">
        <v>1850800</v>
      </c>
    </row>
    <row r="561" spans="1:14" ht="14.4">
      <c r="A561" s="3">
        <v>13365</v>
      </c>
      <c r="B561" s="3">
        <v>13366</v>
      </c>
      <c r="C561" s="3">
        <v>4085</v>
      </c>
      <c r="D561" s="3" t="s">
        <v>18</v>
      </c>
      <c r="E561" s="3" t="s">
        <v>351</v>
      </c>
      <c r="F561" s="3">
        <v>10307</v>
      </c>
      <c r="G561" s="3" t="s">
        <v>71</v>
      </c>
      <c r="H561" s="3" t="s">
        <v>21</v>
      </c>
      <c r="I561" s="3">
        <v>5035599</v>
      </c>
      <c r="J561" s="3">
        <v>1655746</v>
      </c>
      <c r="K561" s="3">
        <v>3379853</v>
      </c>
      <c r="L561" s="3">
        <v>451400</v>
      </c>
      <c r="M561" s="3">
        <v>74900</v>
      </c>
      <c r="N561" s="3">
        <v>290300</v>
      </c>
    </row>
    <row r="562" spans="1:14" ht="14.4">
      <c r="A562" s="3">
        <v>13365</v>
      </c>
      <c r="B562" s="3">
        <v>13366</v>
      </c>
      <c r="C562" s="3">
        <v>4085</v>
      </c>
      <c r="D562" s="3" t="s">
        <v>18</v>
      </c>
      <c r="E562" s="3" t="s">
        <v>351</v>
      </c>
      <c r="F562" s="3">
        <v>10308</v>
      </c>
      <c r="G562" s="3" t="s">
        <v>71</v>
      </c>
      <c r="H562" s="3" t="s">
        <v>21</v>
      </c>
      <c r="I562" s="3">
        <v>8816354</v>
      </c>
      <c r="J562" s="3">
        <v>7249271</v>
      </c>
      <c r="K562" s="3">
        <v>1567083</v>
      </c>
      <c r="L562" s="3">
        <v>3049900</v>
      </c>
      <c r="M562" s="3">
        <v>2205900</v>
      </c>
      <c r="N562" s="3">
        <v>808000</v>
      </c>
    </row>
    <row r="563" spans="1:14" ht="14.4">
      <c r="A563" s="3">
        <v>13365</v>
      </c>
      <c r="B563" s="3">
        <v>13366</v>
      </c>
      <c r="C563" s="3">
        <v>4085</v>
      </c>
      <c r="D563" s="3" t="s">
        <v>18</v>
      </c>
      <c r="E563" s="3" t="s">
        <v>351</v>
      </c>
      <c r="F563" s="3">
        <v>10309</v>
      </c>
      <c r="G563" s="3" t="s">
        <v>71</v>
      </c>
      <c r="H563" s="3" t="s">
        <v>21</v>
      </c>
      <c r="I563" s="3">
        <v>4445038</v>
      </c>
      <c r="J563" s="3">
        <v>2402982</v>
      </c>
      <c r="K563" s="3">
        <v>2042056</v>
      </c>
      <c r="L563" s="3">
        <v>1930800</v>
      </c>
      <c r="M563" s="3">
        <v>933700</v>
      </c>
      <c r="N563" s="3">
        <v>693000</v>
      </c>
    </row>
    <row r="564" spans="1:14" ht="14.4">
      <c r="A564" s="3">
        <v>13365</v>
      </c>
      <c r="B564" s="3">
        <v>13366</v>
      </c>
      <c r="C564" s="3">
        <v>4085</v>
      </c>
      <c r="D564" s="3" t="s">
        <v>18</v>
      </c>
      <c r="E564" s="3" t="s">
        <v>351</v>
      </c>
      <c r="F564" s="3">
        <v>10310</v>
      </c>
      <c r="G564" s="3" t="s">
        <v>71</v>
      </c>
      <c r="H564" s="3" t="s">
        <v>21</v>
      </c>
      <c r="I564" s="3">
        <v>1209440</v>
      </c>
      <c r="J564" s="3">
        <v>471792</v>
      </c>
      <c r="K564" s="3">
        <v>737648</v>
      </c>
      <c r="L564" s="3">
        <v>468500</v>
      </c>
      <c r="M564" s="3">
        <v>90600</v>
      </c>
      <c r="N564" s="3">
        <v>97500</v>
      </c>
    </row>
    <row r="565" spans="1:14" ht="14.4">
      <c r="A565" s="3">
        <v>13365</v>
      </c>
      <c r="B565" s="3">
        <v>13366</v>
      </c>
      <c r="C565" s="3">
        <v>4085</v>
      </c>
      <c r="D565" s="3" t="s">
        <v>18</v>
      </c>
      <c r="E565" s="3" t="s">
        <v>351</v>
      </c>
      <c r="F565" s="3">
        <v>10312</v>
      </c>
      <c r="G565" s="3" t="s">
        <v>71</v>
      </c>
      <c r="H565" s="3" t="s">
        <v>21</v>
      </c>
      <c r="I565" s="3">
        <v>2838893</v>
      </c>
      <c r="J565" s="3">
        <v>2491724</v>
      </c>
      <c r="K565" s="3">
        <v>347169</v>
      </c>
      <c r="L565" s="3">
        <v>521600</v>
      </c>
      <c r="M565" s="3">
        <v>431200</v>
      </c>
      <c r="N565" s="3">
        <v>52100</v>
      </c>
    </row>
    <row r="566" spans="1:14" ht="14.4">
      <c r="A566" s="3">
        <v>13365</v>
      </c>
      <c r="B566" s="3">
        <v>13366</v>
      </c>
      <c r="C566" s="3">
        <v>4085</v>
      </c>
      <c r="D566" s="3" t="s">
        <v>18</v>
      </c>
      <c r="E566" s="3" t="s">
        <v>351</v>
      </c>
      <c r="F566" s="3">
        <v>10314</v>
      </c>
      <c r="G566" s="3" t="s">
        <v>71</v>
      </c>
      <c r="H566" s="3" t="s">
        <v>21</v>
      </c>
      <c r="I566" s="3">
        <v>1794180</v>
      </c>
      <c r="J566" s="3">
        <v>958739</v>
      </c>
      <c r="K566" s="3">
        <v>835441</v>
      </c>
      <c r="L566" s="3">
        <v>180400</v>
      </c>
      <c r="M566" s="3">
        <v>105000</v>
      </c>
      <c r="N566" s="3">
        <v>2200</v>
      </c>
    </row>
    <row r="567" spans="1:14" ht="14.4">
      <c r="A567" s="3">
        <v>13365</v>
      </c>
      <c r="B567" s="3">
        <v>13366</v>
      </c>
      <c r="C567" s="3">
        <v>4085</v>
      </c>
      <c r="D567" s="3" t="s">
        <v>18</v>
      </c>
      <c r="E567" s="3" t="s">
        <v>352</v>
      </c>
      <c r="F567" s="3">
        <v>11530</v>
      </c>
      <c r="G567" s="3" t="s">
        <v>20</v>
      </c>
      <c r="H567" s="3" t="s">
        <v>21</v>
      </c>
      <c r="I567" s="3">
        <v>55117</v>
      </c>
      <c r="J567" s="3">
        <v>18670</v>
      </c>
      <c r="K567" s="3">
        <v>36447</v>
      </c>
      <c r="L567" s="3">
        <v>0</v>
      </c>
      <c r="M567" s="3">
        <v>0</v>
      </c>
      <c r="N567" s="3">
        <v>0</v>
      </c>
    </row>
    <row r="568" spans="1:14" ht="14.4">
      <c r="A568" s="3">
        <v>13365</v>
      </c>
      <c r="B568" s="3">
        <v>13366</v>
      </c>
      <c r="C568" s="3">
        <v>4085</v>
      </c>
      <c r="D568" s="3" t="s">
        <v>18</v>
      </c>
      <c r="E568" s="3" t="s">
        <v>353</v>
      </c>
      <c r="F568" s="3">
        <v>11790</v>
      </c>
      <c r="G568" s="3" t="s">
        <v>23</v>
      </c>
      <c r="H568" s="3" t="s">
        <v>21</v>
      </c>
      <c r="I568" s="3">
        <v>118409</v>
      </c>
      <c r="J568" s="3">
        <v>114359</v>
      </c>
      <c r="K568" s="3">
        <v>4050</v>
      </c>
      <c r="L568" s="3">
        <v>169000</v>
      </c>
      <c r="M568" s="3">
        <v>108600</v>
      </c>
      <c r="N568" s="3">
        <v>1200</v>
      </c>
    </row>
    <row r="569" spans="1:14" ht="14.4">
      <c r="A569" s="3">
        <v>13365</v>
      </c>
      <c r="B569" s="3">
        <v>13366</v>
      </c>
      <c r="C569" s="3">
        <v>4085</v>
      </c>
      <c r="D569" s="3" t="s">
        <v>18</v>
      </c>
      <c r="E569" s="3" t="s">
        <v>354</v>
      </c>
      <c r="F569" s="3">
        <v>10980</v>
      </c>
      <c r="G569" s="3" t="s">
        <v>85</v>
      </c>
      <c r="H569" s="3" t="s">
        <v>21</v>
      </c>
      <c r="I569" s="3">
        <v>1051232</v>
      </c>
      <c r="J569" s="3">
        <v>676647</v>
      </c>
      <c r="K569" s="3">
        <v>374585</v>
      </c>
      <c r="L569" s="3">
        <v>92800</v>
      </c>
      <c r="M569" s="3">
        <v>88600</v>
      </c>
      <c r="N569" s="3">
        <v>2800</v>
      </c>
    </row>
    <row r="570" spans="1:14" ht="14.4">
      <c r="A570" s="3">
        <v>13365</v>
      </c>
      <c r="B570" s="3">
        <v>13366</v>
      </c>
      <c r="C570" s="3">
        <v>4085</v>
      </c>
      <c r="D570" s="3" t="s">
        <v>18</v>
      </c>
      <c r="E570" s="3" t="s">
        <v>355</v>
      </c>
      <c r="F570" s="3">
        <v>10901</v>
      </c>
      <c r="G570" s="3" t="s">
        <v>85</v>
      </c>
      <c r="H570" s="3" t="s">
        <v>21</v>
      </c>
      <c r="I570" s="3">
        <v>15891</v>
      </c>
      <c r="J570" s="3">
        <v>15891</v>
      </c>
      <c r="K570" s="3">
        <v>0</v>
      </c>
      <c r="L570" s="3">
        <v>0</v>
      </c>
      <c r="M570" s="3">
        <v>0</v>
      </c>
      <c r="N570" s="3">
        <v>0</v>
      </c>
    </row>
    <row r="571" spans="1:14" ht="14.4">
      <c r="A571" s="3">
        <v>13365</v>
      </c>
      <c r="B571" s="3">
        <v>13366</v>
      </c>
      <c r="C571" s="3">
        <v>4085</v>
      </c>
      <c r="D571" s="3" t="s">
        <v>18</v>
      </c>
      <c r="E571" s="3" t="s">
        <v>356</v>
      </c>
      <c r="F571" s="3">
        <v>11791</v>
      </c>
      <c r="G571" s="3" t="s">
        <v>20</v>
      </c>
      <c r="H571" s="3" t="s">
        <v>21</v>
      </c>
      <c r="I571" s="3">
        <v>49314</v>
      </c>
      <c r="J571" s="3">
        <v>29314</v>
      </c>
      <c r="K571" s="3">
        <v>20000</v>
      </c>
      <c r="L571" s="3">
        <v>43600</v>
      </c>
      <c r="M571" s="3">
        <v>0</v>
      </c>
      <c r="N571" s="3">
        <v>0</v>
      </c>
    </row>
    <row r="572" spans="1:14" ht="14.4">
      <c r="A572" s="3">
        <v>13365</v>
      </c>
      <c r="B572" s="3">
        <v>13366</v>
      </c>
      <c r="C572" s="3">
        <v>4085</v>
      </c>
      <c r="D572" s="3" t="s">
        <v>18</v>
      </c>
      <c r="E572" s="3" t="s">
        <v>357</v>
      </c>
      <c r="F572" s="3">
        <v>12485</v>
      </c>
      <c r="G572" s="3" t="s">
        <v>70</v>
      </c>
      <c r="H572" s="3" t="s">
        <v>21</v>
      </c>
      <c r="I572" s="3">
        <v>0</v>
      </c>
      <c r="J572" s="3">
        <v>0</v>
      </c>
      <c r="K572" s="3">
        <v>0</v>
      </c>
      <c r="L572" s="3">
        <v>45200</v>
      </c>
      <c r="M572" s="3">
        <v>0</v>
      </c>
      <c r="N572" s="3">
        <v>0</v>
      </c>
    </row>
    <row r="573" spans="1:14" ht="14.4">
      <c r="A573" s="3">
        <v>13365</v>
      </c>
      <c r="B573" s="3">
        <v>13366</v>
      </c>
      <c r="C573" s="3">
        <v>4085</v>
      </c>
      <c r="D573" s="3" t="s">
        <v>18</v>
      </c>
      <c r="E573" s="3" t="s">
        <v>358</v>
      </c>
      <c r="F573" s="3">
        <v>10591</v>
      </c>
      <c r="G573" s="3" t="s">
        <v>64</v>
      </c>
      <c r="H573" s="3" t="s">
        <v>21</v>
      </c>
      <c r="I573" s="3">
        <v>257785</v>
      </c>
      <c r="J573" s="3">
        <v>216551</v>
      </c>
      <c r="K573" s="3">
        <v>41234</v>
      </c>
      <c r="L573" s="3">
        <v>0</v>
      </c>
      <c r="M573" s="3">
        <v>0</v>
      </c>
      <c r="N573" s="3">
        <v>0</v>
      </c>
    </row>
    <row r="574" spans="1:14" ht="14.4">
      <c r="A574" s="3">
        <v>13365</v>
      </c>
      <c r="B574" s="3">
        <v>13366</v>
      </c>
      <c r="C574" s="3">
        <v>4085</v>
      </c>
      <c r="D574" s="3" t="s">
        <v>18</v>
      </c>
      <c r="E574" s="3" t="s">
        <v>359</v>
      </c>
      <c r="F574" s="3">
        <v>11553</v>
      </c>
      <c r="G574" s="3" t="s">
        <v>20</v>
      </c>
      <c r="H574" s="3" t="s">
        <v>21</v>
      </c>
      <c r="I574" s="3">
        <v>3087</v>
      </c>
      <c r="J574" s="3">
        <v>87</v>
      </c>
      <c r="K574" s="3">
        <v>3000</v>
      </c>
      <c r="L574" s="3">
        <v>0</v>
      </c>
      <c r="M574" s="3">
        <v>0</v>
      </c>
      <c r="N574" s="3">
        <v>0</v>
      </c>
    </row>
    <row r="575" spans="1:14" ht="14.4">
      <c r="A575" s="3">
        <v>13365</v>
      </c>
      <c r="B575" s="3">
        <v>13366</v>
      </c>
      <c r="C575" s="3">
        <v>4085</v>
      </c>
      <c r="D575" s="3" t="s">
        <v>18</v>
      </c>
      <c r="E575" s="3" t="s">
        <v>360</v>
      </c>
      <c r="F575" s="3">
        <v>10989</v>
      </c>
      <c r="G575" s="3" t="s">
        <v>85</v>
      </c>
      <c r="H575" s="3" t="s">
        <v>21</v>
      </c>
      <c r="I575" s="3">
        <v>37795</v>
      </c>
      <c r="J575" s="3">
        <v>37795</v>
      </c>
      <c r="K575" s="3">
        <v>0</v>
      </c>
      <c r="L575" s="3">
        <v>0</v>
      </c>
      <c r="M575" s="3">
        <v>0</v>
      </c>
      <c r="N575" s="3">
        <v>0</v>
      </c>
    </row>
    <row r="576" spans="1:14" ht="14.4">
      <c r="A576" s="3">
        <v>13365</v>
      </c>
      <c r="B576" s="3">
        <v>13366</v>
      </c>
      <c r="C576" s="3">
        <v>4085</v>
      </c>
      <c r="D576" s="3" t="s">
        <v>18</v>
      </c>
      <c r="E576" s="3" t="s">
        <v>361</v>
      </c>
      <c r="F576" s="3">
        <v>11580</v>
      </c>
      <c r="G576" s="3" t="s">
        <v>20</v>
      </c>
      <c r="H576" s="3" t="s">
        <v>21</v>
      </c>
      <c r="I576" s="3">
        <v>10412</v>
      </c>
      <c r="J576" s="3">
        <v>2436</v>
      </c>
      <c r="K576" s="3">
        <v>7976</v>
      </c>
      <c r="L576" s="3">
        <v>99400</v>
      </c>
      <c r="M576" s="3">
        <v>0</v>
      </c>
      <c r="N576" s="3">
        <v>0</v>
      </c>
    </row>
    <row r="577" spans="1:14" ht="14.4">
      <c r="A577" s="3">
        <v>13365</v>
      </c>
      <c r="B577" s="3">
        <v>13366</v>
      </c>
      <c r="C577" s="3">
        <v>4085</v>
      </c>
      <c r="D577" s="3" t="s">
        <v>18</v>
      </c>
      <c r="E577" s="3" t="s">
        <v>361</v>
      </c>
      <c r="F577" s="3">
        <v>11581</v>
      </c>
      <c r="G577" s="3" t="s">
        <v>20</v>
      </c>
      <c r="H577" s="3" t="s">
        <v>21</v>
      </c>
      <c r="I577" s="3">
        <v>2478280</v>
      </c>
      <c r="J577" s="3">
        <v>590077</v>
      </c>
      <c r="K577" s="3">
        <v>1888203</v>
      </c>
      <c r="L577" s="3">
        <v>587800</v>
      </c>
      <c r="M577" s="3">
        <v>53800</v>
      </c>
      <c r="N577" s="3">
        <v>360100</v>
      </c>
    </row>
    <row r="578" spans="1:14" ht="14.4">
      <c r="A578" s="3">
        <v>13365</v>
      </c>
      <c r="B578" s="3">
        <v>13366</v>
      </c>
      <c r="C578" s="3">
        <v>4085</v>
      </c>
      <c r="D578" s="3" t="s">
        <v>18</v>
      </c>
      <c r="E578" s="3" t="s">
        <v>362</v>
      </c>
      <c r="F578" s="3">
        <v>11518</v>
      </c>
      <c r="G578" s="3" t="s">
        <v>20</v>
      </c>
      <c r="H578" s="3" t="s">
        <v>21</v>
      </c>
      <c r="I578" s="3">
        <v>25600</v>
      </c>
      <c r="J578" s="3">
        <v>0</v>
      </c>
      <c r="K578" s="3">
        <v>25600</v>
      </c>
      <c r="L578" s="3">
        <v>0</v>
      </c>
      <c r="M578" s="3">
        <v>0</v>
      </c>
      <c r="N578" s="3">
        <v>0</v>
      </c>
    </row>
    <row r="579" spans="1:14" ht="14.4">
      <c r="A579" s="3">
        <v>13365</v>
      </c>
      <c r="B579" s="3">
        <v>13366</v>
      </c>
      <c r="C579" s="3">
        <v>4085</v>
      </c>
      <c r="D579" s="3" t="s">
        <v>18</v>
      </c>
      <c r="E579" s="3" t="s">
        <v>363</v>
      </c>
      <c r="F579" s="3">
        <v>10596</v>
      </c>
      <c r="G579" s="3" t="s">
        <v>64</v>
      </c>
      <c r="H579" s="3" t="s">
        <v>21</v>
      </c>
      <c r="I579" s="3">
        <v>36238</v>
      </c>
      <c r="J579" s="3">
        <v>16603</v>
      </c>
      <c r="K579" s="3">
        <v>19635</v>
      </c>
      <c r="L579" s="3">
        <v>0</v>
      </c>
      <c r="M579" s="3">
        <v>0</v>
      </c>
      <c r="N579" s="3">
        <v>0</v>
      </c>
    </row>
    <row r="580" spans="1:14" ht="14.4">
      <c r="A580" s="3">
        <v>13365</v>
      </c>
      <c r="B580" s="3">
        <v>13366</v>
      </c>
      <c r="C580" s="3">
        <v>4085</v>
      </c>
      <c r="D580" s="3" t="s">
        <v>18</v>
      </c>
      <c r="E580" s="3" t="s">
        <v>364</v>
      </c>
      <c r="F580" s="3">
        <v>10994</v>
      </c>
      <c r="G580" s="3" t="s">
        <v>85</v>
      </c>
      <c r="H580" s="3" t="s">
        <v>21</v>
      </c>
      <c r="I580" s="3">
        <v>21519</v>
      </c>
      <c r="J580" s="3">
        <v>21519</v>
      </c>
      <c r="K580" s="3">
        <v>0</v>
      </c>
      <c r="L580" s="3">
        <v>0</v>
      </c>
      <c r="M580" s="3">
        <v>0</v>
      </c>
      <c r="N580" s="3">
        <v>0</v>
      </c>
    </row>
    <row r="581" spans="1:14" ht="14.4">
      <c r="A581" s="3">
        <v>13365</v>
      </c>
      <c r="B581" s="3">
        <v>13366</v>
      </c>
      <c r="C581" s="3">
        <v>4085</v>
      </c>
      <c r="D581" s="3" t="s">
        <v>18</v>
      </c>
      <c r="E581" s="3" t="s">
        <v>365</v>
      </c>
      <c r="F581" s="3">
        <v>11792</v>
      </c>
      <c r="G581" s="3" t="s">
        <v>23</v>
      </c>
      <c r="H581" s="3" t="s">
        <v>21</v>
      </c>
      <c r="I581" s="3">
        <v>307420</v>
      </c>
      <c r="J581" s="3">
        <v>307420</v>
      </c>
      <c r="K581" s="3">
        <v>0</v>
      </c>
      <c r="L581" s="3">
        <v>117600</v>
      </c>
      <c r="M581" s="3">
        <v>0</v>
      </c>
      <c r="N581" s="3">
        <v>0</v>
      </c>
    </row>
    <row r="582" spans="1:14" ht="14.4">
      <c r="A582" s="3">
        <v>13365</v>
      </c>
      <c r="B582" s="3">
        <v>13366</v>
      </c>
      <c r="C582" s="3">
        <v>4085</v>
      </c>
      <c r="D582" s="3" t="s">
        <v>18</v>
      </c>
      <c r="E582" s="3" t="s">
        <v>366</v>
      </c>
      <c r="F582" s="3">
        <v>11975</v>
      </c>
      <c r="G582" s="3" t="s">
        <v>23</v>
      </c>
      <c r="H582" s="3" t="s">
        <v>21</v>
      </c>
      <c r="I582" s="3">
        <v>16500</v>
      </c>
      <c r="J582" s="3">
        <v>0</v>
      </c>
      <c r="K582" s="3">
        <v>16500</v>
      </c>
      <c r="L582" s="3">
        <v>66000</v>
      </c>
      <c r="M582" s="3">
        <v>0</v>
      </c>
      <c r="N582" s="3">
        <v>16500</v>
      </c>
    </row>
    <row r="583" spans="1:14" ht="14.4">
      <c r="A583" s="3">
        <v>13365</v>
      </c>
      <c r="B583" s="3">
        <v>13366</v>
      </c>
      <c r="C583" s="3">
        <v>4085</v>
      </c>
      <c r="D583" s="3" t="s">
        <v>18</v>
      </c>
      <c r="E583" s="3" t="s">
        <v>367</v>
      </c>
      <c r="F583" s="3">
        <v>11793</v>
      </c>
      <c r="G583" s="3" t="s">
        <v>20</v>
      </c>
      <c r="H583" s="3" t="s">
        <v>21</v>
      </c>
      <c r="I583" s="3">
        <v>1364612</v>
      </c>
      <c r="J583" s="3">
        <v>419496</v>
      </c>
      <c r="K583" s="3">
        <v>945116</v>
      </c>
      <c r="L583" s="3">
        <v>41500</v>
      </c>
      <c r="M583" s="3">
        <v>9000</v>
      </c>
      <c r="N583" s="3">
        <v>21500</v>
      </c>
    </row>
    <row r="584" spans="1:14" ht="14.4">
      <c r="A584" s="3">
        <v>13365</v>
      </c>
      <c r="B584" s="3">
        <v>13366</v>
      </c>
      <c r="C584" s="3">
        <v>4085</v>
      </c>
      <c r="D584" s="3" t="s">
        <v>18</v>
      </c>
      <c r="E584" s="3" t="s">
        <v>368</v>
      </c>
      <c r="F584" s="3">
        <v>11976</v>
      </c>
      <c r="G584" s="3" t="s">
        <v>23</v>
      </c>
      <c r="H584" s="3" t="s">
        <v>21</v>
      </c>
      <c r="I584" s="3">
        <v>11199</v>
      </c>
      <c r="J584" s="3">
        <v>0</v>
      </c>
      <c r="K584" s="3">
        <v>11199</v>
      </c>
      <c r="L584" s="3">
        <v>11200</v>
      </c>
      <c r="M584" s="3">
        <v>0</v>
      </c>
      <c r="N584" s="3">
        <v>11200</v>
      </c>
    </row>
    <row r="585" spans="1:14" ht="14.4">
      <c r="A585" s="3">
        <v>13365</v>
      </c>
      <c r="B585" s="3">
        <v>13366</v>
      </c>
      <c r="C585" s="3">
        <v>4085</v>
      </c>
      <c r="D585" s="3" t="s">
        <v>18</v>
      </c>
      <c r="E585" s="3" t="s">
        <v>369</v>
      </c>
      <c r="F585" s="3">
        <v>11704</v>
      </c>
      <c r="G585" s="3" t="s">
        <v>23</v>
      </c>
      <c r="H585" s="3" t="s">
        <v>21</v>
      </c>
      <c r="I585" s="3">
        <v>225146</v>
      </c>
      <c r="J585" s="3">
        <v>95858</v>
      </c>
      <c r="K585" s="3">
        <v>129288</v>
      </c>
      <c r="L585" s="3">
        <v>460000</v>
      </c>
      <c r="M585" s="3">
        <v>5200</v>
      </c>
      <c r="N585" s="3">
        <v>110000</v>
      </c>
    </row>
    <row r="586" spans="1:14" ht="14.4">
      <c r="A586" s="3">
        <v>13365</v>
      </c>
      <c r="B586" s="3">
        <v>13366</v>
      </c>
      <c r="C586" s="3">
        <v>4085</v>
      </c>
      <c r="D586" s="3" t="s">
        <v>18</v>
      </c>
      <c r="E586" s="3" t="s">
        <v>370</v>
      </c>
      <c r="F586" s="3">
        <v>10993</v>
      </c>
      <c r="G586" s="3" t="s">
        <v>85</v>
      </c>
      <c r="H586" s="3" t="s">
        <v>21</v>
      </c>
      <c r="I586" s="3">
        <v>25513</v>
      </c>
      <c r="J586" s="3">
        <v>24713</v>
      </c>
      <c r="K586" s="3">
        <v>800</v>
      </c>
      <c r="L586" s="3">
        <v>19000</v>
      </c>
      <c r="M586" s="3">
        <v>14000</v>
      </c>
      <c r="N586" s="3">
        <v>0</v>
      </c>
    </row>
    <row r="587" spans="1:14" ht="14.4">
      <c r="A587" s="3">
        <v>13365</v>
      </c>
      <c r="B587" s="3">
        <v>13366</v>
      </c>
      <c r="C587" s="3">
        <v>4085</v>
      </c>
      <c r="D587" s="3" t="s">
        <v>18</v>
      </c>
      <c r="E587" s="3" t="s">
        <v>371</v>
      </c>
      <c r="F587" s="3">
        <v>11552</v>
      </c>
      <c r="G587" s="3" t="s">
        <v>20</v>
      </c>
      <c r="H587" s="3" t="s">
        <v>21</v>
      </c>
      <c r="I587" s="3">
        <v>95980</v>
      </c>
      <c r="J587" s="3">
        <v>1305</v>
      </c>
      <c r="K587" s="3">
        <v>94675</v>
      </c>
      <c r="L587" s="3">
        <v>238900</v>
      </c>
      <c r="M587" s="3">
        <v>1400</v>
      </c>
      <c r="N587" s="3">
        <v>92000</v>
      </c>
    </row>
    <row r="588" spans="1:14" ht="14.4">
      <c r="A588" s="3">
        <v>13365</v>
      </c>
      <c r="B588" s="3">
        <v>13366</v>
      </c>
      <c r="C588" s="3">
        <v>4085</v>
      </c>
      <c r="D588" s="3" t="s">
        <v>18</v>
      </c>
      <c r="E588" s="3" t="s">
        <v>372</v>
      </c>
      <c r="F588" s="3">
        <v>11795</v>
      </c>
      <c r="G588" s="3" t="s">
        <v>23</v>
      </c>
      <c r="H588" s="3" t="s">
        <v>21</v>
      </c>
      <c r="I588" s="3">
        <v>1392068</v>
      </c>
      <c r="J588" s="3">
        <v>1110688</v>
      </c>
      <c r="K588" s="3">
        <v>281380</v>
      </c>
      <c r="L588" s="3">
        <v>62100</v>
      </c>
      <c r="M588" s="3">
        <v>23900</v>
      </c>
      <c r="N588" s="3">
        <v>23300</v>
      </c>
    </row>
    <row r="589" spans="1:14" ht="14.4">
      <c r="A589" s="3">
        <v>13365</v>
      </c>
      <c r="B589" s="3">
        <v>13366</v>
      </c>
      <c r="C589" s="3">
        <v>4085</v>
      </c>
      <c r="D589" s="3" t="s">
        <v>18</v>
      </c>
      <c r="E589" s="3" t="s">
        <v>373</v>
      </c>
      <c r="F589" s="3">
        <v>10994</v>
      </c>
      <c r="G589" s="3" t="s">
        <v>85</v>
      </c>
      <c r="H589" s="3" t="s">
        <v>21</v>
      </c>
      <c r="I589" s="3">
        <v>287835</v>
      </c>
      <c r="J589" s="3">
        <v>38280</v>
      </c>
      <c r="K589" s="3">
        <v>249555</v>
      </c>
      <c r="L589" s="3">
        <v>651100</v>
      </c>
      <c r="M589" s="3">
        <v>38300</v>
      </c>
      <c r="N589" s="3">
        <v>242800</v>
      </c>
    </row>
    <row r="590" spans="1:14" ht="14.4">
      <c r="A590" s="3">
        <v>13365</v>
      </c>
      <c r="B590" s="3">
        <v>13366</v>
      </c>
      <c r="C590" s="3">
        <v>4085</v>
      </c>
      <c r="D590" s="3" t="s">
        <v>18</v>
      </c>
      <c r="E590" s="3" t="s">
        <v>374</v>
      </c>
      <c r="F590" s="3">
        <v>11796</v>
      </c>
      <c r="G590" s="3" t="s">
        <v>23</v>
      </c>
      <c r="H590" s="3" t="s">
        <v>21</v>
      </c>
      <c r="I590" s="3">
        <v>1012445</v>
      </c>
      <c r="J590" s="3">
        <v>852317</v>
      </c>
      <c r="K590" s="3">
        <v>160128</v>
      </c>
      <c r="L590" s="3">
        <v>0</v>
      </c>
      <c r="M590" s="3">
        <v>0</v>
      </c>
      <c r="N590" s="3">
        <v>0</v>
      </c>
    </row>
    <row r="591" spans="1:14" ht="14.4">
      <c r="A591" s="3">
        <v>13365</v>
      </c>
      <c r="B591" s="3">
        <v>13366</v>
      </c>
      <c r="C591" s="3">
        <v>4085</v>
      </c>
      <c r="D591" s="3" t="s">
        <v>18</v>
      </c>
      <c r="E591" s="3" t="s">
        <v>375</v>
      </c>
      <c r="F591" s="3">
        <v>11590</v>
      </c>
      <c r="G591" s="3" t="s">
        <v>20</v>
      </c>
      <c r="H591" s="3" t="s">
        <v>21</v>
      </c>
      <c r="I591" s="3">
        <v>134906</v>
      </c>
      <c r="J591" s="3">
        <v>53000</v>
      </c>
      <c r="K591" s="3">
        <v>81906</v>
      </c>
      <c r="L591" s="3">
        <v>198400</v>
      </c>
      <c r="M591" s="3">
        <v>51600</v>
      </c>
      <c r="N591" s="3">
        <v>80900</v>
      </c>
    </row>
    <row r="592" spans="1:14" ht="14.4">
      <c r="A592" s="3">
        <v>13365</v>
      </c>
      <c r="B592" s="3">
        <v>13366</v>
      </c>
      <c r="C592" s="3">
        <v>4085</v>
      </c>
      <c r="D592" s="3" t="s">
        <v>18</v>
      </c>
      <c r="E592" s="3" t="s">
        <v>376</v>
      </c>
      <c r="F592" s="3">
        <v>11978</v>
      </c>
      <c r="G592" s="3" t="s">
        <v>23</v>
      </c>
      <c r="H592" s="3" t="s">
        <v>21</v>
      </c>
      <c r="I592" s="3">
        <v>35279</v>
      </c>
      <c r="J592" s="3">
        <v>35279</v>
      </c>
      <c r="K592" s="3">
        <v>0</v>
      </c>
      <c r="L592" s="3">
        <v>0</v>
      </c>
      <c r="M592" s="3">
        <v>0</v>
      </c>
      <c r="N592" s="3">
        <v>0</v>
      </c>
    </row>
    <row r="593" spans="1:14" ht="14.4">
      <c r="A593" s="3">
        <v>13365</v>
      </c>
      <c r="B593" s="3">
        <v>13366</v>
      </c>
      <c r="C593" s="3">
        <v>4085</v>
      </c>
      <c r="D593" s="3" t="s">
        <v>18</v>
      </c>
      <c r="E593" s="3" t="s">
        <v>377</v>
      </c>
      <c r="F593" s="3">
        <v>11978</v>
      </c>
      <c r="G593" s="3" t="s">
        <v>23</v>
      </c>
      <c r="H593" s="3" t="s">
        <v>21</v>
      </c>
      <c r="I593" s="3">
        <v>525542</v>
      </c>
      <c r="J593" s="3">
        <v>457146</v>
      </c>
      <c r="K593" s="3">
        <v>68396</v>
      </c>
      <c r="L593" s="3">
        <v>155900</v>
      </c>
      <c r="M593" s="3">
        <v>96600</v>
      </c>
      <c r="N593" s="3">
        <v>59300</v>
      </c>
    </row>
    <row r="594" spans="1:14" ht="14.4">
      <c r="A594" s="3">
        <v>13365</v>
      </c>
      <c r="B594" s="3">
        <v>13366</v>
      </c>
      <c r="C594" s="3">
        <v>4085</v>
      </c>
      <c r="D594" s="3" t="s">
        <v>18</v>
      </c>
      <c r="E594" s="3" t="s">
        <v>378</v>
      </c>
      <c r="F594" s="3">
        <v>11798</v>
      </c>
      <c r="G594" s="3" t="s">
        <v>23</v>
      </c>
      <c r="H594" s="3" t="s">
        <v>21</v>
      </c>
      <c r="I594" s="3">
        <v>33115</v>
      </c>
      <c r="J594" s="3">
        <v>31015</v>
      </c>
      <c r="K594" s="3">
        <v>2100</v>
      </c>
      <c r="L594" s="3">
        <v>0</v>
      </c>
      <c r="M594" s="3">
        <v>0</v>
      </c>
      <c r="N594" s="3">
        <v>0</v>
      </c>
    </row>
    <row r="595" spans="1:14" ht="14.4">
      <c r="A595" s="3">
        <v>13365</v>
      </c>
      <c r="B595" s="3">
        <v>13366</v>
      </c>
      <c r="C595" s="3">
        <v>4085</v>
      </c>
      <c r="D595" s="3" t="s">
        <v>18</v>
      </c>
      <c r="E595" s="3" t="s">
        <v>379</v>
      </c>
      <c r="F595" s="3">
        <v>10601</v>
      </c>
      <c r="G595" s="3" t="s">
        <v>64</v>
      </c>
      <c r="H595" s="3" t="s">
        <v>21</v>
      </c>
      <c r="I595" s="3">
        <v>0</v>
      </c>
      <c r="J595" s="3">
        <v>0</v>
      </c>
      <c r="K595" s="3">
        <v>0</v>
      </c>
      <c r="L595" s="3">
        <v>257800</v>
      </c>
      <c r="M595" s="3">
        <v>0</v>
      </c>
      <c r="N595" s="3">
        <v>0</v>
      </c>
    </row>
    <row r="596" spans="1:14" ht="14.4">
      <c r="A596" s="3">
        <v>13365</v>
      </c>
      <c r="B596" s="3">
        <v>13366</v>
      </c>
      <c r="C596" s="3">
        <v>4085</v>
      </c>
      <c r="D596" s="3" t="s">
        <v>18</v>
      </c>
      <c r="E596" s="3" t="s">
        <v>379</v>
      </c>
      <c r="F596" s="3">
        <v>10605</v>
      </c>
      <c r="G596" s="3" t="s">
        <v>64</v>
      </c>
      <c r="H596" s="3" t="s">
        <v>21</v>
      </c>
      <c r="I596" s="3">
        <v>22215</v>
      </c>
      <c r="J596" s="3">
        <v>0</v>
      </c>
      <c r="K596" s="3">
        <v>22215</v>
      </c>
      <c r="L596" s="3">
        <v>72300</v>
      </c>
      <c r="M596" s="3">
        <v>0</v>
      </c>
      <c r="N596" s="3">
        <v>22300</v>
      </c>
    </row>
    <row r="597" spans="1:14" ht="14.4">
      <c r="A597" s="3">
        <v>13365</v>
      </c>
      <c r="B597" s="3">
        <v>13366</v>
      </c>
      <c r="C597" s="3">
        <v>4085</v>
      </c>
      <c r="D597" s="3" t="s">
        <v>18</v>
      </c>
      <c r="E597" s="3" t="s">
        <v>379</v>
      </c>
      <c r="F597" s="3">
        <v>10606</v>
      </c>
      <c r="G597" s="3" t="s">
        <v>64</v>
      </c>
      <c r="H597" s="3" t="s">
        <v>21</v>
      </c>
      <c r="I597" s="3">
        <v>53335</v>
      </c>
      <c r="J597" s="3">
        <v>13652</v>
      </c>
      <c r="K597" s="3">
        <v>39683</v>
      </c>
      <c r="L597" s="3">
        <v>14000</v>
      </c>
      <c r="M597" s="3">
        <v>0</v>
      </c>
      <c r="N597" s="3">
        <v>14000</v>
      </c>
    </row>
    <row r="598" spans="1:14" ht="14.4">
      <c r="A598" s="3">
        <v>13365</v>
      </c>
      <c r="B598" s="3">
        <v>13366</v>
      </c>
      <c r="C598" s="3">
        <v>4085</v>
      </c>
      <c r="D598" s="3" t="s">
        <v>18</v>
      </c>
      <c r="E598" s="3" t="s">
        <v>379</v>
      </c>
      <c r="F598" s="3">
        <v>10607</v>
      </c>
      <c r="G598" s="3" t="s">
        <v>64</v>
      </c>
      <c r="H598" s="3" t="s">
        <v>21</v>
      </c>
      <c r="I598" s="3">
        <v>16716</v>
      </c>
      <c r="J598" s="3">
        <v>0</v>
      </c>
      <c r="K598" s="3">
        <v>16716</v>
      </c>
      <c r="L598" s="3">
        <v>0</v>
      </c>
      <c r="M598" s="3">
        <v>0</v>
      </c>
      <c r="N598" s="3">
        <v>0</v>
      </c>
    </row>
    <row r="599" spans="1:14" ht="14.4">
      <c r="A599" s="3">
        <v>13365</v>
      </c>
      <c r="B599" s="3">
        <v>13366</v>
      </c>
      <c r="C599" s="3">
        <v>4085</v>
      </c>
      <c r="D599" s="3" t="s">
        <v>18</v>
      </c>
      <c r="E599" s="3" t="s">
        <v>380</v>
      </c>
      <c r="F599" s="3">
        <v>11357</v>
      </c>
      <c r="G599" s="3" t="s">
        <v>28</v>
      </c>
      <c r="H599" s="3" t="s">
        <v>21</v>
      </c>
      <c r="I599" s="3">
        <v>59936</v>
      </c>
      <c r="J599" s="3">
        <v>44020</v>
      </c>
      <c r="K599" s="3">
        <v>15916</v>
      </c>
      <c r="L599" s="3">
        <v>46800</v>
      </c>
      <c r="M599" s="3">
        <v>9600</v>
      </c>
      <c r="N599" s="3">
        <v>0</v>
      </c>
    </row>
    <row r="600" spans="1:14" ht="14.4">
      <c r="A600" s="3">
        <v>13365</v>
      </c>
      <c r="B600" s="3">
        <v>13366</v>
      </c>
      <c r="C600" s="3">
        <v>4085</v>
      </c>
      <c r="D600" s="3" t="s">
        <v>18</v>
      </c>
      <c r="E600" s="3" t="s">
        <v>381</v>
      </c>
      <c r="F600" s="3">
        <v>12788</v>
      </c>
      <c r="G600" s="3" t="s">
        <v>189</v>
      </c>
      <c r="H600" s="3" t="s">
        <v>21</v>
      </c>
      <c r="I600" s="3">
        <v>725896</v>
      </c>
      <c r="J600" s="3">
        <v>707296</v>
      </c>
      <c r="K600" s="3">
        <v>18600</v>
      </c>
      <c r="L600" s="3">
        <v>0</v>
      </c>
      <c r="M600" s="3">
        <v>0</v>
      </c>
      <c r="N600" s="3">
        <v>0</v>
      </c>
    </row>
    <row r="601" spans="1:14" ht="14.4">
      <c r="A601" s="3">
        <v>13365</v>
      </c>
      <c r="B601" s="3">
        <v>13366</v>
      </c>
      <c r="C601" s="3">
        <v>4085</v>
      </c>
      <c r="D601" s="3" t="s">
        <v>18</v>
      </c>
      <c r="E601" s="3" t="s">
        <v>382</v>
      </c>
      <c r="F601" s="3">
        <v>11797</v>
      </c>
      <c r="G601" s="3" t="s">
        <v>20</v>
      </c>
      <c r="H601" s="3" t="s">
        <v>21</v>
      </c>
      <c r="I601" s="3">
        <v>63669</v>
      </c>
      <c r="J601" s="3">
        <v>53169</v>
      </c>
      <c r="K601" s="3">
        <v>10500</v>
      </c>
      <c r="L601" s="3">
        <v>10500</v>
      </c>
      <c r="M601" s="3">
        <v>0</v>
      </c>
      <c r="N601" s="3">
        <v>10500</v>
      </c>
    </row>
    <row r="602" spans="1:14" ht="14.4">
      <c r="A602" s="3">
        <v>13365</v>
      </c>
      <c r="B602" s="3">
        <v>13366</v>
      </c>
      <c r="C602" s="3">
        <v>4085</v>
      </c>
      <c r="D602" s="3" t="s">
        <v>18</v>
      </c>
      <c r="E602" s="3" t="s">
        <v>383</v>
      </c>
      <c r="F602" s="3">
        <v>11421</v>
      </c>
      <c r="G602" s="3" t="s">
        <v>28</v>
      </c>
      <c r="H602" s="3" t="s">
        <v>21</v>
      </c>
      <c r="I602" s="3">
        <v>27900</v>
      </c>
      <c r="J602" s="3">
        <v>27900</v>
      </c>
      <c r="K602" s="3">
        <v>0</v>
      </c>
      <c r="L602" s="3">
        <v>15900</v>
      </c>
      <c r="M602" s="3">
        <v>0</v>
      </c>
      <c r="N602" s="3">
        <v>0</v>
      </c>
    </row>
    <row r="603" spans="1:14" ht="14.4">
      <c r="A603" s="3">
        <v>13365</v>
      </c>
      <c r="B603" s="3">
        <v>13366</v>
      </c>
      <c r="C603" s="3">
        <v>4085</v>
      </c>
      <c r="D603" s="3" t="s">
        <v>18</v>
      </c>
      <c r="E603" s="3" t="s">
        <v>384</v>
      </c>
      <c r="F603" s="3">
        <v>11598</v>
      </c>
      <c r="G603" s="3" t="s">
        <v>20</v>
      </c>
      <c r="H603" s="3" t="s">
        <v>21</v>
      </c>
      <c r="I603" s="3">
        <v>472152</v>
      </c>
      <c r="J603" s="3">
        <v>180082</v>
      </c>
      <c r="K603" s="3">
        <v>292070</v>
      </c>
      <c r="L603" s="3">
        <v>27000</v>
      </c>
      <c r="M603" s="3">
        <v>10400</v>
      </c>
      <c r="N603" s="3">
        <v>16600</v>
      </c>
    </row>
    <row r="604" spans="1:14" ht="14.4">
      <c r="A604" s="3">
        <v>13365</v>
      </c>
      <c r="B604" s="3">
        <v>13366</v>
      </c>
      <c r="C604" s="3">
        <v>4085</v>
      </c>
      <c r="D604" s="3" t="s">
        <v>18</v>
      </c>
      <c r="E604" s="3" t="s">
        <v>385</v>
      </c>
      <c r="F604" s="3">
        <v>11377</v>
      </c>
      <c r="G604" s="3" t="s">
        <v>28</v>
      </c>
      <c r="H604" s="3" t="s">
        <v>21</v>
      </c>
      <c r="I604" s="3">
        <v>58262</v>
      </c>
      <c r="J604" s="3">
        <v>13062</v>
      </c>
      <c r="K604" s="3">
        <v>45200</v>
      </c>
      <c r="L604" s="3">
        <v>13100</v>
      </c>
      <c r="M604" s="3">
        <v>13100</v>
      </c>
      <c r="N604" s="3">
        <v>0</v>
      </c>
    </row>
    <row r="605" spans="1:14" ht="14.4">
      <c r="A605" s="3">
        <v>13365</v>
      </c>
      <c r="B605" s="3">
        <v>13366</v>
      </c>
      <c r="C605" s="3">
        <v>4085</v>
      </c>
      <c r="D605" s="3" t="s">
        <v>18</v>
      </c>
      <c r="E605" s="3" t="s">
        <v>386</v>
      </c>
      <c r="F605" s="3">
        <v>12498</v>
      </c>
      <c r="G605" s="3" t="s">
        <v>186</v>
      </c>
      <c r="H605" s="3" t="s">
        <v>21</v>
      </c>
      <c r="I605" s="3">
        <v>56800</v>
      </c>
      <c r="J605" s="3">
        <v>0</v>
      </c>
      <c r="K605" s="3">
        <v>56800</v>
      </c>
      <c r="L605" s="3">
        <v>0</v>
      </c>
      <c r="M605" s="3">
        <v>0</v>
      </c>
      <c r="N605" s="3">
        <v>0</v>
      </c>
    </row>
    <row r="606" spans="1:14" ht="14.4">
      <c r="A606" s="3">
        <v>13365</v>
      </c>
      <c r="B606" s="3">
        <v>13366</v>
      </c>
      <c r="C606" s="3">
        <v>4085</v>
      </c>
      <c r="D606" s="3" t="s">
        <v>18</v>
      </c>
      <c r="E606" s="3" t="s">
        <v>387</v>
      </c>
      <c r="F606" s="3">
        <v>11798</v>
      </c>
      <c r="G606" s="3" t="s">
        <v>23</v>
      </c>
      <c r="H606" s="3" t="s">
        <v>21</v>
      </c>
      <c r="I606" s="3">
        <v>129183</v>
      </c>
      <c r="J606" s="3">
        <v>86189</v>
      </c>
      <c r="K606" s="3">
        <v>42994</v>
      </c>
      <c r="L606" s="3">
        <v>57300</v>
      </c>
      <c r="M606" s="3">
        <v>56500</v>
      </c>
      <c r="N606" s="3">
        <v>800</v>
      </c>
    </row>
    <row r="607" spans="1:14" ht="14.4">
      <c r="A607" s="3">
        <v>13365</v>
      </c>
      <c r="B607" s="3">
        <v>13366</v>
      </c>
      <c r="C607" s="3">
        <v>4085</v>
      </c>
      <c r="D607" s="3" t="s">
        <v>18</v>
      </c>
      <c r="E607" s="3" t="s">
        <v>388</v>
      </c>
      <c r="F607" s="3">
        <v>11980</v>
      </c>
      <c r="G607" s="3" t="s">
        <v>23</v>
      </c>
      <c r="H607" s="3" t="s">
        <v>21</v>
      </c>
      <c r="I607" s="3">
        <v>49982</v>
      </c>
      <c r="J607" s="3">
        <v>49982</v>
      </c>
      <c r="K607" s="3">
        <v>0</v>
      </c>
      <c r="L607" s="3">
        <v>41400</v>
      </c>
      <c r="M607" s="3">
        <v>38700</v>
      </c>
      <c r="N607" s="3">
        <v>0</v>
      </c>
    </row>
    <row r="608" spans="1:14" ht="14.4">
      <c r="A608" s="3">
        <v>13365</v>
      </c>
      <c r="B608" s="3">
        <v>13366</v>
      </c>
      <c r="C608" s="3">
        <v>4085</v>
      </c>
      <c r="D608" s="3" t="s">
        <v>18</v>
      </c>
      <c r="E608" s="3" t="s">
        <v>389</v>
      </c>
      <c r="F608" s="3">
        <v>10701</v>
      </c>
      <c r="G608" s="3" t="s">
        <v>64</v>
      </c>
      <c r="H608" s="3" t="s">
        <v>21</v>
      </c>
      <c r="I608" s="3">
        <v>145903</v>
      </c>
      <c r="J608" s="3">
        <v>140453</v>
      </c>
      <c r="K608" s="3">
        <v>5450</v>
      </c>
      <c r="L608" s="3">
        <v>26100</v>
      </c>
      <c r="M608" s="3">
        <v>20900</v>
      </c>
      <c r="N608" s="3">
        <v>2300</v>
      </c>
    </row>
    <row r="609" spans="1:14" ht="14.4">
      <c r="A609" s="3">
        <v>13365</v>
      </c>
      <c r="B609" s="3">
        <v>13366</v>
      </c>
      <c r="C609" s="3">
        <v>4085</v>
      </c>
      <c r="D609" s="3" t="s">
        <v>18</v>
      </c>
      <c r="E609" s="3" t="s">
        <v>389</v>
      </c>
      <c r="F609" s="3">
        <v>10704</v>
      </c>
      <c r="G609" s="3" t="s">
        <v>64</v>
      </c>
      <c r="H609" s="3" t="s">
        <v>21</v>
      </c>
      <c r="I609" s="3">
        <v>44170</v>
      </c>
      <c r="J609" s="3">
        <v>16675</v>
      </c>
      <c r="K609" s="3">
        <v>27495</v>
      </c>
      <c r="L609" s="3">
        <v>20100</v>
      </c>
      <c r="M609" s="3">
        <v>7100</v>
      </c>
      <c r="N609" s="3">
        <v>3500</v>
      </c>
    </row>
    <row r="610" spans="1:14" ht="14.4">
      <c r="A610" s="3">
        <v>13365</v>
      </c>
      <c r="B610" s="3">
        <v>13366</v>
      </c>
      <c r="C610" s="3">
        <v>4085</v>
      </c>
      <c r="D610" s="3" t="s">
        <v>18</v>
      </c>
      <c r="E610" s="3" t="s">
        <v>389</v>
      </c>
      <c r="F610" s="3">
        <v>10705</v>
      </c>
      <c r="G610" s="3" t="s">
        <v>64</v>
      </c>
      <c r="H610" s="3" t="s">
        <v>21</v>
      </c>
      <c r="I610" s="3">
        <v>5200</v>
      </c>
      <c r="J610" s="3">
        <v>0</v>
      </c>
      <c r="K610" s="3">
        <v>5200</v>
      </c>
      <c r="L610" s="3">
        <v>12400</v>
      </c>
      <c r="M610" s="3">
        <v>0</v>
      </c>
      <c r="N610" s="3">
        <v>0</v>
      </c>
    </row>
    <row r="611" spans="1:14" ht="14.4">
      <c r="A611" s="3">
        <v>13367</v>
      </c>
      <c r="B611" s="3">
        <v>13368</v>
      </c>
      <c r="C611" s="3">
        <v>4086</v>
      </c>
      <c r="D611" s="3" t="s">
        <v>390</v>
      </c>
      <c r="E611" s="3" t="s">
        <v>391</v>
      </c>
      <c r="F611" s="3">
        <v>7747</v>
      </c>
      <c r="G611" s="3" t="s">
        <v>392</v>
      </c>
      <c r="H611" s="3" t="s">
        <v>38</v>
      </c>
      <c r="I611" s="3">
        <v>4849</v>
      </c>
      <c r="J611" s="3">
        <v>0</v>
      </c>
      <c r="K611" s="3">
        <v>4849</v>
      </c>
      <c r="L611" s="3">
        <v>0</v>
      </c>
      <c r="M611" s="3">
        <v>0</v>
      </c>
      <c r="N611" s="3">
        <v>0</v>
      </c>
    </row>
    <row r="612" spans="1:14" ht="14.4">
      <c r="A612" s="3">
        <v>13367</v>
      </c>
      <c r="B612" s="3">
        <v>13368</v>
      </c>
      <c r="C612" s="3">
        <v>4086</v>
      </c>
      <c r="D612" s="3" t="s">
        <v>390</v>
      </c>
      <c r="E612" s="3" t="s">
        <v>393</v>
      </c>
      <c r="F612" s="3">
        <v>8201</v>
      </c>
      <c r="G612" s="3" t="s">
        <v>394</v>
      </c>
      <c r="H612" s="3" t="s">
        <v>38</v>
      </c>
      <c r="I612" s="3">
        <v>621729</v>
      </c>
      <c r="J612" s="3">
        <v>422803</v>
      </c>
      <c r="K612" s="3">
        <v>198926</v>
      </c>
      <c r="L612" s="3">
        <v>16700</v>
      </c>
      <c r="M612" s="3">
        <v>0</v>
      </c>
      <c r="N612" s="3">
        <v>16700</v>
      </c>
    </row>
    <row r="613" spans="1:14" ht="14.4">
      <c r="A613" s="3">
        <v>13367</v>
      </c>
      <c r="B613" s="3">
        <v>13368</v>
      </c>
      <c r="C613" s="3">
        <v>4086</v>
      </c>
      <c r="D613" s="3" t="s">
        <v>390</v>
      </c>
      <c r="E613" s="3" t="s">
        <v>395</v>
      </c>
      <c r="F613" s="3">
        <v>8401</v>
      </c>
      <c r="G613" s="3" t="s">
        <v>394</v>
      </c>
      <c r="H613" s="3" t="s">
        <v>38</v>
      </c>
      <c r="I613" s="3">
        <v>36701</v>
      </c>
      <c r="J613" s="3">
        <v>14881</v>
      </c>
      <c r="K613" s="3">
        <v>21820</v>
      </c>
      <c r="L613" s="3">
        <v>0</v>
      </c>
      <c r="M613" s="3">
        <v>0</v>
      </c>
      <c r="N613" s="3">
        <v>0</v>
      </c>
    </row>
    <row r="614" spans="1:14" ht="14.4">
      <c r="A614" s="3">
        <v>13367</v>
      </c>
      <c r="B614" s="3">
        <v>13368</v>
      </c>
      <c r="C614" s="3">
        <v>4086</v>
      </c>
      <c r="D614" s="3" t="s">
        <v>390</v>
      </c>
      <c r="E614" s="3" t="s">
        <v>396</v>
      </c>
      <c r="F614" s="3">
        <v>8501</v>
      </c>
      <c r="G614" s="3" t="s">
        <v>392</v>
      </c>
      <c r="H614" s="3" t="s">
        <v>38</v>
      </c>
      <c r="I614" s="3">
        <v>4925</v>
      </c>
      <c r="J614" s="3">
        <v>0</v>
      </c>
      <c r="K614" s="3">
        <v>4925</v>
      </c>
      <c r="L614" s="3">
        <v>0</v>
      </c>
      <c r="M614" s="3">
        <v>0</v>
      </c>
      <c r="N614" s="3">
        <v>0</v>
      </c>
    </row>
    <row r="615" spans="1:14" ht="14.4">
      <c r="A615" s="3">
        <v>13367</v>
      </c>
      <c r="B615" s="3">
        <v>13368</v>
      </c>
      <c r="C615" s="3">
        <v>4086</v>
      </c>
      <c r="D615" s="3" t="s">
        <v>390</v>
      </c>
      <c r="E615" s="3" t="s">
        <v>397</v>
      </c>
      <c r="F615" s="3">
        <v>8865</v>
      </c>
      <c r="G615" s="3" t="s">
        <v>398</v>
      </c>
      <c r="H615" s="3" t="s">
        <v>38</v>
      </c>
      <c r="I615" s="3">
        <v>280085</v>
      </c>
      <c r="J615" s="3">
        <v>280085</v>
      </c>
      <c r="K615" s="3">
        <v>0</v>
      </c>
      <c r="L615" s="3">
        <v>133500</v>
      </c>
      <c r="M615" s="3">
        <v>133500</v>
      </c>
      <c r="N615" s="3">
        <v>0</v>
      </c>
    </row>
    <row r="616" spans="1:14" ht="14.4">
      <c r="A616" s="3">
        <v>13367</v>
      </c>
      <c r="B616" s="3">
        <v>13368</v>
      </c>
      <c r="C616" s="3">
        <v>4086</v>
      </c>
      <c r="D616" s="3" t="s">
        <v>390</v>
      </c>
      <c r="E616" s="3" t="s">
        <v>29</v>
      </c>
      <c r="F616" s="3">
        <v>11692</v>
      </c>
      <c r="G616" s="3" t="s">
        <v>28</v>
      </c>
      <c r="H616" s="3" t="s">
        <v>21</v>
      </c>
      <c r="I616" s="3">
        <v>50184</v>
      </c>
      <c r="J616" s="3">
        <v>48584</v>
      </c>
      <c r="K616" s="3">
        <v>1600</v>
      </c>
      <c r="L616" s="3">
        <v>0</v>
      </c>
      <c r="M616" s="3">
        <v>0</v>
      </c>
      <c r="N616" s="3">
        <v>0</v>
      </c>
    </row>
    <row r="617" spans="1:14" ht="14.4">
      <c r="A617" s="3">
        <v>13367</v>
      </c>
      <c r="B617" s="3">
        <v>13368</v>
      </c>
      <c r="C617" s="3">
        <v>4086</v>
      </c>
      <c r="D617" s="3" t="s">
        <v>390</v>
      </c>
      <c r="E617" s="3" t="s">
        <v>399</v>
      </c>
      <c r="F617" s="3">
        <v>7712</v>
      </c>
      <c r="G617" s="3" t="s">
        <v>392</v>
      </c>
      <c r="H617" s="3" t="s">
        <v>38</v>
      </c>
      <c r="I617" s="3">
        <v>2520493</v>
      </c>
      <c r="J617" s="3">
        <v>1231986</v>
      </c>
      <c r="K617" s="3">
        <v>1288507</v>
      </c>
      <c r="L617" s="3">
        <v>1682100</v>
      </c>
      <c r="M617" s="3">
        <v>631300</v>
      </c>
      <c r="N617" s="3">
        <v>1050800</v>
      </c>
    </row>
    <row r="618" spans="1:14" ht="14.4">
      <c r="A618" s="3">
        <v>13367</v>
      </c>
      <c r="B618" s="3">
        <v>13368</v>
      </c>
      <c r="C618" s="3">
        <v>4086</v>
      </c>
      <c r="D618" s="3" t="s">
        <v>390</v>
      </c>
      <c r="E618" s="3" t="s">
        <v>399</v>
      </c>
      <c r="F618" s="3">
        <v>7715</v>
      </c>
      <c r="G618" s="3" t="s">
        <v>392</v>
      </c>
      <c r="H618" s="3" t="s">
        <v>38</v>
      </c>
      <c r="I618" s="3">
        <v>342313</v>
      </c>
      <c r="J618" s="3">
        <v>342313</v>
      </c>
      <c r="K618" s="3">
        <v>0</v>
      </c>
      <c r="L618" s="3">
        <v>300000</v>
      </c>
      <c r="M618" s="3">
        <v>300000</v>
      </c>
      <c r="N618" s="3">
        <v>0</v>
      </c>
    </row>
    <row r="619" spans="1:14" ht="14.4">
      <c r="A619" s="3">
        <v>13367</v>
      </c>
      <c r="B619" s="3">
        <v>13368</v>
      </c>
      <c r="C619" s="3">
        <v>4086</v>
      </c>
      <c r="D619" s="3" t="s">
        <v>390</v>
      </c>
      <c r="E619" s="3" t="s">
        <v>399</v>
      </c>
      <c r="F619" s="3">
        <v>7719</v>
      </c>
      <c r="G619" s="3" t="s">
        <v>392</v>
      </c>
      <c r="H619" s="3" t="s">
        <v>38</v>
      </c>
      <c r="I619" s="3">
        <v>2839</v>
      </c>
      <c r="J619" s="3">
        <v>0</v>
      </c>
      <c r="K619" s="3">
        <v>2839</v>
      </c>
      <c r="L619" s="3">
        <v>0</v>
      </c>
      <c r="M619" s="3">
        <v>0</v>
      </c>
      <c r="N619" s="3">
        <v>0</v>
      </c>
    </row>
    <row r="620" spans="1:14" ht="14.4">
      <c r="A620" s="3">
        <v>13367</v>
      </c>
      <c r="B620" s="3">
        <v>13368</v>
      </c>
      <c r="C620" s="3">
        <v>4086</v>
      </c>
      <c r="D620" s="3" t="s">
        <v>390</v>
      </c>
      <c r="E620" s="3" t="s">
        <v>399</v>
      </c>
      <c r="F620" s="3">
        <v>7728</v>
      </c>
      <c r="G620" s="3" t="s">
        <v>392</v>
      </c>
      <c r="H620" s="3" t="s">
        <v>38</v>
      </c>
      <c r="I620" s="3">
        <v>27420</v>
      </c>
      <c r="J620" s="3">
        <v>21620</v>
      </c>
      <c r="K620" s="3">
        <v>5800</v>
      </c>
      <c r="L620" s="3">
        <v>14000</v>
      </c>
      <c r="M620" s="3">
        <v>14000</v>
      </c>
      <c r="N620" s="3">
        <v>0</v>
      </c>
    </row>
    <row r="621" spans="1:14" ht="14.4">
      <c r="A621" s="3">
        <v>13367</v>
      </c>
      <c r="B621" s="3">
        <v>13368</v>
      </c>
      <c r="C621" s="3">
        <v>4086</v>
      </c>
      <c r="D621" s="3" t="s">
        <v>390</v>
      </c>
      <c r="E621" s="3" t="s">
        <v>399</v>
      </c>
      <c r="F621" s="3">
        <v>7762</v>
      </c>
      <c r="G621" s="3" t="s">
        <v>392</v>
      </c>
      <c r="H621" s="3" t="s">
        <v>38</v>
      </c>
      <c r="I621" s="3">
        <v>25390</v>
      </c>
      <c r="J621" s="3">
        <v>0</v>
      </c>
      <c r="K621" s="3">
        <v>25390</v>
      </c>
      <c r="L621" s="3">
        <v>0</v>
      </c>
      <c r="M621" s="3">
        <v>0</v>
      </c>
      <c r="N621" s="3">
        <v>0</v>
      </c>
    </row>
    <row r="622" spans="1:14" ht="14.4">
      <c r="A622" s="3">
        <v>13367</v>
      </c>
      <c r="B622" s="3">
        <v>13368</v>
      </c>
      <c r="C622" s="3">
        <v>4086</v>
      </c>
      <c r="D622" s="3" t="s">
        <v>390</v>
      </c>
      <c r="E622" s="3" t="s">
        <v>399</v>
      </c>
      <c r="F622" s="3">
        <v>8739</v>
      </c>
      <c r="G622" s="3" t="s">
        <v>392</v>
      </c>
      <c r="H622" s="3" t="s">
        <v>38</v>
      </c>
      <c r="I622" s="3">
        <v>239444</v>
      </c>
      <c r="J622" s="3">
        <v>104392</v>
      </c>
      <c r="K622" s="3">
        <v>135052</v>
      </c>
      <c r="L622" s="3">
        <v>529500</v>
      </c>
      <c r="M622" s="3">
        <v>104400</v>
      </c>
      <c r="N622" s="3">
        <v>125100</v>
      </c>
    </row>
    <row r="623" spans="1:14" ht="14.4">
      <c r="A623" s="3">
        <v>13367</v>
      </c>
      <c r="B623" s="3">
        <v>13368</v>
      </c>
      <c r="C623" s="3">
        <v>4086</v>
      </c>
      <c r="D623" s="3" t="s">
        <v>390</v>
      </c>
      <c r="E623" s="3" t="s">
        <v>394</v>
      </c>
      <c r="F623" s="3">
        <v>8401</v>
      </c>
      <c r="G623" s="3" t="s">
        <v>394</v>
      </c>
      <c r="H623" s="3" t="s">
        <v>38</v>
      </c>
      <c r="I623" s="3">
        <v>26170</v>
      </c>
      <c r="J623" s="3">
        <v>0</v>
      </c>
      <c r="K623" s="3">
        <v>26170</v>
      </c>
      <c r="L623" s="3">
        <v>0</v>
      </c>
      <c r="M623" s="3">
        <v>0</v>
      </c>
      <c r="N623" s="3">
        <v>0</v>
      </c>
    </row>
    <row r="624" spans="1:14" ht="14.4">
      <c r="A624" s="3">
        <v>13367</v>
      </c>
      <c r="B624" s="3">
        <v>13368</v>
      </c>
      <c r="C624" s="3">
        <v>4086</v>
      </c>
      <c r="D624" s="3" t="s">
        <v>390</v>
      </c>
      <c r="E624" s="3" t="s">
        <v>400</v>
      </c>
      <c r="F624" s="3">
        <v>8002</v>
      </c>
      <c r="G624" s="3" t="s">
        <v>394</v>
      </c>
      <c r="H624" s="3" t="s">
        <v>38</v>
      </c>
      <c r="I624" s="3">
        <v>109080</v>
      </c>
      <c r="J624" s="3">
        <v>106130</v>
      </c>
      <c r="K624" s="3">
        <v>2950</v>
      </c>
      <c r="L624" s="3">
        <v>0</v>
      </c>
      <c r="M624" s="3">
        <v>0</v>
      </c>
      <c r="N624" s="3">
        <v>0</v>
      </c>
    </row>
    <row r="625" spans="1:14" ht="14.4">
      <c r="A625" s="3">
        <v>13367</v>
      </c>
      <c r="B625" s="3">
        <v>13368</v>
      </c>
      <c r="C625" s="3">
        <v>4086</v>
      </c>
      <c r="D625" s="3" t="s">
        <v>390</v>
      </c>
      <c r="E625" s="3" t="s">
        <v>400</v>
      </c>
      <c r="F625" s="3">
        <v>8221</v>
      </c>
      <c r="G625" s="3" t="s">
        <v>394</v>
      </c>
      <c r="H625" s="3" t="s">
        <v>38</v>
      </c>
      <c r="I625" s="3">
        <v>0</v>
      </c>
      <c r="J625" s="3">
        <v>0</v>
      </c>
      <c r="K625" s="3">
        <v>0</v>
      </c>
      <c r="L625" s="3">
        <v>34600</v>
      </c>
      <c r="M625" s="3">
        <v>0</v>
      </c>
      <c r="N625" s="3">
        <v>0</v>
      </c>
    </row>
    <row r="626" spans="1:14" ht="14.4">
      <c r="A626" s="3">
        <v>13367</v>
      </c>
      <c r="B626" s="3">
        <v>13368</v>
      </c>
      <c r="C626" s="3">
        <v>4086</v>
      </c>
      <c r="D626" s="3" t="s">
        <v>390</v>
      </c>
      <c r="E626" s="3" t="s">
        <v>400</v>
      </c>
      <c r="F626" s="3">
        <v>8225</v>
      </c>
      <c r="G626" s="3" t="s">
        <v>394</v>
      </c>
      <c r="H626" s="3" t="s">
        <v>38</v>
      </c>
      <c r="I626" s="3">
        <v>68526</v>
      </c>
      <c r="J626" s="3">
        <v>60726</v>
      </c>
      <c r="K626" s="3">
        <v>7800</v>
      </c>
      <c r="L626" s="3">
        <v>0</v>
      </c>
      <c r="M626" s="3">
        <v>0</v>
      </c>
      <c r="N626" s="3">
        <v>0</v>
      </c>
    </row>
    <row r="627" spans="1:14" ht="14.4">
      <c r="A627" s="3">
        <v>13367</v>
      </c>
      <c r="B627" s="3">
        <v>13368</v>
      </c>
      <c r="C627" s="3">
        <v>4086</v>
      </c>
      <c r="D627" s="3" t="s">
        <v>390</v>
      </c>
      <c r="E627" s="3" t="s">
        <v>400</v>
      </c>
      <c r="F627" s="3">
        <v>8232</v>
      </c>
      <c r="G627" s="3" t="s">
        <v>394</v>
      </c>
      <c r="H627" s="3" t="s">
        <v>38</v>
      </c>
      <c r="I627" s="3">
        <v>12598</v>
      </c>
      <c r="J627" s="3">
        <v>0</v>
      </c>
      <c r="K627" s="3">
        <v>12598</v>
      </c>
      <c r="L627" s="3">
        <v>0</v>
      </c>
      <c r="M627" s="3">
        <v>0</v>
      </c>
      <c r="N627" s="3">
        <v>0</v>
      </c>
    </row>
    <row r="628" spans="1:14" ht="14.4">
      <c r="A628" s="3">
        <v>13367</v>
      </c>
      <c r="B628" s="3">
        <v>13368</v>
      </c>
      <c r="C628" s="3">
        <v>4086</v>
      </c>
      <c r="D628" s="3" t="s">
        <v>390</v>
      </c>
      <c r="E628" s="3" t="s">
        <v>400</v>
      </c>
      <c r="F628" s="3">
        <v>8234</v>
      </c>
      <c r="G628" s="3" t="s">
        <v>394</v>
      </c>
      <c r="H628" s="3" t="s">
        <v>38</v>
      </c>
      <c r="I628" s="3">
        <v>86679</v>
      </c>
      <c r="J628" s="3">
        <v>82991</v>
      </c>
      <c r="K628" s="3">
        <v>3688</v>
      </c>
      <c r="L628" s="3">
        <v>0</v>
      </c>
      <c r="M628" s="3">
        <v>0</v>
      </c>
      <c r="N628" s="3">
        <v>0</v>
      </c>
    </row>
    <row r="629" spans="1:14" ht="14.4">
      <c r="A629" s="3">
        <v>13367</v>
      </c>
      <c r="B629" s="3">
        <v>13368</v>
      </c>
      <c r="C629" s="3">
        <v>4086</v>
      </c>
      <c r="D629" s="3" t="s">
        <v>390</v>
      </c>
      <c r="E629" s="3" t="s">
        <v>400</v>
      </c>
      <c r="F629" s="3">
        <v>8401</v>
      </c>
      <c r="G629" s="3" t="s">
        <v>394</v>
      </c>
      <c r="H629" s="3" t="s">
        <v>38</v>
      </c>
      <c r="I629" s="3">
        <v>16754698</v>
      </c>
      <c r="J629" s="3">
        <v>13181891</v>
      </c>
      <c r="K629" s="3">
        <v>3572807</v>
      </c>
      <c r="L629" s="3">
        <v>4808700</v>
      </c>
      <c r="M629" s="3">
        <v>2953200</v>
      </c>
      <c r="N629" s="3">
        <v>796700</v>
      </c>
    </row>
    <row r="630" spans="1:14" ht="14.4">
      <c r="A630" s="3">
        <v>13367</v>
      </c>
      <c r="B630" s="3">
        <v>13368</v>
      </c>
      <c r="C630" s="3">
        <v>4086</v>
      </c>
      <c r="D630" s="3" t="s">
        <v>390</v>
      </c>
      <c r="E630" s="3" t="s">
        <v>400</v>
      </c>
      <c r="F630" s="3">
        <v>8402</v>
      </c>
      <c r="G630" s="3" t="s">
        <v>394</v>
      </c>
      <c r="H630" s="3" t="s">
        <v>38</v>
      </c>
      <c r="I630" s="3">
        <v>438341</v>
      </c>
      <c r="J630" s="3">
        <v>381076</v>
      </c>
      <c r="K630" s="3">
        <v>57265</v>
      </c>
      <c r="L630" s="3">
        <v>0</v>
      </c>
      <c r="M630" s="3">
        <v>0</v>
      </c>
      <c r="N630" s="3">
        <v>0</v>
      </c>
    </row>
    <row r="631" spans="1:14" ht="14.4">
      <c r="A631" s="3">
        <v>13367</v>
      </c>
      <c r="B631" s="3">
        <v>13368</v>
      </c>
      <c r="C631" s="3">
        <v>4086</v>
      </c>
      <c r="D631" s="3" t="s">
        <v>390</v>
      </c>
      <c r="E631" s="3" t="s">
        <v>400</v>
      </c>
      <c r="F631" s="3">
        <v>8404</v>
      </c>
      <c r="G631" s="3" t="s">
        <v>394</v>
      </c>
      <c r="H631" s="3" t="s">
        <v>38</v>
      </c>
      <c r="I631" s="3">
        <v>130010</v>
      </c>
      <c r="J631" s="3">
        <v>128410</v>
      </c>
      <c r="K631" s="3">
        <v>1600</v>
      </c>
      <c r="L631" s="3">
        <v>0</v>
      </c>
      <c r="M631" s="3">
        <v>0</v>
      </c>
      <c r="N631" s="3">
        <v>0</v>
      </c>
    </row>
    <row r="632" spans="1:14" ht="14.4">
      <c r="A632" s="3">
        <v>13367</v>
      </c>
      <c r="B632" s="3">
        <v>13368</v>
      </c>
      <c r="C632" s="3">
        <v>4086</v>
      </c>
      <c r="D632" s="3" t="s">
        <v>390</v>
      </c>
      <c r="E632" s="3" t="s">
        <v>401</v>
      </c>
      <c r="F632" s="3">
        <v>7716</v>
      </c>
      <c r="G632" s="3" t="s">
        <v>392</v>
      </c>
      <c r="H632" s="3" t="s">
        <v>38</v>
      </c>
      <c r="I632" s="3">
        <v>1431541</v>
      </c>
      <c r="J632" s="3">
        <v>464139</v>
      </c>
      <c r="K632" s="3">
        <v>967402</v>
      </c>
      <c r="L632" s="3">
        <v>501500</v>
      </c>
      <c r="M632" s="3">
        <v>92300</v>
      </c>
      <c r="N632" s="3">
        <v>291600</v>
      </c>
    </row>
    <row r="633" spans="1:14" ht="14.4">
      <c r="A633" s="3">
        <v>13367</v>
      </c>
      <c r="B633" s="3">
        <v>13368</v>
      </c>
      <c r="C633" s="3">
        <v>4086</v>
      </c>
      <c r="D633" s="3" t="s">
        <v>390</v>
      </c>
      <c r="E633" s="3" t="s">
        <v>401</v>
      </c>
      <c r="F633" s="3">
        <v>7716</v>
      </c>
      <c r="G633" s="3" t="s">
        <v>402</v>
      </c>
      <c r="H633" s="3" t="s">
        <v>38</v>
      </c>
      <c r="I633" s="3">
        <v>51616</v>
      </c>
      <c r="J633" s="3">
        <v>28398</v>
      </c>
      <c r="K633" s="3">
        <v>23218</v>
      </c>
      <c r="L633" s="3">
        <v>14000</v>
      </c>
      <c r="M633" s="3">
        <v>0</v>
      </c>
      <c r="N633" s="3">
        <v>14000</v>
      </c>
    </row>
    <row r="634" spans="1:14" ht="14.4">
      <c r="A634" s="3">
        <v>13367</v>
      </c>
      <c r="B634" s="3">
        <v>13368</v>
      </c>
      <c r="C634" s="3">
        <v>4086</v>
      </c>
      <c r="D634" s="3" t="s">
        <v>390</v>
      </c>
      <c r="E634" s="3" t="s">
        <v>403</v>
      </c>
      <c r="F634" s="3">
        <v>8202</v>
      </c>
      <c r="G634" s="3" t="s">
        <v>404</v>
      </c>
      <c r="H634" s="3" t="s">
        <v>38</v>
      </c>
      <c r="I634" s="3">
        <v>2950757</v>
      </c>
      <c r="J634" s="3">
        <v>1766263</v>
      </c>
      <c r="K634" s="3">
        <v>1184494</v>
      </c>
      <c r="L634" s="3">
        <v>205800</v>
      </c>
      <c r="M634" s="3">
        <v>72900</v>
      </c>
      <c r="N634" s="3">
        <v>132900</v>
      </c>
    </row>
    <row r="635" spans="1:14" ht="14.4">
      <c r="A635" s="3">
        <v>13367</v>
      </c>
      <c r="B635" s="3">
        <v>13368</v>
      </c>
      <c r="C635" s="3">
        <v>4086</v>
      </c>
      <c r="D635" s="3" t="s">
        <v>390</v>
      </c>
      <c r="E635" s="3" t="s">
        <v>405</v>
      </c>
      <c r="F635" s="3">
        <v>7001</v>
      </c>
      <c r="G635" s="3" t="s">
        <v>406</v>
      </c>
      <c r="H635" s="3" t="s">
        <v>38</v>
      </c>
      <c r="I635" s="3">
        <v>6540089</v>
      </c>
      <c r="J635" s="3">
        <v>908346</v>
      </c>
      <c r="K635" s="3">
        <v>5631743</v>
      </c>
      <c r="L635" s="3">
        <v>245200</v>
      </c>
      <c r="M635" s="3">
        <v>1400</v>
      </c>
      <c r="N635" s="3">
        <v>185600</v>
      </c>
    </row>
    <row r="636" spans="1:14" ht="14.4">
      <c r="A636" s="3">
        <v>13367</v>
      </c>
      <c r="B636" s="3">
        <v>13368</v>
      </c>
      <c r="C636" s="3">
        <v>4086</v>
      </c>
      <c r="D636" s="3" t="s">
        <v>390</v>
      </c>
      <c r="E636" s="3" t="s">
        <v>407</v>
      </c>
      <c r="F636" s="3">
        <v>7717</v>
      </c>
      <c r="G636" s="3" t="s">
        <v>392</v>
      </c>
      <c r="H636" s="3" t="s">
        <v>38</v>
      </c>
      <c r="I636" s="3">
        <v>71578</v>
      </c>
      <c r="J636" s="3">
        <v>53953</v>
      </c>
      <c r="K636" s="3">
        <v>17625</v>
      </c>
      <c r="L636" s="3">
        <v>0</v>
      </c>
      <c r="M636" s="3">
        <v>0</v>
      </c>
      <c r="N636" s="3">
        <v>0</v>
      </c>
    </row>
    <row r="637" spans="1:14" ht="14.4">
      <c r="A637" s="3">
        <v>13367</v>
      </c>
      <c r="B637" s="3">
        <v>13368</v>
      </c>
      <c r="C637" s="3">
        <v>4086</v>
      </c>
      <c r="D637" s="3" t="s">
        <v>390</v>
      </c>
      <c r="E637" s="3" t="s">
        <v>408</v>
      </c>
      <c r="F637" s="3">
        <v>7717</v>
      </c>
      <c r="G637" s="3" t="s">
        <v>392</v>
      </c>
      <c r="H637" s="3" t="s">
        <v>38</v>
      </c>
      <c r="I637" s="3">
        <v>20767</v>
      </c>
      <c r="J637" s="3">
        <v>20767</v>
      </c>
      <c r="K637" s="3">
        <v>0</v>
      </c>
      <c r="L637" s="3">
        <v>0</v>
      </c>
      <c r="M637" s="3">
        <v>0</v>
      </c>
      <c r="N637" s="3">
        <v>0</v>
      </c>
    </row>
    <row r="638" spans="1:14" ht="14.4">
      <c r="A638" s="3">
        <v>13367</v>
      </c>
      <c r="B638" s="3">
        <v>13368</v>
      </c>
      <c r="C638" s="3">
        <v>4086</v>
      </c>
      <c r="D638" s="3" t="s">
        <v>390</v>
      </c>
      <c r="E638" s="3" t="s">
        <v>409</v>
      </c>
      <c r="F638" s="3">
        <v>7717</v>
      </c>
      <c r="G638" s="3" t="s">
        <v>392</v>
      </c>
      <c r="H638" s="3" t="s">
        <v>38</v>
      </c>
      <c r="I638" s="3">
        <v>417482</v>
      </c>
      <c r="J638" s="3">
        <v>409357</v>
      </c>
      <c r="K638" s="3">
        <v>8125</v>
      </c>
      <c r="L638" s="3">
        <v>286300</v>
      </c>
      <c r="M638" s="3">
        <v>286300</v>
      </c>
      <c r="N638" s="3">
        <v>0</v>
      </c>
    </row>
    <row r="639" spans="1:14" ht="14.4">
      <c r="A639" s="3">
        <v>13367</v>
      </c>
      <c r="B639" s="3">
        <v>13368</v>
      </c>
      <c r="C639" s="3">
        <v>4086</v>
      </c>
      <c r="D639" s="3" t="s">
        <v>390</v>
      </c>
      <c r="E639" s="3" t="s">
        <v>409</v>
      </c>
      <c r="F639" s="3">
        <v>8736</v>
      </c>
      <c r="G639" s="3" t="s">
        <v>392</v>
      </c>
      <c r="H639" s="3" t="s">
        <v>38</v>
      </c>
      <c r="I639" s="3">
        <v>39938</v>
      </c>
      <c r="J639" s="3">
        <v>16938</v>
      </c>
      <c r="K639" s="3">
        <v>23000</v>
      </c>
      <c r="L639" s="3">
        <v>0</v>
      </c>
      <c r="M639" s="3">
        <v>0</v>
      </c>
      <c r="N639" s="3">
        <v>0</v>
      </c>
    </row>
    <row r="640" spans="1:14" ht="14.4">
      <c r="A640" s="3">
        <v>13367</v>
      </c>
      <c r="B640" s="3">
        <v>13368</v>
      </c>
      <c r="C640" s="3">
        <v>4086</v>
      </c>
      <c r="D640" s="3" t="s">
        <v>390</v>
      </c>
      <c r="E640" s="3" t="s">
        <v>410</v>
      </c>
      <c r="F640" s="3">
        <v>8005</v>
      </c>
      <c r="G640" s="3" t="s">
        <v>402</v>
      </c>
      <c r="H640" s="3" t="s">
        <v>38</v>
      </c>
      <c r="I640" s="3">
        <v>1769061</v>
      </c>
      <c r="J640" s="3">
        <v>1729901</v>
      </c>
      <c r="K640" s="3">
        <v>39160</v>
      </c>
      <c r="L640" s="3">
        <v>1508700</v>
      </c>
      <c r="M640" s="3">
        <v>1488200</v>
      </c>
      <c r="N640" s="3">
        <v>14200</v>
      </c>
    </row>
    <row r="641" spans="1:14" ht="14.4">
      <c r="A641" s="3">
        <v>13367</v>
      </c>
      <c r="B641" s="3">
        <v>13368</v>
      </c>
      <c r="C641" s="3">
        <v>4086</v>
      </c>
      <c r="D641" s="3" t="s">
        <v>390</v>
      </c>
      <c r="E641" s="3" t="s">
        <v>411</v>
      </c>
      <c r="F641" s="3">
        <v>8006</v>
      </c>
      <c r="G641" s="3" t="s">
        <v>402</v>
      </c>
      <c r="H641" s="3" t="s">
        <v>38</v>
      </c>
      <c r="I641" s="3">
        <v>179645</v>
      </c>
      <c r="J641" s="3">
        <v>128840</v>
      </c>
      <c r="K641" s="3">
        <v>50805</v>
      </c>
      <c r="L641" s="3">
        <v>29100</v>
      </c>
      <c r="M641" s="3">
        <v>21500</v>
      </c>
      <c r="N641" s="3">
        <v>0</v>
      </c>
    </row>
    <row r="642" spans="1:14" ht="14.4">
      <c r="A642" s="3">
        <v>13367</v>
      </c>
      <c r="B642" s="3">
        <v>13368</v>
      </c>
      <c r="C642" s="3">
        <v>4086</v>
      </c>
      <c r="D642" s="3" t="s">
        <v>390</v>
      </c>
      <c r="E642" s="3" t="s">
        <v>412</v>
      </c>
      <c r="F642" s="3">
        <v>7920</v>
      </c>
      <c r="G642" s="3" t="s">
        <v>413</v>
      </c>
      <c r="H642" s="3" t="s">
        <v>38</v>
      </c>
      <c r="I642" s="3">
        <v>22605</v>
      </c>
      <c r="J642" s="3">
        <v>0</v>
      </c>
      <c r="K642" s="3">
        <v>22605</v>
      </c>
      <c r="L642" s="3">
        <v>0</v>
      </c>
      <c r="M642" s="3">
        <v>0</v>
      </c>
      <c r="N642" s="3">
        <v>0</v>
      </c>
    </row>
    <row r="643" spans="1:14" ht="14.4">
      <c r="A643" s="3">
        <v>13367</v>
      </c>
      <c r="B643" s="3">
        <v>13368</v>
      </c>
      <c r="C643" s="3">
        <v>4086</v>
      </c>
      <c r="D643" s="3" t="s">
        <v>390</v>
      </c>
      <c r="E643" s="3" t="s">
        <v>414</v>
      </c>
      <c r="F643" s="3">
        <v>8742</v>
      </c>
      <c r="G643" s="3" t="s">
        <v>402</v>
      </c>
      <c r="H643" s="3" t="s">
        <v>38</v>
      </c>
      <c r="I643" s="3">
        <v>4511007</v>
      </c>
      <c r="J643" s="3">
        <v>2994301</v>
      </c>
      <c r="K643" s="3">
        <v>1516706</v>
      </c>
      <c r="L643" s="3">
        <v>2126000</v>
      </c>
      <c r="M643" s="3">
        <v>1072500</v>
      </c>
      <c r="N643" s="3">
        <v>690000</v>
      </c>
    </row>
    <row r="644" spans="1:14" ht="14.4">
      <c r="A644" s="3">
        <v>13367</v>
      </c>
      <c r="B644" s="3">
        <v>13368</v>
      </c>
      <c r="C644" s="3">
        <v>4086</v>
      </c>
      <c r="D644" s="3" t="s">
        <v>390</v>
      </c>
      <c r="E644" s="3" t="s">
        <v>36</v>
      </c>
      <c r="F644" s="3">
        <v>7002</v>
      </c>
      <c r="G644" s="3" t="s">
        <v>37</v>
      </c>
      <c r="H644" s="3" t="s">
        <v>38</v>
      </c>
      <c r="I644" s="3">
        <v>4806607</v>
      </c>
      <c r="J644" s="3">
        <v>2934867</v>
      </c>
      <c r="K644" s="3">
        <v>1871740</v>
      </c>
      <c r="L644" s="3">
        <v>797500</v>
      </c>
      <c r="M644" s="3">
        <v>447200</v>
      </c>
      <c r="N644" s="3">
        <v>242600</v>
      </c>
    </row>
    <row r="645" spans="1:14" ht="14.4">
      <c r="A645" s="3">
        <v>13367</v>
      </c>
      <c r="B645" s="3">
        <v>13368</v>
      </c>
      <c r="C645" s="3">
        <v>4086</v>
      </c>
      <c r="D645" s="3" t="s">
        <v>390</v>
      </c>
      <c r="E645" s="3" t="s">
        <v>36</v>
      </c>
      <c r="F645" s="3">
        <v>8540</v>
      </c>
      <c r="G645" s="3" t="s">
        <v>37</v>
      </c>
      <c r="H645" s="3" t="s">
        <v>38</v>
      </c>
      <c r="I645" s="3">
        <v>4010</v>
      </c>
      <c r="J645" s="3">
        <v>4010</v>
      </c>
      <c r="K645" s="3">
        <v>0</v>
      </c>
      <c r="L645" s="3">
        <v>0</v>
      </c>
      <c r="M645" s="3">
        <v>0</v>
      </c>
      <c r="N645" s="3">
        <v>0</v>
      </c>
    </row>
    <row r="646" spans="1:14" ht="14.4">
      <c r="A646" s="3">
        <v>13367</v>
      </c>
      <c r="B646" s="3">
        <v>13368</v>
      </c>
      <c r="C646" s="3">
        <v>4086</v>
      </c>
      <c r="D646" s="3" t="s">
        <v>390</v>
      </c>
      <c r="E646" s="3" t="s">
        <v>415</v>
      </c>
      <c r="F646" s="3">
        <v>8721</v>
      </c>
      <c r="G646" s="3" t="s">
        <v>402</v>
      </c>
      <c r="H646" s="3" t="s">
        <v>38</v>
      </c>
      <c r="I646" s="3">
        <v>831529</v>
      </c>
      <c r="J646" s="3">
        <v>456448</v>
      </c>
      <c r="K646" s="3">
        <v>375081</v>
      </c>
      <c r="L646" s="3">
        <v>0</v>
      </c>
      <c r="M646" s="3">
        <v>0</v>
      </c>
      <c r="N646" s="3">
        <v>0</v>
      </c>
    </row>
    <row r="647" spans="1:14" ht="14.4">
      <c r="A647" s="3">
        <v>13367</v>
      </c>
      <c r="B647" s="3">
        <v>13368</v>
      </c>
      <c r="C647" s="3">
        <v>4086</v>
      </c>
      <c r="D647" s="3" t="s">
        <v>390</v>
      </c>
      <c r="E647" s="3" t="s">
        <v>41</v>
      </c>
      <c r="F647" s="3">
        <v>8721</v>
      </c>
      <c r="G647" s="3" t="s">
        <v>402</v>
      </c>
      <c r="H647" s="3" t="s">
        <v>38</v>
      </c>
      <c r="I647" s="3">
        <v>4560959</v>
      </c>
      <c r="J647" s="3">
        <v>3957416</v>
      </c>
      <c r="K647" s="3">
        <v>603543</v>
      </c>
      <c r="L647" s="3">
        <v>1352400</v>
      </c>
      <c r="M647" s="3">
        <v>1264500</v>
      </c>
      <c r="N647" s="3">
        <v>11100</v>
      </c>
    </row>
    <row r="648" spans="1:14" ht="14.4">
      <c r="A648" s="3">
        <v>13367</v>
      </c>
      <c r="B648" s="3">
        <v>13368</v>
      </c>
      <c r="C648" s="3">
        <v>4086</v>
      </c>
      <c r="D648" s="3" t="s">
        <v>390</v>
      </c>
      <c r="E648" s="3" t="s">
        <v>416</v>
      </c>
      <c r="F648" s="3">
        <v>8008</v>
      </c>
      <c r="G648" s="3" t="s">
        <v>402</v>
      </c>
      <c r="H648" s="3" t="s">
        <v>38</v>
      </c>
      <c r="I648" s="3">
        <v>29283</v>
      </c>
      <c r="J648" s="3">
        <v>8802</v>
      </c>
      <c r="K648" s="3">
        <v>20481</v>
      </c>
      <c r="L648" s="3">
        <v>0</v>
      </c>
      <c r="M648" s="3">
        <v>0</v>
      </c>
      <c r="N648" s="3">
        <v>0</v>
      </c>
    </row>
    <row r="649" spans="1:14" ht="14.4">
      <c r="A649" s="3">
        <v>13367</v>
      </c>
      <c r="B649" s="3">
        <v>13368</v>
      </c>
      <c r="C649" s="3">
        <v>4086</v>
      </c>
      <c r="D649" s="3" t="s">
        <v>390</v>
      </c>
      <c r="E649" s="3" t="s">
        <v>417</v>
      </c>
      <c r="F649" s="3">
        <v>8002</v>
      </c>
      <c r="G649" s="3" t="s">
        <v>402</v>
      </c>
      <c r="H649" s="3" t="s">
        <v>38</v>
      </c>
      <c r="I649" s="3">
        <v>778</v>
      </c>
      <c r="J649" s="3">
        <v>778</v>
      </c>
      <c r="K649" s="3">
        <v>0</v>
      </c>
      <c r="L649" s="3">
        <v>0</v>
      </c>
      <c r="M649" s="3">
        <v>0</v>
      </c>
      <c r="N649" s="3">
        <v>0</v>
      </c>
    </row>
    <row r="650" spans="1:14" ht="14.4">
      <c r="A650" s="3">
        <v>13367</v>
      </c>
      <c r="B650" s="3">
        <v>13368</v>
      </c>
      <c r="C650" s="3">
        <v>4086</v>
      </c>
      <c r="D650" s="3" t="s">
        <v>390</v>
      </c>
      <c r="E650" s="3" t="s">
        <v>417</v>
      </c>
      <c r="F650" s="3">
        <v>8008</v>
      </c>
      <c r="G650" s="3" t="s">
        <v>402</v>
      </c>
      <c r="H650" s="3" t="s">
        <v>38</v>
      </c>
      <c r="I650" s="3">
        <v>11846676</v>
      </c>
      <c r="J650" s="3">
        <v>8670575</v>
      </c>
      <c r="K650" s="3">
        <v>3176101</v>
      </c>
      <c r="L650" s="3">
        <v>4012700</v>
      </c>
      <c r="M650" s="3">
        <v>2207700</v>
      </c>
      <c r="N650" s="3">
        <v>1074700</v>
      </c>
    </row>
    <row r="651" spans="1:14" ht="14.4">
      <c r="A651" s="3">
        <v>13367</v>
      </c>
      <c r="B651" s="3">
        <v>13368</v>
      </c>
      <c r="C651" s="3">
        <v>4086</v>
      </c>
      <c r="D651" s="3" t="s">
        <v>390</v>
      </c>
      <c r="E651" s="3" t="s">
        <v>417</v>
      </c>
      <c r="F651" s="3">
        <v>8087</v>
      </c>
      <c r="G651" s="3" t="s">
        <v>402</v>
      </c>
      <c r="H651" s="3" t="s">
        <v>38</v>
      </c>
      <c r="I651" s="3">
        <v>20397</v>
      </c>
      <c r="J651" s="3">
        <v>3437</v>
      </c>
      <c r="K651" s="3">
        <v>16960</v>
      </c>
      <c r="L651" s="3">
        <v>13400</v>
      </c>
      <c r="M651" s="3">
        <v>0</v>
      </c>
      <c r="N651" s="3">
        <v>13400</v>
      </c>
    </row>
    <row r="652" spans="1:14" ht="14.4">
      <c r="A652" s="3">
        <v>13367</v>
      </c>
      <c r="B652" s="3">
        <v>13368</v>
      </c>
      <c r="C652" s="3">
        <v>4086</v>
      </c>
      <c r="D652" s="3" t="s">
        <v>390</v>
      </c>
      <c r="E652" s="3" t="s">
        <v>418</v>
      </c>
      <c r="F652" s="3">
        <v>8008</v>
      </c>
      <c r="G652" s="3" t="s">
        <v>402</v>
      </c>
      <c r="H652" s="3" t="s">
        <v>38</v>
      </c>
      <c r="I652" s="3">
        <v>148234</v>
      </c>
      <c r="J652" s="3">
        <v>112999</v>
      </c>
      <c r="K652" s="3">
        <v>35235</v>
      </c>
      <c r="L652" s="3">
        <v>0</v>
      </c>
      <c r="M652" s="3">
        <v>0</v>
      </c>
      <c r="N652" s="3">
        <v>0</v>
      </c>
    </row>
    <row r="653" spans="1:14" ht="14.4">
      <c r="A653" s="3">
        <v>13367</v>
      </c>
      <c r="B653" s="3">
        <v>13368</v>
      </c>
      <c r="C653" s="3">
        <v>4086</v>
      </c>
      <c r="D653" s="3" t="s">
        <v>390</v>
      </c>
      <c r="E653" s="3" t="s">
        <v>419</v>
      </c>
      <c r="F653" s="3">
        <v>8008</v>
      </c>
      <c r="G653" s="3" t="s">
        <v>402</v>
      </c>
      <c r="H653" s="3" t="s">
        <v>38</v>
      </c>
      <c r="I653" s="3">
        <v>68899</v>
      </c>
      <c r="J653" s="3">
        <v>51299</v>
      </c>
      <c r="K653" s="3">
        <v>17600</v>
      </c>
      <c r="L653" s="3">
        <v>0</v>
      </c>
      <c r="M653" s="3">
        <v>0</v>
      </c>
      <c r="N653" s="3">
        <v>0</v>
      </c>
    </row>
    <row r="654" spans="1:14" ht="14.4">
      <c r="A654" s="3">
        <v>13367</v>
      </c>
      <c r="B654" s="3">
        <v>13368</v>
      </c>
      <c r="C654" s="3">
        <v>4086</v>
      </c>
      <c r="D654" s="3" t="s">
        <v>390</v>
      </c>
      <c r="E654" s="3" t="s">
        <v>420</v>
      </c>
      <c r="F654" s="3">
        <v>8008</v>
      </c>
      <c r="G654" s="3" t="s">
        <v>402</v>
      </c>
      <c r="H654" s="3" t="s">
        <v>38</v>
      </c>
      <c r="I654" s="3">
        <v>1151735</v>
      </c>
      <c r="J654" s="3">
        <v>727149</v>
      </c>
      <c r="K654" s="3">
        <v>424586</v>
      </c>
      <c r="L654" s="3">
        <v>273800</v>
      </c>
      <c r="M654" s="3">
        <v>187100</v>
      </c>
      <c r="N654" s="3">
        <v>86700</v>
      </c>
    </row>
    <row r="655" spans="1:14" ht="14.4">
      <c r="A655" s="3">
        <v>13367</v>
      </c>
      <c r="B655" s="3">
        <v>13368</v>
      </c>
      <c r="C655" s="3">
        <v>4086</v>
      </c>
      <c r="D655" s="3" t="s">
        <v>390</v>
      </c>
      <c r="E655" s="3" t="s">
        <v>421</v>
      </c>
      <c r="F655" s="3">
        <v>8008</v>
      </c>
      <c r="G655" s="3" t="s">
        <v>402</v>
      </c>
      <c r="H655" s="3" t="s">
        <v>38</v>
      </c>
      <c r="I655" s="3">
        <v>65395</v>
      </c>
      <c r="J655" s="3">
        <v>50930</v>
      </c>
      <c r="K655" s="3">
        <v>14465</v>
      </c>
      <c r="L655" s="3">
        <v>45400</v>
      </c>
      <c r="M655" s="3">
        <v>36000</v>
      </c>
      <c r="N655" s="3">
        <v>9400</v>
      </c>
    </row>
    <row r="656" spans="1:14" ht="14.4">
      <c r="A656" s="3">
        <v>13367</v>
      </c>
      <c r="B656" s="3">
        <v>13368</v>
      </c>
      <c r="C656" s="3">
        <v>4086</v>
      </c>
      <c r="D656" s="3" t="s">
        <v>390</v>
      </c>
      <c r="E656" s="3" t="s">
        <v>422</v>
      </c>
      <c r="F656" s="3">
        <v>8008</v>
      </c>
      <c r="G656" s="3" t="s">
        <v>402</v>
      </c>
      <c r="H656" s="3" t="s">
        <v>38</v>
      </c>
      <c r="I656" s="3">
        <v>419596</v>
      </c>
      <c r="J656" s="3">
        <v>373113</v>
      </c>
      <c r="K656" s="3">
        <v>46483</v>
      </c>
      <c r="L656" s="3">
        <v>54800</v>
      </c>
      <c r="M656" s="3">
        <v>39800</v>
      </c>
      <c r="N656" s="3">
        <v>15000</v>
      </c>
    </row>
    <row r="657" spans="1:14" ht="14.4">
      <c r="A657" s="3">
        <v>13367</v>
      </c>
      <c r="B657" s="3">
        <v>13368</v>
      </c>
      <c r="C657" s="3">
        <v>4086</v>
      </c>
      <c r="D657" s="3" t="s">
        <v>390</v>
      </c>
      <c r="E657" s="3" t="s">
        <v>423</v>
      </c>
      <c r="F657" s="3">
        <v>8050</v>
      </c>
      <c r="G657" s="3" t="s">
        <v>402</v>
      </c>
      <c r="H657" s="3" t="s">
        <v>38</v>
      </c>
      <c r="I657" s="3">
        <v>85567</v>
      </c>
      <c r="J657" s="3">
        <v>79710</v>
      </c>
      <c r="K657" s="3">
        <v>5857</v>
      </c>
      <c r="L657" s="3">
        <v>28800</v>
      </c>
      <c r="M657" s="3">
        <v>28800</v>
      </c>
      <c r="N657" s="3">
        <v>0</v>
      </c>
    </row>
    <row r="658" spans="1:14" ht="14.4">
      <c r="A658" s="3">
        <v>13367</v>
      </c>
      <c r="B658" s="3">
        <v>13368</v>
      </c>
      <c r="C658" s="3">
        <v>4086</v>
      </c>
      <c r="D658" s="3" t="s">
        <v>390</v>
      </c>
      <c r="E658" s="3" t="s">
        <v>424</v>
      </c>
      <c r="F658" s="3">
        <v>8722</v>
      </c>
      <c r="G658" s="3" t="s">
        <v>402</v>
      </c>
      <c r="H658" s="3" t="s">
        <v>38</v>
      </c>
      <c r="I658" s="3">
        <v>8739</v>
      </c>
      <c r="J658" s="3">
        <v>8739</v>
      </c>
      <c r="K658" s="3">
        <v>0</v>
      </c>
      <c r="L658" s="3">
        <v>0</v>
      </c>
      <c r="M658" s="3">
        <v>0</v>
      </c>
      <c r="N658" s="3">
        <v>0</v>
      </c>
    </row>
    <row r="659" spans="1:14" ht="14.4">
      <c r="A659" s="3">
        <v>13367</v>
      </c>
      <c r="B659" s="3">
        <v>13368</v>
      </c>
      <c r="C659" s="3">
        <v>4086</v>
      </c>
      <c r="D659" s="3" t="s">
        <v>390</v>
      </c>
      <c r="E659" s="3" t="s">
        <v>425</v>
      </c>
      <c r="F659" s="3">
        <v>8722</v>
      </c>
      <c r="G659" s="3" t="s">
        <v>402</v>
      </c>
      <c r="H659" s="3" t="s">
        <v>38</v>
      </c>
      <c r="I659" s="3">
        <v>36644</v>
      </c>
      <c r="J659" s="3">
        <v>35544</v>
      </c>
      <c r="K659" s="3">
        <v>1100</v>
      </c>
      <c r="L659" s="3">
        <v>0</v>
      </c>
      <c r="M659" s="3">
        <v>0</v>
      </c>
      <c r="N659" s="3">
        <v>0</v>
      </c>
    </row>
    <row r="660" spans="1:14" ht="14.4">
      <c r="A660" s="3">
        <v>13367</v>
      </c>
      <c r="B660" s="3">
        <v>13368</v>
      </c>
      <c r="C660" s="3">
        <v>4086</v>
      </c>
      <c r="D660" s="3" t="s">
        <v>390</v>
      </c>
      <c r="E660" s="3" t="s">
        <v>426</v>
      </c>
      <c r="F660" s="3">
        <v>7718</v>
      </c>
      <c r="G660" s="3" t="s">
        <v>392</v>
      </c>
      <c r="H660" s="3" t="s">
        <v>38</v>
      </c>
      <c r="I660" s="3">
        <v>800694</v>
      </c>
      <c r="J660" s="3">
        <v>569493</v>
      </c>
      <c r="K660" s="3">
        <v>231201</v>
      </c>
      <c r="L660" s="3">
        <v>91200</v>
      </c>
      <c r="M660" s="3">
        <v>12000</v>
      </c>
      <c r="N660" s="3">
        <v>31500</v>
      </c>
    </row>
    <row r="661" spans="1:14" ht="14.4">
      <c r="A661" s="3">
        <v>13367</v>
      </c>
      <c r="B661" s="3">
        <v>13368</v>
      </c>
      <c r="C661" s="3">
        <v>4086</v>
      </c>
      <c r="D661" s="3" t="s">
        <v>390</v>
      </c>
      <c r="E661" s="3" t="s">
        <v>427</v>
      </c>
      <c r="F661" s="3">
        <v>7109</v>
      </c>
      <c r="G661" s="3" t="s">
        <v>428</v>
      </c>
      <c r="H661" s="3" t="s">
        <v>38</v>
      </c>
      <c r="I661" s="3">
        <v>581125</v>
      </c>
      <c r="J661" s="3">
        <v>69874</v>
      </c>
      <c r="K661" s="3">
        <v>511251</v>
      </c>
      <c r="L661" s="3">
        <v>112900</v>
      </c>
      <c r="M661" s="3">
        <v>9500</v>
      </c>
      <c r="N661" s="3">
        <v>1100</v>
      </c>
    </row>
    <row r="662" spans="1:14" ht="14.4">
      <c r="A662" s="3">
        <v>13367</v>
      </c>
      <c r="B662" s="3">
        <v>13368</v>
      </c>
      <c r="C662" s="3">
        <v>4086</v>
      </c>
      <c r="D662" s="3" t="s">
        <v>390</v>
      </c>
      <c r="E662" s="3" t="s">
        <v>427</v>
      </c>
      <c r="F662" s="3">
        <v>7109</v>
      </c>
      <c r="G662" s="3" t="s">
        <v>37</v>
      </c>
      <c r="H662" s="3" t="s">
        <v>38</v>
      </c>
      <c r="I662" s="3">
        <v>44500</v>
      </c>
      <c r="J662" s="3">
        <v>0</v>
      </c>
      <c r="K662" s="3">
        <v>44500</v>
      </c>
      <c r="L662" s="3">
        <v>39400</v>
      </c>
      <c r="M662" s="3">
        <v>10500</v>
      </c>
      <c r="N662" s="3">
        <v>0</v>
      </c>
    </row>
    <row r="663" spans="1:14" ht="14.4">
      <c r="A663" s="3">
        <v>13367</v>
      </c>
      <c r="B663" s="3">
        <v>13368</v>
      </c>
      <c r="C663" s="3">
        <v>4086</v>
      </c>
      <c r="D663" s="3" t="s">
        <v>390</v>
      </c>
      <c r="E663" s="3" t="s">
        <v>427</v>
      </c>
      <c r="F663" s="3">
        <v>7109</v>
      </c>
      <c r="G663" s="3" t="s">
        <v>429</v>
      </c>
      <c r="H663" s="3" t="s">
        <v>38</v>
      </c>
      <c r="I663" s="3">
        <v>15000</v>
      </c>
      <c r="J663" s="3">
        <v>0</v>
      </c>
      <c r="K663" s="3">
        <v>15000</v>
      </c>
      <c r="L663" s="3">
        <v>0</v>
      </c>
      <c r="M663" s="3">
        <v>0</v>
      </c>
      <c r="N663" s="3">
        <v>0</v>
      </c>
    </row>
    <row r="664" spans="1:14" ht="14.4">
      <c r="A664" s="3">
        <v>13367</v>
      </c>
      <c r="B664" s="3">
        <v>13368</v>
      </c>
      <c r="C664" s="3">
        <v>4086</v>
      </c>
      <c r="D664" s="3" t="s">
        <v>390</v>
      </c>
      <c r="E664" s="3" t="s">
        <v>430</v>
      </c>
      <c r="F664" s="3">
        <v>7719</v>
      </c>
      <c r="G664" s="3" t="s">
        <v>392</v>
      </c>
      <c r="H664" s="3" t="s">
        <v>38</v>
      </c>
      <c r="I664" s="3">
        <v>10812003</v>
      </c>
      <c r="J664" s="3">
        <v>9185026</v>
      </c>
      <c r="K664" s="3">
        <v>1626977</v>
      </c>
      <c r="L664" s="3">
        <v>2208900</v>
      </c>
      <c r="M664" s="3">
        <v>1252000</v>
      </c>
      <c r="N664" s="3">
        <v>629900</v>
      </c>
    </row>
    <row r="665" spans="1:14" ht="14.4">
      <c r="A665" s="3">
        <v>13367</v>
      </c>
      <c r="B665" s="3">
        <v>13368</v>
      </c>
      <c r="C665" s="3">
        <v>4086</v>
      </c>
      <c r="D665" s="3" t="s">
        <v>390</v>
      </c>
      <c r="E665" s="3" t="s">
        <v>430</v>
      </c>
      <c r="F665" s="3">
        <v>7719</v>
      </c>
      <c r="G665" s="3" t="s">
        <v>402</v>
      </c>
      <c r="H665" s="3" t="s">
        <v>38</v>
      </c>
      <c r="I665" s="3">
        <v>15844</v>
      </c>
      <c r="J665" s="3">
        <v>8544</v>
      </c>
      <c r="K665" s="3">
        <v>7300</v>
      </c>
      <c r="L665" s="3">
        <v>0</v>
      </c>
      <c r="M665" s="3">
        <v>0</v>
      </c>
      <c r="N665" s="3">
        <v>0</v>
      </c>
    </row>
    <row r="666" spans="1:14" ht="14.4">
      <c r="A666" s="3">
        <v>13367</v>
      </c>
      <c r="B666" s="3">
        <v>13368</v>
      </c>
      <c r="C666" s="3">
        <v>4086</v>
      </c>
      <c r="D666" s="3" t="s">
        <v>390</v>
      </c>
      <c r="E666" s="3" t="s">
        <v>431</v>
      </c>
      <c r="F666" s="3">
        <v>7719</v>
      </c>
      <c r="G666" s="3" t="s">
        <v>392</v>
      </c>
      <c r="H666" s="3" t="s">
        <v>38</v>
      </c>
      <c r="I666" s="3">
        <v>0</v>
      </c>
      <c r="J666" s="3">
        <v>0</v>
      </c>
      <c r="K666" s="3">
        <v>0</v>
      </c>
      <c r="L666" s="3">
        <v>39700</v>
      </c>
      <c r="M666" s="3">
        <v>0</v>
      </c>
      <c r="N666" s="3">
        <v>0</v>
      </c>
    </row>
    <row r="667" spans="1:14" ht="14.4">
      <c r="A667" s="3">
        <v>13367</v>
      </c>
      <c r="B667" s="3">
        <v>13368</v>
      </c>
      <c r="C667" s="3">
        <v>4086</v>
      </c>
      <c r="D667" s="3" t="s">
        <v>390</v>
      </c>
      <c r="E667" s="3" t="s">
        <v>432</v>
      </c>
      <c r="F667" s="3">
        <v>7823</v>
      </c>
      <c r="G667" s="3" t="s">
        <v>398</v>
      </c>
      <c r="H667" s="3" t="s">
        <v>38</v>
      </c>
      <c r="I667" s="3">
        <v>53814</v>
      </c>
      <c r="J667" s="3">
        <v>53814</v>
      </c>
      <c r="K667" s="3">
        <v>0</v>
      </c>
      <c r="L667" s="3">
        <v>0</v>
      </c>
      <c r="M667" s="3">
        <v>0</v>
      </c>
      <c r="N667" s="3">
        <v>0</v>
      </c>
    </row>
    <row r="668" spans="1:14" ht="14.4">
      <c r="A668" s="3">
        <v>13367</v>
      </c>
      <c r="B668" s="3">
        <v>13368</v>
      </c>
      <c r="C668" s="3">
        <v>4086</v>
      </c>
      <c r="D668" s="3" t="s">
        <v>390</v>
      </c>
      <c r="E668" s="3" t="s">
        <v>433</v>
      </c>
      <c r="F668" s="3">
        <v>7621</v>
      </c>
      <c r="G668" s="3" t="s">
        <v>76</v>
      </c>
      <c r="H668" s="3" t="s">
        <v>38</v>
      </c>
      <c r="I668" s="3">
        <v>43852</v>
      </c>
      <c r="J668" s="3">
        <v>0</v>
      </c>
      <c r="K668" s="3">
        <v>43852</v>
      </c>
      <c r="L668" s="3">
        <v>0</v>
      </c>
      <c r="M668" s="3">
        <v>0</v>
      </c>
      <c r="N668" s="3">
        <v>0</v>
      </c>
    </row>
    <row r="669" spans="1:14" ht="14.4">
      <c r="A669" s="3">
        <v>13367</v>
      </c>
      <c r="B669" s="3">
        <v>13368</v>
      </c>
      <c r="C669" s="3">
        <v>4086</v>
      </c>
      <c r="D669" s="3" t="s">
        <v>390</v>
      </c>
      <c r="E669" s="3" t="s">
        <v>434</v>
      </c>
      <c r="F669" s="3">
        <v>7922</v>
      </c>
      <c r="G669" s="3" t="s">
        <v>435</v>
      </c>
      <c r="H669" s="3" t="s">
        <v>38</v>
      </c>
      <c r="I669" s="3">
        <v>18420</v>
      </c>
      <c r="J669" s="3">
        <v>18420</v>
      </c>
      <c r="K669" s="3">
        <v>0</v>
      </c>
      <c r="L669" s="3">
        <v>0</v>
      </c>
      <c r="M669" s="3">
        <v>0</v>
      </c>
      <c r="N669" s="3">
        <v>0</v>
      </c>
    </row>
    <row r="670" spans="1:14" ht="14.4">
      <c r="A670" s="3">
        <v>13367</v>
      </c>
      <c r="B670" s="3">
        <v>13368</v>
      </c>
      <c r="C670" s="3">
        <v>4086</v>
      </c>
      <c r="D670" s="3" t="s">
        <v>390</v>
      </c>
      <c r="E670" s="3" t="s">
        <v>436</v>
      </c>
      <c r="F670" s="3">
        <v>7922</v>
      </c>
      <c r="G670" s="3" t="s">
        <v>435</v>
      </c>
      <c r="H670" s="3" t="s">
        <v>38</v>
      </c>
      <c r="I670" s="3">
        <v>79154</v>
      </c>
      <c r="J670" s="3">
        <v>79154</v>
      </c>
      <c r="K670" s="3">
        <v>0</v>
      </c>
      <c r="L670" s="3">
        <v>0</v>
      </c>
      <c r="M670" s="3">
        <v>0</v>
      </c>
      <c r="N670" s="3">
        <v>0</v>
      </c>
    </row>
    <row r="671" spans="1:14" ht="14.4">
      <c r="A671" s="3">
        <v>13367</v>
      </c>
      <c r="B671" s="3">
        <v>13368</v>
      </c>
      <c r="C671" s="3">
        <v>4086</v>
      </c>
      <c r="D671" s="3" t="s">
        <v>390</v>
      </c>
      <c r="E671" s="3" t="s">
        <v>437</v>
      </c>
      <c r="F671" s="3">
        <v>7924</v>
      </c>
      <c r="G671" s="3" t="s">
        <v>413</v>
      </c>
      <c r="H671" s="3" t="s">
        <v>38</v>
      </c>
      <c r="I671" s="3">
        <v>177844</v>
      </c>
      <c r="J671" s="3">
        <v>177844</v>
      </c>
      <c r="K671" s="3">
        <v>0</v>
      </c>
      <c r="L671" s="3">
        <v>26000</v>
      </c>
      <c r="M671" s="3">
        <v>0</v>
      </c>
      <c r="N671" s="3">
        <v>0</v>
      </c>
    </row>
    <row r="672" spans="1:14" ht="14.4">
      <c r="A672" s="3">
        <v>13367</v>
      </c>
      <c r="B672" s="3">
        <v>13368</v>
      </c>
      <c r="C672" s="3">
        <v>4086</v>
      </c>
      <c r="D672" s="3" t="s">
        <v>390</v>
      </c>
      <c r="E672" s="3" t="s">
        <v>438</v>
      </c>
      <c r="F672" s="3">
        <v>8203</v>
      </c>
      <c r="G672" s="3" t="s">
        <v>394</v>
      </c>
      <c r="H672" s="3" t="s">
        <v>38</v>
      </c>
      <c r="I672" s="3">
        <v>111409</v>
      </c>
      <c r="J672" s="3">
        <v>107409</v>
      </c>
      <c r="K672" s="3">
        <v>4000</v>
      </c>
      <c r="L672" s="3">
        <v>0</v>
      </c>
      <c r="M672" s="3">
        <v>0</v>
      </c>
      <c r="N672" s="3">
        <v>0</v>
      </c>
    </row>
    <row r="673" spans="1:14" ht="14.4">
      <c r="A673" s="3">
        <v>13367</v>
      </c>
      <c r="B673" s="3">
        <v>13368</v>
      </c>
      <c r="C673" s="3">
        <v>4086</v>
      </c>
      <c r="D673" s="3" t="s">
        <v>390</v>
      </c>
      <c r="E673" s="3" t="s">
        <v>439</v>
      </c>
      <c r="F673" s="3">
        <v>7003</v>
      </c>
      <c r="G673" s="3" t="s">
        <v>428</v>
      </c>
      <c r="H673" s="3" t="s">
        <v>38</v>
      </c>
      <c r="I673" s="3">
        <v>158884</v>
      </c>
      <c r="J673" s="3">
        <v>144643</v>
      </c>
      <c r="K673" s="3">
        <v>14241</v>
      </c>
      <c r="L673" s="3">
        <v>113300</v>
      </c>
      <c r="M673" s="3">
        <v>0</v>
      </c>
      <c r="N673" s="3">
        <v>9800</v>
      </c>
    </row>
    <row r="674" spans="1:14" ht="14.4">
      <c r="A674" s="3">
        <v>13367</v>
      </c>
      <c r="B674" s="3">
        <v>13368</v>
      </c>
      <c r="C674" s="3">
        <v>4086</v>
      </c>
      <c r="D674" s="3" t="s">
        <v>390</v>
      </c>
      <c r="E674" s="3" t="s">
        <v>440</v>
      </c>
      <c r="F674" s="3">
        <v>7005</v>
      </c>
      <c r="G674" s="3" t="s">
        <v>441</v>
      </c>
      <c r="H674" s="3" t="s">
        <v>38</v>
      </c>
      <c r="I674" s="3">
        <v>26180</v>
      </c>
      <c r="J674" s="3">
        <v>0</v>
      </c>
      <c r="K674" s="3">
        <v>26180</v>
      </c>
      <c r="L674" s="3">
        <v>0</v>
      </c>
      <c r="M674" s="3">
        <v>0</v>
      </c>
      <c r="N674" s="3">
        <v>0</v>
      </c>
    </row>
    <row r="675" spans="1:14" ht="14.4">
      <c r="A675" s="3">
        <v>13367</v>
      </c>
      <c r="B675" s="3">
        <v>13368</v>
      </c>
      <c r="C675" s="3">
        <v>4086</v>
      </c>
      <c r="D675" s="3" t="s">
        <v>390</v>
      </c>
      <c r="E675" s="3" t="s">
        <v>442</v>
      </c>
      <c r="F675" s="3">
        <v>8505</v>
      </c>
      <c r="G675" s="3" t="s">
        <v>443</v>
      </c>
      <c r="H675" s="3" t="s">
        <v>38</v>
      </c>
      <c r="I675" s="3">
        <v>0</v>
      </c>
      <c r="J675" s="3">
        <v>0</v>
      </c>
      <c r="K675" s="3">
        <v>0</v>
      </c>
      <c r="L675" s="3">
        <v>37500</v>
      </c>
      <c r="M675" s="3">
        <v>0</v>
      </c>
      <c r="N675" s="3">
        <v>0</v>
      </c>
    </row>
    <row r="676" spans="1:14" ht="14.4">
      <c r="A676" s="3">
        <v>13367</v>
      </c>
      <c r="B676" s="3">
        <v>13368</v>
      </c>
      <c r="C676" s="3">
        <v>4086</v>
      </c>
      <c r="D676" s="3" t="s">
        <v>390</v>
      </c>
      <c r="E676" s="3" t="s">
        <v>444</v>
      </c>
      <c r="F676" s="3">
        <v>8805</v>
      </c>
      <c r="G676" s="3" t="s">
        <v>413</v>
      </c>
      <c r="H676" s="3" t="s">
        <v>38</v>
      </c>
      <c r="I676" s="3">
        <v>49157</v>
      </c>
      <c r="J676" s="3">
        <v>49157</v>
      </c>
      <c r="K676" s="3">
        <v>0</v>
      </c>
      <c r="L676" s="3">
        <v>106100</v>
      </c>
      <c r="M676" s="3">
        <v>28800</v>
      </c>
      <c r="N676" s="3">
        <v>0</v>
      </c>
    </row>
    <row r="677" spans="1:14" ht="14.4">
      <c r="A677" s="3">
        <v>13367</v>
      </c>
      <c r="B677" s="3">
        <v>13368</v>
      </c>
      <c r="C677" s="3">
        <v>4086</v>
      </c>
      <c r="D677" s="3" t="s">
        <v>390</v>
      </c>
      <c r="E677" s="3" t="s">
        <v>445</v>
      </c>
      <c r="F677" s="3">
        <v>7720</v>
      </c>
      <c r="G677" s="3" t="s">
        <v>392</v>
      </c>
      <c r="H677" s="3" t="s">
        <v>38</v>
      </c>
      <c r="I677" s="3">
        <v>743600</v>
      </c>
      <c r="J677" s="3">
        <v>611049</v>
      </c>
      <c r="K677" s="3">
        <v>132551</v>
      </c>
      <c r="L677" s="3">
        <v>778700</v>
      </c>
      <c r="M677" s="3">
        <v>561700</v>
      </c>
      <c r="N677" s="3">
        <v>119200</v>
      </c>
    </row>
    <row r="678" spans="1:14" ht="14.4">
      <c r="A678" s="3">
        <v>13367</v>
      </c>
      <c r="B678" s="3">
        <v>13368</v>
      </c>
      <c r="C678" s="3">
        <v>4086</v>
      </c>
      <c r="D678" s="3" t="s">
        <v>390</v>
      </c>
      <c r="E678" s="3" t="s">
        <v>446</v>
      </c>
      <c r="F678" s="3">
        <v>8853</v>
      </c>
      <c r="G678" s="3" t="s">
        <v>413</v>
      </c>
      <c r="H678" s="3" t="s">
        <v>38</v>
      </c>
      <c r="I678" s="3">
        <v>40000</v>
      </c>
      <c r="J678" s="3">
        <v>40000</v>
      </c>
      <c r="K678" s="3">
        <v>0</v>
      </c>
      <c r="L678" s="3">
        <v>0</v>
      </c>
      <c r="M678" s="3">
        <v>0</v>
      </c>
      <c r="N678" s="3">
        <v>0</v>
      </c>
    </row>
    <row r="679" spans="1:14" ht="14.4">
      <c r="A679" s="3">
        <v>13367</v>
      </c>
      <c r="B679" s="3">
        <v>13368</v>
      </c>
      <c r="C679" s="3">
        <v>4086</v>
      </c>
      <c r="D679" s="3" t="s">
        <v>390</v>
      </c>
      <c r="E679" s="3" t="s">
        <v>446</v>
      </c>
      <c r="F679" s="3">
        <v>8876</v>
      </c>
      <c r="G679" s="3" t="s">
        <v>413</v>
      </c>
      <c r="H679" s="3" t="s">
        <v>38</v>
      </c>
      <c r="I679" s="3">
        <v>499411</v>
      </c>
      <c r="J679" s="3">
        <v>3724</v>
      </c>
      <c r="K679" s="3">
        <v>495687</v>
      </c>
      <c r="L679" s="3">
        <v>0</v>
      </c>
      <c r="M679" s="3">
        <v>0</v>
      </c>
      <c r="N679" s="3">
        <v>0</v>
      </c>
    </row>
    <row r="680" spans="1:14" ht="14.4">
      <c r="A680" s="3">
        <v>13367</v>
      </c>
      <c r="B680" s="3">
        <v>13368</v>
      </c>
      <c r="C680" s="3">
        <v>4086</v>
      </c>
      <c r="D680" s="3" t="s">
        <v>390</v>
      </c>
      <c r="E680" s="3" t="s">
        <v>447</v>
      </c>
      <c r="F680" s="3">
        <v>8008</v>
      </c>
      <c r="G680" s="3" t="s">
        <v>402</v>
      </c>
      <c r="H680" s="3" t="s">
        <v>38</v>
      </c>
      <c r="I680" s="3">
        <v>1650873</v>
      </c>
      <c r="J680" s="3">
        <v>1265241</v>
      </c>
      <c r="K680" s="3">
        <v>385632</v>
      </c>
      <c r="L680" s="3">
        <v>437200</v>
      </c>
      <c r="M680" s="3">
        <v>338600</v>
      </c>
      <c r="N680" s="3">
        <v>98600</v>
      </c>
    </row>
    <row r="681" spans="1:14" ht="14.4">
      <c r="A681" s="3">
        <v>13367</v>
      </c>
      <c r="B681" s="3">
        <v>13368</v>
      </c>
      <c r="C681" s="3">
        <v>4086</v>
      </c>
      <c r="D681" s="3" t="s">
        <v>390</v>
      </c>
      <c r="E681" s="3" t="s">
        <v>448</v>
      </c>
      <c r="F681" s="3">
        <v>8723</v>
      </c>
      <c r="G681" s="3" t="s">
        <v>402</v>
      </c>
      <c r="H681" s="3" t="s">
        <v>38</v>
      </c>
      <c r="I681" s="3">
        <v>7004768</v>
      </c>
      <c r="J681" s="3">
        <v>5397090</v>
      </c>
      <c r="K681" s="3">
        <v>1607678</v>
      </c>
      <c r="L681" s="3">
        <v>4178000</v>
      </c>
      <c r="M681" s="3">
        <v>2775000</v>
      </c>
      <c r="N681" s="3">
        <v>920800</v>
      </c>
    </row>
    <row r="682" spans="1:14" ht="14.4">
      <c r="A682" s="3">
        <v>13367</v>
      </c>
      <c r="B682" s="3">
        <v>13368</v>
      </c>
      <c r="C682" s="3">
        <v>4086</v>
      </c>
      <c r="D682" s="3" t="s">
        <v>390</v>
      </c>
      <c r="E682" s="3" t="s">
        <v>448</v>
      </c>
      <c r="F682" s="3">
        <v>8724</v>
      </c>
      <c r="G682" s="3" t="s">
        <v>402</v>
      </c>
      <c r="H682" s="3" t="s">
        <v>38</v>
      </c>
      <c r="I682" s="3">
        <v>3215155</v>
      </c>
      <c r="J682" s="3">
        <v>2019433</v>
      </c>
      <c r="K682" s="3">
        <v>1195722</v>
      </c>
      <c r="L682" s="3">
        <v>2425400</v>
      </c>
      <c r="M682" s="3">
        <v>1525200</v>
      </c>
      <c r="N682" s="3">
        <v>649300</v>
      </c>
    </row>
    <row r="683" spans="1:14" ht="14.4">
      <c r="A683" s="3">
        <v>13367</v>
      </c>
      <c r="B683" s="3">
        <v>13368</v>
      </c>
      <c r="C683" s="3">
        <v>4086</v>
      </c>
      <c r="D683" s="3" t="s">
        <v>390</v>
      </c>
      <c r="E683" s="3" t="s">
        <v>448</v>
      </c>
      <c r="F683" s="3">
        <v>8738</v>
      </c>
      <c r="G683" s="3" t="s">
        <v>402</v>
      </c>
      <c r="H683" s="3" t="s">
        <v>38</v>
      </c>
      <c r="I683" s="3">
        <v>94035</v>
      </c>
      <c r="J683" s="3">
        <v>82235</v>
      </c>
      <c r="K683" s="3">
        <v>11800</v>
      </c>
      <c r="L683" s="3">
        <v>0</v>
      </c>
      <c r="M683" s="3">
        <v>0</v>
      </c>
      <c r="N683" s="3">
        <v>0</v>
      </c>
    </row>
    <row r="684" spans="1:14" ht="14.4">
      <c r="A684" s="3">
        <v>13367</v>
      </c>
      <c r="B684" s="3">
        <v>13368</v>
      </c>
      <c r="C684" s="3">
        <v>4086</v>
      </c>
      <c r="D684" s="3" t="s">
        <v>390</v>
      </c>
      <c r="E684" s="3" t="s">
        <v>448</v>
      </c>
      <c r="F684" s="3">
        <v>8753</v>
      </c>
      <c r="G684" s="3" t="s">
        <v>402</v>
      </c>
      <c r="H684" s="3" t="s">
        <v>38</v>
      </c>
      <c r="I684" s="3">
        <v>719877</v>
      </c>
      <c r="J684" s="3">
        <v>650607</v>
      </c>
      <c r="K684" s="3">
        <v>69270</v>
      </c>
      <c r="L684" s="3">
        <v>0</v>
      </c>
      <c r="M684" s="3">
        <v>0</v>
      </c>
      <c r="N684" s="3">
        <v>0</v>
      </c>
    </row>
    <row r="685" spans="1:14" ht="14.4">
      <c r="A685" s="3">
        <v>13367</v>
      </c>
      <c r="B685" s="3">
        <v>13368</v>
      </c>
      <c r="C685" s="3">
        <v>4086</v>
      </c>
      <c r="D685" s="3" t="s">
        <v>390</v>
      </c>
      <c r="E685" s="3" t="s">
        <v>449</v>
      </c>
      <c r="F685" s="3">
        <v>8723</v>
      </c>
      <c r="G685" s="3" t="s">
        <v>402</v>
      </c>
      <c r="H685" s="3" t="s">
        <v>38</v>
      </c>
      <c r="I685" s="3">
        <v>7475</v>
      </c>
      <c r="J685" s="3">
        <v>0</v>
      </c>
      <c r="K685" s="3">
        <v>7475</v>
      </c>
      <c r="L685" s="3">
        <v>0</v>
      </c>
      <c r="M685" s="3">
        <v>0</v>
      </c>
      <c r="N685" s="3">
        <v>0</v>
      </c>
    </row>
    <row r="686" spans="1:14" ht="14.4">
      <c r="A686" s="3">
        <v>13367</v>
      </c>
      <c r="B686" s="3">
        <v>13368</v>
      </c>
      <c r="C686" s="3">
        <v>4086</v>
      </c>
      <c r="D686" s="3" t="s">
        <v>390</v>
      </c>
      <c r="E686" s="3" t="s">
        <v>450</v>
      </c>
      <c r="F686" s="3">
        <v>8724</v>
      </c>
      <c r="G686" s="3" t="s">
        <v>402</v>
      </c>
      <c r="H686" s="3" t="s">
        <v>38</v>
      </c>
      <c r="I686" s="3">
        <v>99070</v>
      </c>
      <c r="J686" s="3">
        <v>80170</v>
      </c>
      <c r="K686" s="3">
        <v>18900</v>
      </c>
      <c r="L686" s="3">
        <v>0</v>
      </c>
      <c r="M686" s="3">
        <v>0</v>
      </c>
      <c r="N686" s="3">
        <v>0</v>
      </c>
    </row>
    <row r="687" spans="1:14" ht="14.4">
      <c r="A687" s="3">
        <v>13367</v>
      </c>
      <c r="B687" s="3">
        <v>13368</v>
      </c>
      <c r="C687" s="3">
        <v>4086</v>
      </c>
      <c r="D687" s="3" t="s">
        <v>390</v>
      </c>
      <c r="E687" s="3" t="s">
        <v>451</v>
      </c>
      <c r="F687" s="3">
        <v>8302</v>
      </c>
      <c r="G687" s="3" t="s">
        <v>452</v>
      </c>
      <c r="H687" s="3" t="s">
        <v>38</v>
      </c>
      <c r="I687" s="3">
        <v>190443</v>
      </c>
      <c r="J687" s="3">
        <v>157388</v>
      </c>
      <c r="K687" s="3">
        <v>33055</v>
      </c>
      <c r="L687" s="3">
        <v>0</v>
      </c>
      <c r="M687" s="3">
        <v>0</v>
      </c>
      <c r="N687" s="3">
        <v>0</v>
      </c>
    </row>
    <row r="688" spans="1:14" ht="14.4">
      <c r="A688" s="3">
        <v>13367</v>
      </c>
      <c r="B688" s="3">
        <v>13368</v>
      </c>
      <c r="C688" s="3">
        <v>4086</v>
      </c>
      <c r="D688" s="3" t="s">
        <v>390</v>
      </c>
      <c r="E688" s="3" t="s">
        <v>453</v>
      </c>
      <c r="F688" s="3">
        <v>8742</v>
      </c>
      <c r="G688" s="3" t="s">
        <v>402</v>
      </c>
      <c r="H688" s="3" t="s">
        <v>38</v>
      </c>
      <c r="I688" s="3">
        <v>50872</v>
      </c>
      <c r="J688" s="3">
        <v>45472</v>
      </c>
      <c r="K688" s="3">
        <v>5400</v>
      </c>
      <c r="L688" s="3">
        <v>0</v>
      </c>
      <c r="M688" s="3">
        <v>0</v>
      </c>
      <c r="N688" s="3">
        <v>0</v>
      </c>
    </row>
    <row r="689" spans="1:14" ht="14.4">
      <c r="A689" s="3">
        <v>13367</v>
      </c>
      <c r="B689" s="3">
        <v>13368</v>
      </c>
      <c r="C689" s="3">
        <v>4086</v>
      </c>
      <c r="D689" s="3" t="s">
        <v>390</v>
      </c>
      <c r="E689" s="3" t="s">
        <v>453</v>
      </c>
      <c r="F689" s="3">
        <v>8807</v>
      </c>
      <c r="G689" s="3" t="s">
        <v>413</v>
      </c>
      <c r="H689" s="3" t="s">
        <v>38</v>
      </c>
      <c r="I689" s="3">
        <v>144341</v>
      </c>
      <c r="J689" s="3">
        <v>79541</v>
      </c>
      <c r="K689" s="3">
        <v>64800</v>
      </c>
      <c r="L689" s="3">
        <v>137300</v>
      </c>
      <c r="M689" s="3">
        <v>0</v>
      </c>
      <c r="N689" s="3">
        <v>64800</v>
      </c>
    </row>
    <row r="690" spans="1:14" ht="14.4">
      <c r="A690" s="3">
        <v>13367</v>
      </c>
      <c r="B690" s="3">
        <v>13368</v>
      </c>
      <c r="C690" s="3">
        <v>4086</v>
      </c>
      <c r="D690" s="3" t="s">
        <v>390</v>
      </c>
      <c r="E690" s="3" t="s">
        <v>454</v>
      </c>
      <c r="F690" s="3">
        <v>7730</v>
      </c>
      <c r="G690" s="3" t="s">
        <v>392</v>
      </c>
      <c r="H690" s="3" t="s">
        <v>38</v>
      </c>
      <c r="I690" s="3">
        <v>3440</v>
      </c>
      <c r="J690" s="3">
        <v>0</v>
      </c>
      <c r="K690" s="3">
        <v>3440</v>
      </c>
      <c r="L690" s="3">
        <v>0</v>
      </c>
      <c r="M690" s="3">
        <v>0</v>
      </c>
      <c r="N690" s="3">
        <v>0</v>
      </c>
    </row>
    <row r="691" spans="1:14" ht="14.4">
      <c r="A691" s="3">
        <v>13367</v>
      </c>
      <c r="B691" s="3">
        <v>13368</v>
      </c>
      <c r="C691" s="3">
        <v>4086</v>
      </c>
      <c r="D691" s="3" t="s">
        <v>390</v>
      </c>
      <c r="E691" s="3" t="s">
        <v>454</v>
      </c>
      <c r="F691" s="3">
        <v>8730</v>
      </c>
      <c r="G691" s="3" t="s">
        <v>392</v>
      </c>
      <c r="H691" s="3" t="s">
        <v>38</v>
      </c>
      <c r="I691" s="3">
        <v>1103448</v>
      </c>
      <c r="J691" s="3">
        <v>984851</v>
      </c>
      <c r="K691" s="3">
        <v>118597</v>
      </c>
      <c r="L691" s="3">
        <v>539700</v>
      </c>
      <c r="M691" s="3">
        <v>438400</v>
      </c>
      <c r="N691" s="3">
        <v>36000</v>
      </c>
    </row>
    <row r="692" spans="1:14" ht="14.4">
      <c r="A692" s="3">
        <v>13367</v>
      </c>
      <c r="B692" s="3">
        <v>13368</v>
      </c>
      <c r="C692" s="3">
        <v>4086</v>
      </c>
      <c r="D692" s="3" t="s">
        <v>390</v>
      </c>
      <c r="E692" s="3" t="s">
        <v>455</v>
      </c>
      <c r="F692" s="3">
        <v>8203</v>
      </c>
      <c r="G692" s="3" t="s">
        <v>394</v>
      </c>
      <c r="H692" s="3" t="s">
        <v>38</v>
      </c>
      <c r="I692" s="3">
        <v>31710</v>
      </c>
      <c r="J692" s="3">
        <v>22508</v>
      </c>
      <c r="K692" s="3">
        <v>9202</v>
      </c>
      <c r="L692" s="3">
        <v>0</v>
      </c>
      <c r="M692" s="3">
        <v>0</v>
      </c>
      <c r="N692" s="3">
        <v>0</v>
      </c>
    </row>
    <row r="693" spans="1:14" ht="14.4">
      <c r="A693" s="3">
        <v>13367</v>
      </c>
      <c r="B693" s="3">
        <v>13368</v>
      </c>
      <c r="C693" s="3">
        <v>4086</v>
      </c>
      <c r="D693" s="3" t="s">
        <v>390</v>
      </c>
      <c r="E693" s="3" t="s">
        <v>456</v>
      </c>
      <c r="F693" s="3">
        <v>8203</v>
      </c>
      <c r="G693" s="3" t="s">
        <v>394</v>
      </c>
      <c r="H693" s="3" t="s">
        <v>38</v>
      </c>
      <c r="I693" s="3">
        <v>5404528</v>
      </c>
      <c r="J693" s="3">
        <v>4556223</v>
      </c>
      <c r="K693" s="3">
        <v>848305</v>
      </c>
      <c r="L693" s="3">
        <v>1273300</v>
      </c>
      <c r="M693" s="3">
        <v>1108300</v>
      </c>
      <c r="N693" s="3">
        <v>145100</v>
      </c>
    </row>
    <row r="694" spans="1:14" ht="14.4">
      <c r="A694" s="3">
        <v>13367</v>
      </c>
      <c r="B694" s="3">
        <v>13368</v>
      </c>
      <c r="C694" s="3">
        <v>4086</v>
      </c>
      <c r="D694" s="3" t="s">
        <v>390</v>
      </c>
      <c r="E694" s="3" t="s">
        <v>456</v>
      </c>
      <c r="F694" s="3">
        <v>8302</v>
      </c>
      <c r="G694" s="3" t="s">
        <v>394</v>
      </c>
      <c r="H694" s="3" t="s">
        <v>38</v>
      </c>
      <c r="I694" s="3">
        <v>208651</v>
      </c>
      <c r="J694" s="3">
        <v>208651</v>
      </c>
      <c r="K694" s="3">
        <v>0</v>
      </c>
      <c r="L694" s="3">
        <v>253000</v>
      </c>
      <c r="M694" s="3">
        <v>253000</v>
      </c>
      <c r="N694" s="3">
        <v>0</v>
      </c>
    </row>
    <row r="695" spans="1:14" ht="14.4">
      <c r="A695" s="3">
        <v>13367</v>
      </c>
      <c r="B695" s="3">
        <v>13368</v>
      </c>
      <c r="C695" s="3">
        <v>4086</v>
      </c>
      <c r="D695" s="3" t="s">
        <v>390</v>
      </c>
      <c r="E695" s="3" t="s">
        <v>456</v>
      </c>
      <c r="F695" s="3">
        <v>8406</v>
      </c>
      <c r="G695" s="3" t="s">
        <v>394</v>
      </c>
      <c r="H695" s="3" t="s">
        <v>38</v>
      </c>
      <c r="I695" s="3">
        <v>182421</v>
      </c>
      <c r="J695" s="3">
        <v>129611</v>
      </c>
      <c r="K695" s="3">
        <v>52810</v>
      </c>
      <c r="L695" s="3">
        <v>0</v>
      </c>
      <c r="M695" s="3">
        <v>0</v>
      </c>
      <c r="N695" s="3">
        <v>0</v>
      </c>
    </row>
    <row r="696" spans="1:14" ht="14.4">
      <c r="A696" s="3">
        <v>13367</v>
      </c>
      <c r="B696" s="3">
        <v>13368</v>
      </c>
      <c r="C696" s="3">
        <v>4086</v>
      </c>
      <c r="D696" s="3" t="s">
        <v>390</v>
      </c>
      <c r="E696" s="3" t="s">
        <v>457</v>
      </c>
      <c r="F696" s="3">
        <v>8008</v>
      </c>
      <c r="G696" s="3" t="s">
        <v>402</v>
      </c>
      <c r="H696" s="3" t="s">
        <v>38</v>
      </c>
      <c r="I696" s="3">
        <v>191238</v>
      </c>
      <c r="J696" s="3">
        <v>161238</v>
      </c>
      <c r="K696" s="3">
        <v>30000</v>
      </c>
      <c r="L696" s="3">
        <v>20000</v>
      </c>
      <c r="M696" s="3">
        <v>0</v>
      </c>
      <c r="N696" s="3">
        <v>20000</v>
      </c>
    </row>
    <row r="697" spans="1:14" ht="14.4">
      <c r="A697" s="3">
        <v>13367</v>
      </c>
      <c r="B697" s="3">
        <v>13368</v>
      </c>
      <c r="C697" s="3">
        <v>4086</v>
      </c>
      <c r="D697" s="3" t="s">
        <v>390</v>
      </c>
      <c r="E697" s="3" t="s">
        <v>458</v>
      </c>
      <c r="F697" s="3">
        <v>8008</v>
      </c>
      <c r="G697" s="3" t="s">
        <v>402</v>
      </c>
      <c r="H697" s="3" t="s">
        <v>38</v>
      </c>
      <c r="I697" s="3">
        <v>90429</v>
      </c>
      <c r="J697" s="3">
        <v>76479</v>
      </c>
      <c r="K697" s="3">
        <v>13950</v>
      </c>
      <c r="L697" s="3">
        <v>0</v>
      </c>
      <c r="M697" s="3">
        <v>0</v>
      </c>
      <c r="N697" s="3">
        <v>0</v>
      </c>
    </row>
    <row r="698" spans="1:14" ht="14.4">
      <c r="A698" s="3">
        <v>13367</v>
      </c>
      <c r="B698" s="3">
        <v>13368</v>
      </c>
      <c r="C698" s="3">
        <v>4086</v>
      </c>
      <c r="D698" s="3" t="s">
        <v>390</v>
      </c>
      <c r="E698" s="3" t="s">
        <v>459</v>
      </c>
      <c r="F698" s="3">
        <v>8203</v>
      </c>
      <c r="G698" s="3" t="s">
        <v>394</v>
      </c>
      <c r="H698" s="3" t="s">
        <v>38</v>
      </c>
      <c r="I698" s="3">
        <v>32838</v>
      </c>
      <c r="J698" s="3">
        <v>31763</v>
      </c>
      <c r="K698" s="3">
        <v>1075</v>
      </c>
      <c r="L698" s="3">
        <v>0</v>
      </c>
      <c r="M698" s="3">
        <v>0</v>
      </c>
      <c r="N698" s="3">
        <v>0</v>
      </c>
    </row>
    <row r="699" spans="1:14" ht="14.4">
      <c r="A699" s="3">
        <v>13367</v>
      </c>
      <c r="B699" s="3">
        <v>13368</v>
      </c>
      <c r="C699" s="3">
        <v>4086</v>
      </c>
      <c r="D699" s="3" t="s">
        <v>390</v>
      </c>
      <c r="E699" s="3" t="s">
        <v>61</v>
      </c>
      <c r="F699" s="3">
        <v>10940</v>
      </c>
      <c r="G699" s="3" t="s">
        <v>61</v>
      </c>
      <c r="H699" s="3" t="s">
        <v>21</v>
      </c>
      <c r="I699" s="3">
        <v>0</v>
      </c>
      <c r="J699" s="3">
        <v>0</v>
      </c>
      <c r="K699" s="3">
        <v>0</v>
      </c>
      <c r="L699" s="3">
        <v>4700</v>
      </c>
      <c r="M699" s="3">
        <v>0</v>
      </c>
      <c r="N699" s="3">
        <v>0</v>
      </c>
    </row>
    <row r="700" spans="1:14" ht="14.4">
      <c r="A700" s="3">
        <v>13367</v>
      </c>
      <c r="B700" s="3">
        <v>13368</v>
      </c>
      <c r="C700" s="3">
        <v>4086</v>
      </c>
      <c r="D700" s="3" t="s">
        <v>390</v>
      </c>
      <c r="E700" s="3" t="s">
        <v>460</v>
      </c>
      <c r="F700" s="3">
        <v>7828</v>
      </c>
      <c r="G700" s="3" t="s">
        <v>441</v>
      </c>
      <c r="H700" s="3" t="s">
        <v>38</v>
      </c>
      <c r="I700" s="3">
        <v>9525</v>
      </c>
      <c r="J700" s="3">
        <v>0</v>
      </c>
      <c r="K700" s="3">
        <v>9525</v>
      </c>
      <c r="L700" s="3">
        <v>22200</v>
      </c>
      <c r="M700" s="3">
        <v>0</v>
      </c>
      <c r="N700" s="3">
        <v>0</v>
      </c>
    </row>
    <row r="701" spans="1:14" ht="14.4">
      <c r="A701" s="3">
        <v>13367</v>
      </c>
      <c r="B701" s="3">
        <v>13368</v>
      </c>
      <c r="C701" s="3">
        <v>4086</v>
      </c>
      <c r="D701" s="3" t="s">
        <v>390</v>
      </c>
      <c r="E701" s="3" t="s">
        <v>461</v>
      </c>
      <c r="F701" s="3">
        <v>7821</v>
      </c>
      <c r="G701" s="3" t="s">
        <v>462</v>
      </c>
      <c r="H701" s="3" t="s">
        <v>38</v>
      </c>
      <c r="I701" s="3">
        <v>44114</v>
      </c>
      <c r="J701" s="3">
        <v>42914</v>
      </c>
      <c r="K701" s="3">
        <v>1200</v>
      </c>
      <c r="L701" s="3">
        <v>49900</v>
      </c>
      <c r="M701" s="3">
        <v>43000</v>
      </c>
      <c r="N701" s="3">
        <v>1200</v>
      </c>
    </row>
    <row r="702" spans="1:14" ht="14.4">
      <c r="A702" s="3">
        <v>13367</v>
      </c>
      <c r="B702" s="3">
        <v>13368</v>
      </c>
      <c r="C702" s="3">
        <v>4086</v>
      </c>
      <c r="D702" s="3" t="s">
        <v>390</v>
      </c>
      <c r="E702" s="3" t="s">
        <v>463</v>
      </c>
      <c r="F702" s="3">
        <v>7830</v>
      </c>
      <c r="G702" s="3" t="s">
        <v>464</v>
      </c>
      <c r="H702" s="3" t="s">
        <v>38</v>
      </c>
      <c r="I702" s="3">
        <v>134527</v>
      </c>
      <c r="J702" s="3">
        <v>134527</v>
      </c>
      <c r="K702" s="3">
        <v>0</v>
      </c>
      <c r="L702" s="3">
        <v>69900</v>
      </c>
      <c r="M702" s="3">
        <v>69900</v>
      </c>
      <c r="N702" s="3">
        <v>0</v>
      </c>
    </row>
    <row r="703" spans="1:14" ht="14.4">
      <c r="A703" s="3">
        <v>13367</v>
      </c>
      <c r="B703" s="3">
        <v>13368</v>
      </c>
      <c r="C703" s="3">
        <v>4086</v>
      </c>
      <c r="D703" s="3" t="s">
        <v>390</v>
      </c>
      <c r="E703" s="3" t="s">
        <v>465</v>
      </c>
      <c r="F703" s="3">
        <v>8104</v>
      </c>
      <c r="G703" s="3" t="s">
        <v>465</v>
      </c>
      <c r="H703" s="3" t="s">
        <v>38</v>
      </c>
      <c r="I703" s="3">
        <v>600</v>
      </c>
      <c r="J703" s="3">
        <v>0</v>
      </c>
      <c r="K703" s="3">
        <v>600</v>
      </c>
      <c r="L703" s="3">
        <v>0</v>
      </c>
      <c r="M703" s="3">
        <v>0</v>
      </c>
      <c r="N703" s="3">
        <v>0</v>
      </c>
    </row>
    <row r="704" spans="1:14" ht="14.4">
      <c r="A704" s="3">
        <v>13367</v>
      </c>
      <c r="B704" s="3">
        <v>13368</v>
      </c>
      <c r="C704" s="3">
        <v>4086</v>
      </c>
      <c r="D704" s="3" t="s">
        <v>390</v>
      </c>
      <c r="E704" s="3" t="s">
        <v>404</v>
      </c>
      <c r="F704" s="3">
        <v>8204</v>
      </c>
      <c r="G704" s="3" t="s">
        <v>404</v>
      </c>
      <c r="H704" s="3" t="s">
        <v>38</v>
      </c>
      <c r="I704" s="3">
        <v>958171</v>
      </c>
      <c r="J704" s="3">
        <v>896113</v>
      </c>
      <c r="K704" s="3">
        <v>62058</v>
      </c>
      <c r="L704" s="3">
        <v>264900</v>
      </c>
      <c r="M704" s="3">
        <v>61500</v>
      </c>
      <c r="N704" s="3">
        <v>13300</v>
      </c>
    </row>
    <row r="705" spans="1:14" ht="14.4">
      <c r="A705" s="3">
        <v>13367</v>
      </c>
      <c r="B705" s="3">
        <v>13368</v>
      </c>
      <c r="C705" s="3">
        <v>4086</v>
      </c>
      <c r="D705" s="3" t="s">
        <v>390</v>
      </c>
      <c r="E705" s="3" t="s">
        <v>404</v>
      </c>
      <c r="F705" s="3">
        <v>8230</v>
      </c>
      <c r="G705" s="3" t="s">
        <v>404</v>
      </c>
      <c r="H705" s="3" t="s">
        <v>38</v>
      </c>
      <c r="I705" s="3">
        <v>93582</v>
      </c>
      <c r="J705" s="3">
        <v>0</v>
      </c>
      <c r="K705" s="3">
        <v>93582</v>
      </c>
      <c r="L705" s="3">
        <v>127900</v>
      </c>
      <c r="M705" s="3">
        <v>0</v>
      </c>
      <c r="N705" s="3">
        <v>93600</v>
      </c>
    </row>
    <row r="706" spans="1:14" ht="14.4">
      <c r="A706" s="3">
        <v>13367</v>
      </c>
      <c r="B706" s="3">
        <v>13368</v>
      </c>
      <c r="C706" s="3">
        <v>4086</v>
      </c>
      <c r="D706" s="3" t="s">
        <v>390</v>
      </c>
      <c r="E706" s="3" t="s">
        <v>466</v>
      </c>
      <c r="F706" s="3">
        <v>8210</v>
      </c>
      <c r="G706" s="3" t="s">
        <v>404</v>
      </c>
      <c r="H706" s="3" t="s">
        <v>38</v>
      </c>
      <c r="I706" s="3">
        <v>142500</v>
      </c>
      <c r="J706" s="3">
        <v>142500</v>
      </c>
      <c r="K706" s="3">
        <v>0</v>
      </c>
      <c r="L706" s="3">
        <v>0</v>
      </c>
      <c r="M706" s="3">
        <v>0</v>
      </c>
      <c r="N706" s="3">
        <v>0</v>
      </c>
    </row>
    <row r="707" spans="1:14" ht="14.4">
      <c r="A707" s="3">
        <v>13367</v>
      </c>
      <c r="B707" s="3">
        <v>13368</v>
      </c>
      <c r="C707" s="3">
        <v>4086</v>
      </c>
      <c r="D707" s="3" t="s">
        <v>390</v>
      </c>
      <c r="E707" s="3" t="s">
        <v>467</v>
      </c>
      <c r="F707" s="3">
        <v>8212</v>
      </c>
      <c r="G707" s="3" t="s">
        <v>404</v>
      </c>
      <c r="H707" s="3" t="s">
        <v>38</v>
      </c>
      <c r="I707" s="3">
        <v>21187</v>
      </c>
      <c r="J707" s="3">
        <v>21187</v>
      </c>
      <c r="K707" s="3">
        <v>0</v>
      </c>
      <c r="L707" s="3">
        <v>0</v>
      </c>
      <c r="M707" s="3">
        <v>0</v>
      </c>
      <c r="N707" s="3">
        <v>0</v>
      </c>
    </row>
    <row r="708" spans="1:14" ht="14.4">
      <c r="A708" s="3">
        <v>13367</v>
      </c>
      <c r="B708" s="3">
        <v>13368</v>
      </c>
      <c r="C708" s="3">
        <v>4086</v>
      </c>
      <c r="D708" s="3" t="s">
        <v>390</v>
      </c>
      <c r="E708" s="3" t="s">
        <v>75</v>
      </c>
      <c r="F708" s="3">
        <v>7072</v>
      </c>
      <c r="G708" s="3" t="s">
        <v>76</v>
      </c>
      <c r="H708" s="3" t="s">
        <v>38</v>
      </c>
      <c r="I708" s="3">
        <v>18816248</v>
      </c>
      <c r="J708" s="3">
        <v>2262647</v>
      </c>
      <c r="K708" s="3">
        <v>16553601</v>
      </c>
      <c r="L708" s="3">
        <v>5916700</v>
      </c>
      <c r="M708" s="3">
        <v>503900</v>
      </c>
      <c r="N708" s="3">
        <v>4638000</v>
      </c>
    </row>
    <row r="709" spans="1:14" ht="14.4">
      <c r="A709" s="3">
        <v>13367</v>
      </c>
      <c r="B709" s="3">
        <v>13368</v>
      </c>
      <c r="C709" s="3">
        <v>4086</v>
      </c>
      <c r="D709" s="3" t="s">
        <v>390</v>
      </c>
      <c r="E709" s="3" t="s">
        <v>75</v>
      </c>
      <c r="F709" s="3">
        <v>7644</v>
      </c>
      <c r="G709" s="3" t="s">
        <v>76</v>
      </c>
      <c r="H709" s="3" t="s">
        <v>38</v>
      </c>
      <c r="I709" s="3">
        <v>241842</v>
      </c>
      <c r="J709" s="3">
        <v>224892</v>
      </c>
      <c r="K709" s="3">
        <v>16950</v>
      </c>
      <c r="L709" s="3">
        <v>0</v>
      </c>
      <c r="M709" s="3">
        <v>0</v>
      </c>
      <c r="N709" s="3">
        <v>0</v>
      </c>
    </row>
    <row r="710" spans="1:14" ht="14.4">
      <c r="A710" s="3">
        <v>13367</v>
      </c>
      <c r="B710" s="3">
        <v>13368</v>
      </c>
      <c r="C710" s="3">
        <v>4086</v>
      </c>
      <c r="D710" s="3" t="s">
        <v>390</v>
      </c>
      <c r="E710" s="3" t="s">
        <v>468</v>
      </c>
      <c r="F710" s="3">
        <v>7008</v>
      </c>
      <c r="G710" s="3" t="s">
        <v>406</v>
      </c>
      <c r="H710" s="3" t="s">
        <v>38</v>
      </c>
      <c r="I710" s="3">
        <v>213943</v>
      </c>
      <c r="J710" s="3">
        <v>180032</v>
      </c>
      <c r="K710" s="3">
        <v>33911</v>
      </c>
      <c r="L710" s="3">
        <v>14600</v>
      </c>
      <c r="M710" s="3">
        <v>0</v>
      </c>
      <c r="N710" s="3">
        <v>2000</v>
      </c>
    </row>
    <row r="711" spans="1:14" ht="14.4">
      <c r="A711" s="3">
        <v>13367</v>
      </c>
      <c r="B711" s="3">
        <v>13368</v>
      </c>
      <c r="C711" s="3">
        <v>4086</v>
      </c>
      <c r="D711" s="3" t="s">
        <v>390</v>
      </c>
      <c r="E711" s="3" t="s">
        <v>469</v>
      </c>
      <c r="F711" s="3">
        <v>8092</v>
      </c>
      <c r="G711" s="3" t="s">
        <v>402</v>
      </c>
      <c r="H711" s="3" t="s">
        <v>38</v>
      </c>
      <c r="I711" s="3">
        <v>58258</v>
      </c>
      <c r="J711" s="3">
        <v>17112</v>
      </c>
      <c r="K711" s="3">
        <v>41146</v>
      </c>
      <c r="L711" s="3">
        <v>18100</v>
      </c>
      <c r="M711" s="3">
        <v>17200</v>
      </c>
      <c r="N711" s="3">
        <v>900</v>
      </c>
    </row>
    <row r="712" spans="1:14" ht="14.4">
      <c r="A712" s="3">
        <v>13367</v>
      </c>
      <c r="B712" s="3">
        <v>13368</v>
      </c>
      <c r="C712" s="3">
        <v>4086</v>
      </c>
      <c r="D712" s="3" t="s">
        <v>390</v>
      </c>
      <c r="E712" s="3" t="s">
        <v>470</v>
      </c>
      <c r="F712" s="3">
        <v>8311</v>
      </c>
      <c r="G712" s="3" t="s">
        <v>452</v>
      </c>
      <c r="H712" s="3" t="s">
        <v>38</v>
      </c>
      <c r="I712" s="3">
        <v>46284</v>
      </c>
      <c r="J712" s="3">
        <v>46284</v>
      </c>
      <c r="K712" s="3">
        <v>0</v>
      </c>
      <c r="L712" s="3">
        <v>0</v>
      </c>
      <c r="M712" s="3">
        <v>0</v>
      </c>
      <c r="N712" s="3">
        <v>0</v>
      </c>
    </row>
    <row r="713" spans="1:14" ht="14.4">
      <c r="A713" s="3">
        <v>13367</v>
      </c>
      <c r="B713" s="3">
        <v>13368</v>
      </c>
      <c r="C713" s="3">
        <v>4086</v>
      </c>
      <c r="D713" s="3" t="s">
        <v>390</v>
      </c>
      <c r="E713" s="3" t="s">
        <v>471</v>
      </c>
      <c r="F713" s="3">
        <v>8735</v>
      </c>
      <c r="G713" s="3" t="s">
        <v>402</v>
      </c>
      <c r="H713" s="3" t="s">
        <v>38</v>
      </c>
      <c r="I713" s="3">
        <v>45696</v>
      </c>
      <c r="J713" s="3">
        <v>42446</v>
      </c>
      <c r="K713" s="3">
        <v>3250</v>
      </c>
      <c r="L713" s="3">
        <v>0</v>
      </c>
      <c r="M713" s="3">
        <v>0</v>
      </c>
      <c r="N713" s="3">
        <v>0</v>
      </c>
    </row>
    <row r="714" spans="1:14" ht="14.4">
      <c r="A714" s="3">
        <v>13367</v>
      </c>
      <c r="B714" s="3">
        <v>13368</v>
      </c>
      <c r="C714" s="3">
        <v>4086</v>
      </c>
      <c r="D714" s="3" t="s">
        <v>390</v>
      </c>
      <c r="E714" s="3" t="s">
        <v>472</v>
      </c>
      <c r="F714" s="3">
        <v>7928</v>
      </c>
      <c r="G714" s="3" t="s">
        <v>76</v>
      </c>
      <c r="H714" s="3" t="s">
        <v>38</v>
      </c>
      <c r="I714" s="3">
        <v>3000</v>
      </c>
      <c r="J714" s="3">
        <v>0</v>
      </c>
      <c r="K714" s="3">
        <v>3000</v>
      </c>
      <c r="L714" s="3">
        <v>5000</v>
      </c>
      <c r="M714" s="3">
        <v>0</v>
      </c>
      <c r="N714" s="3">
        <v>3000</v>
      </c>
    </row>
    <row r="715" spans="1:14" ht="14.4">
      <c r="A715" s="3">
        <v>13367</v>
      </c>
      <c r="B715" s="3">
        <v>13368</v>
      </c>
      <c r="C715" s="3">
        <v>4086</v>
      </c>
      <c r="D715" s="3" t="s">
        <v>390</v>
      </c>
      <c r="E715" s="3" t="s">
        <v>473</v>
      </c>
      <c r="F715" s="3">
        <v>7930</v>
      </c>
      <c r="G715" s="3" t="s">
        <v>441</v>
      </c>
      <c r="H715" s="3" t="s">
        <v>38</v>
      </c>
      <c r="I715" s="3">
        <v>35398</v>
      </c>
      <c r="J715" s="3">
        <v>1198</v>
      </c>
      <c r="K715" s="3">
        <v>34200</v>
      </c>
      <c r="L715" s="3">
        <v>99600</v>
      </c>
      <c r="M715" s="3">
        <v>0</v>
      </c>
      <c r="N715" s="3">
        <v>0</v>
      </c>
    </row>
    <row r="716" spans="1:14" ht="14.4">
      <c r="A716" s="3">
        <v>13367</v>
      </c>
      <c r="B716" s="3">
        <v>13368</v>
      </c>
      <c r="C716" s="3">
        <v>4086</v>
      </c>
      <c r="D716" s="3" t="s">
        <v>390</v>
      </c>
      <c r="E716" s="3" t="s">
        <v>474</v>
      </c>
      <c r="F716" s="3">
        <v>7010</v>
      </c>
      <c r="G716" s="3" t="s">
        <v>76</v>
      </c>
      <c r="H716" s="3" t="s">
        <v>38</v>
      </c>
      <c r="I716" s="3">
        <v>65000</v>
      </c>
      <c r="J716" s="3">
        <v>0</v>
      </c>
      <c r="K716" s="3">
        <v>65000</v>
      </c>
      <c r="L716" s="3">
        <v>68300</v>
      </c>
      <c r="M716" s="3">
        <v>0</v>
      </c>
      <c r="N716" s="3">
        <v>47800</v>
      </c>
    </row>
    <row r="717" spans="1:14" ht="14.4">
      <c r="A717" s="3">
        <v>13367</v>
      </c>
      <c r="B717" s="3">
        <v>13368</v>
      </c>
      <c r="C717" s="3">
        <v>4086</v>
      </c>
      <c r="D717" s="3" t="s">
        <v>390</v>
      </c>
      <c r="E717" s="3" t="s">
        <v>475</v>
      </c>
      <c r="F717" s="3">
        <v>7721</v>
      </c>
      <c r="G717" s="3" t="s">
        <v>392</v>
      </c>
      <c r="H717" s="3" t="s">
        <v>38</v>
      </c>
      <c r="I717" s="3">
        <v>18133</v>
      </c>
      <c r="J717" s="3">
        <v>0</v>
      </c>
      <c r="K717" s="3">
        <v>18133</v>
      </c>
      <c r="L717" s="3">
        <v>0</v>
      </c>
      <c r="M717" s="3">
        <v>0</v>
      </c>
      <c r="N717" s="3">
        <v>0</v>
      </c>
    </row>
    <row r="718" spans="1:14" ht="14.4">
      <c r="A718" s="3">
        <v>13367</v>
      </c>
      <c r="B718" s="3">
        <v>13368</v>
      </c>
      <c r="C718" s="3">
        <v>4086</v>
      </c>
      <c r="D718" s="3" t="s">
        <v>390</v>
      </c>
      <c r="E718" s="3" t="s">
        <v>476</v>
      </c>
      <c r="F718" s="3">
        <v>7735</v>
      </c>
      <c r="G718" s="3" t="s">
        <v>392</v>
      </c>
      <c r="H718" s="3" t="s">
        <v>38</v>
      </c>
      <c r="I718" s="3">
        <v>0</v>
      </c>
      <c r="J718" s="3">
        <v>0</v>
      </c>
      <c r="K718" s="3">
        <v>0</v>
      </c>
      <c r="L718" s="3">
        <v>19700</v>
      </c>
      <c r="M718" s="3">
        <v>0</v>
      </c>
      <c r="N718" s="3">
        <v>0</v>
      </c>
    </row>
    <row r="719" spans="1:14" ht="14.4">
      <c r="A719" s="3">
        <v>13367</v>
      </c>
      <c r="B719" s="3">
        <v>13368</v>
      </c>
      <c r="C719" s="3">
        <v>4086</v>
      </c>
      <c r="D719" s="3" t="s">
        <v>390</v>
      </c>
      <c r="E719" s="3" t="s">
        <v>477</v>
      </c>
      <c r="F719" s="3">
        <v>7012</v>
      </c>
      <c r="G719" s="3" t="s">
        <v>429</v>
      </c>
      <c r="H719" s="3" t="s">
        <v>38</v>
      </c>
      <c r="I719" s="3">
        <v>0</v>
      </c>
      <c r="J719" s="3">
        <v>0</v>
      </c>
      <c r="K719" s="3">
        <v>0</v>
      </c>
      <c r="L719" s="3">
        <v>24600</v>
      </c>
      <c r="M719" s="3">
        <v>0</v>
      </c>
      <c r="N719" s="3">
        <v>0</v>
      </c>
    </row>
    <row r="720" spans="1:14" ht="14.4">
      <c r="A720" s="3">
        <v>13367</v>
      </c>
      <c r="B720" s="3">
        <v>13368</v>
      </c>
      <c r="C720" s="3">
        <v>4086</v>
      </c>
      <c r="D720" s="3" t="s">
        <v>390</v>
      </c>
      <c r="E720" s="3" t="s">
        <v>477</v>
      </c>
      <c r="F720" s="3">
        <v>7014</v>
      </c>
      <c r="G720" s="3" t="s">
        <v>429</v>
      </c>
      <c r="H720" s="3" t="s">
        <v>38</v>
      </c>
      <c r="I720" s="3">
        <v>207450</v>
      </c>
      <c r="J720" s="3">
        <v>0</v>
      </c>
      <c r="K720" s="3">
        <v>207450</v>
      </c>
      <c r="L720" s="3">
        <v>0</v>
      </c>
      <c r="M720" s="3">
        <v>0</v>
      </c>
      <c r="N720" s="3">
        <v>0</v>
      </c>
    </row>
    <row r="721" spans="1:14" ht="14.4">
      <c r="A721" s="3">
        <v>13367</v>
      </c>
      <c r="B721" s="3">
        <v>13368</v>
      </c>
      <c r="C721" s="3">
        <v>4086</v>
      </c>
      <c r="D721" s="3" t="s">
        <v>390</v>
      </c>
      <c r="E721" s="3" t="s">
        <v>478</v>
      </c>
      <c r="F721" s="3">
        <v>8809</v>
      </c>
      <c r="G721" s="3" t="s">
        <v>464</v>
      </c>
      <c r="H721" s="3" t="s">
        <v>38</v>
      </c>
      <c r="I721" s="3">
        <v>221558</v>
      </c>
      <c r="J721" s="3">
        <v>179918</v>
      </c>
      <c r="K721" s="3">
        <v>41640</v>
      </c>
      <c r="L721" s="3">
        <v>0</v>
      </c>
      <c r="M721" s="3">
        <v>0</v>
      </c>
      <c r="N721" s="3">
        <v>0</v>
      </c>
    </row>
    <row r="722" spans="1:14" ht="14.4">
      <c r="A722" s="3">
        <v>13367</v>
      </c>
      <c r="B722" s="3">
        <v>13368</v>
      </c>
      <c r="C722" s="3">
        <v>4086</v>
      </c>
      <c r="D722" s="3" t="s">
        <v>390</v>
      </c>
      <c r="E722" s="3" t="s">
        <v>479</v>
      </c>
      <c r="F722" s="3">
        <v>7624</v>
      </c>
      <c r="G722" s="3" t="s">
        <v>76</v>
      </c>
      <c r="H722" s="3" t="s">
        <v>38</v>
      </c>
      <c r="I722" s="3">
        <v>14119</v>
      </c>
      <c r="J722" s="3">
        <v>14119</v>
      </c>
      <c r="K722" s="3">
        <v>0</v>
      </c>
      <c r="L722" s="3">
        <v>11700</v>
      </c>
      <c r="M722" s="3">
        <v>11700</v>
      </c>
      <c r="N722" s="3">
        <v>0</v>
      </c>
    </row>
    <row r="723" spans="1:14" ht="14.4">
      <c r="A723" s="3">
        <v>13367</v>
      </c>
      <c r="B723" s="3">
        <v>13368</v>
      </c>
      <c r="C723" s="3">
        <v>4086</v>
      </c>
      <c r="D723" s="3" t="s">
        <v>390</v>
      </c>
      <c r="E723" s="3" t="s">
        <v>480</v>
      </c>
      <c r="F723" s="3">
        <v>7067</v>
      </c>
      <c r="G723" s="3" t="s">
        <v>406</v>
      </c>
      <c r="H723" s="3" t="s">
        <v>38</v>
      </c>
      <c r="I723" s="3">
        <v>150</v>
      </c>
      <c r="J723" s="3">
        <v>0</v>
      </c>
      <c r="K723" s="3">
        <v>150</v>
      </c>
      <c r="L723" s="3">
        <v>0</v>
      </c>
      <c r="M723" s="3">
        <v>0</v>
      </c>
      <c r="N723" s="3">
        <v>0</v>
      </c>
    </row>
    <row r="724" spans="1:14" ht="14.4">
      <c r="A724" s="3">
        <v>13367</v>
      </c>
      <c r="B724" s="3">
        <v>13368</v>
      </c>
      <c r="C724" s="3">
        <v>4086</v>
      </c>
      <c r="D724" s="3" t="s">
        <v>390</v>
      </c>
      <c r="E724" s="3" t="s">
        <v>481</v>
      </c>
      <c r="F724" s="3">
        <v>7722</v>
      </c>
      <c r="G724" s="3" t="s">
        <v>392</v>
      </c>
      <c r="H724" s="3" t="s">
        <v>38</v>
      </c>
      <c r="I724" s="3">
        <v>20954</v>
      </c>
      <c r="J724" s="3">
        <v>20954</v>
      </c>
      <c r="K724" s="3">
        <v>0</v>
      </c>
      <c r="L724" s="3">
        <v>136900</v>
      </c>
      <c r="M724" s="3">
        <v>2400</v>
      </c>
      <c r="N724" s="3">
        <v>0</v>
      </c>
    </row>
    <row r="725" spans="1:14" ht="14.4">
      <c r="A725" s="3">
        <v>13367</v>
      </c>
      <c r="B725" s="3">
        <v>13368</v>
      </c>
      <c r="C725" s="3">
        <v>4086</v>
      </c>
      <c r="D725" s="3" t="s">
        <v>390</v>
      </c>
      <c r="E725" s="3" t="s">
        <v>482</v>
      </c>
      <c r="F725" s="3">
        <v>7016</v>
      </c>
      <c r="G725" s="3" t="s">
        <v>435</v>
      </c>
      <c r="H725" s="3" t="s">
        <v>38</v>
      </c>
      <c r="I725" s="3">
        <v>8000</v>
      </c>
      <c r="J725" s="3">
        <v>0</v>
      </c>
      <c r="K725" s="3">
        <v>8000</v>
      </c>
      <c r="L725" s="3">
        <v>29400</v>
      </c>
      <c r="M725" s="3">
        <v>0</v>
      </c>
      <c r="N725" s="3">
        <v>0</v>
      </c>
    </row>
    <row r="726" spans="1:14" ht="14.4">
      <c r="A726" s="3">
        <v>13367</v>
      </c>
      <c r="B726" s="3">
        <v>13368</v>
      </c>
      <c r="C726" s="3">
        <v>4086</v>
      </c>
      <c r="D726" s="3" t="s">
        <v>390</v>
      </c>
      <c r="E726" s="3" t="s">
        <v>483</v>
      </c>
      <c r="F726" s="3">
        <v>7723</v>
      </c>
      <c r="G726" s="3" t="s">
        <v>392</v>
      </c>
      <c r="H726" s="3" t="s">
        <v>38</v>
      </c>
      <c r="I726" s="3">
        <v>1841103</v>
      </c>
      <c r="J726" s="3">
        <v>1841103</v>
      </c>
      <c r="K726" s="3">
        <v>0</v>
      </c>
      <c r="L726" s="3">
        <v>817900</v>
      </c>
      <c r="M726" s="3">
        <v>817900</v>
      </c>
      <c r="N726" s="3">
        <v>0</v>
      </c>
    </row>
    <row r="727" spans="1:14" ht="14.4">
      <c r="A727" s="3">
        <v>13367</v>
      </c>
      <c r="B727" s="3">
        <v>13368</v>
      </c>
      <c r="C727" s="3">
        <v>4086</v>
      </c>
      <c r="D727" s="3" t="s">
        <v>390</v>
      </c>
      <c r="E727" s="3" t="s">
        <v>484</v>
      </c>
      <c r="F727" s="3">
        <v>8251</v>
      </c>
      <c r="G727" s="3" t="s">
        <v>404</v>
      </c>
      <c r="H727" s="3" t="s">
        <v>38</v>
      </c>
      <c r="I727" s="3">
        <v>39976</v>
      </c>
      <c r="J727" s="3">
        <v>39976</v>
      </c>
      <c r="K727" s="3">
        <v>0</v>
      </c>
      <c r="L727" s="3">
        <v>0</v>
      </c>
      <c r="M727" s="3">
        <v>0</v>
      </c>
      <c r="N727" s="3">
        <v>0</v>
      </c>
    </row>
    <row r="728" spans="1:14" ht="14.4">
      <c r="A728" s="3">
        <v>13367</v>
      </c>
      <c r="B728" s="3">
        <v>13368</v>
      </c>
      <c r="C728" s="3">
        <v>4086</v>
      </c>
      <c r="D728" s="3" t="s">
        <v>390</v>
      </c>
      <c r="E728" s="3" t="s">
        <v>485</v>
      </c>
      <c r="F728" s="3">
        <v>8075</v>
      </c>
      <c r="G728" s="3" t="s">
        <v>443</v>
      </c>
      <c r="H728" s="3" t="s">
        <v>38</v>
      </c>
      <c r="I728" s="3">
        <v>238688</v>
      </c>
      <c r="J728" s="3">
        <v>238688</v>
      </c>
      <c r="K728" s="3">
        <v>0</v>
      </c>
      <c r="L728" s="3">
        <v>0</v>
      </c>
      <c r="M728" s="3">
        <v>0</v>
      </c>
      <c r="N728" s="3">
        <v>0</v>
      </c>
    </row>
    <row r="729" spans="1:14" ht="14.4">
      <c r="A729" s="3">
        <v>13367</v>
      </c>
      <c r="B729" s="3">
        <v>13368</v>
      </c>
      <c r="C729" s="3">
        <v>4086</v>
      </c>
      <c r="D729" s="3" t="s">
        <v>390</v>
      </c>
      <c r="E729" s="3" t="s">
        <v>486</v>
      </c>
      <c r="F729" s="3">
        <v>7833</v>
      </c>
      <c r="G729" s="3" t="s">
        <v>398</v>
      </c>
      <c r="H729" s="3" t="s">
        <v>38</v>
      </c>
      <c r="I729" s="3">
        <v>19670</v>
      </c>
      <c r="J729" s="3">
        <v>12768</v>
      </c>
      <c r="K729" s="3">
        <v>6902</v>
      </c>
      <c r="L729" s="3">
        <v>0</v>
      </c>
      <c r="M729" s="3">
        <v>0</v>
      </c>
      <c r="N729" s="3">
        <v>0</v>
      </c>
    </row>
    <row r="730" spans="1:14" ht="14.4">
      <c r="A730" s="3">
        <v>13367</v>
      </c>
      <c r="B730" s="3">
        <v>13368</v>
      </c>
      <c r="C730" s="3">
        <v>4086</v>
      </c>
      <c r="D730" s="3" t="s">
        <v>390</v>
      </c>
      <c r="E730" s="3" t="s">
        <v>487</v>
      </c>
      <c r="F730" s="3">
        <v>8735</v>
      </c>
      <c r="G730" s="3" t="s">
        <v>402</v>
      </c>
      <c r="H730" s="3" t="s">
        <v>38</v>
      </c>
      <c r="I730" s="3">
        <v>32575</v>
      </c>
      <c r="J730" s="3">
        <v>24425</v>
      </c>
      <c r="K730" s="3">
        <v>8150</v>
      </c>
      <c r="L730" s="3">
        <v>32600</v>
      </c>
      <c r="M730" s="3">
        <v>24500</v>
      </c>
      <c r="N730" s="3">
        <v>8100</v>
      </c>
    </row>
    <row r="731" spans="1:14" ht="14.4">
      <c r="A731" s="3">
        <v>13367</v>
      </c>
      <c r="B731" s="3">
        <v>13368</v>
      </c>
      <c r="C731" s="3">
        <v>4086</v>
      </c>
      <c r="D731" s="3" t="s">
        <v>390</v>
      </c>
      <c r="E731" s="3" t="s">
        <v>488</v>
      </c>
      <c r="F731" s="3">
        <v>7628</v>
      </c>
      <c r="G731" s="3" t="s">
        <v>76</v>
      </c>
      <c r="H731" s="3" t="s">
        <v>38</v>
      </c>
      <c r="I731" s="3">
        <v>98369</v>
      </c>
      <c r="J731" s="3">
        <v>23361</v>
      </c>
      <c r="K731" s="3">
        <v>75008</v>
      </c>
      <c r="L731" s="3">
        <v>59300</v>
      </c>
      <c r="M731" s="3">
        <v>23400</v>
      </c>
      <c r="N731" s="3">
        <v>35900</v>
      </c>
    </row>
    <row r="732" spans="1:14" ht="14.4">
      <c r="A732" s="3">
        <v>13367</v>
      </c>
      <c r="B732" s="3">
        <v>13368</v>
      </c>
      <c r="C732" s="3">
        <v>4086</v>
      </c>
      <c r="D732" s="3" t="s">
        <v>390</v>
      </c>
      <c r="E732" s="3" t="s">
        <v>489</v>
      </c>
      <c r="F732" s="3">
        <v>8812</v>
      </c>
      <c r="G732" s="3" t="s">
        <v>406</v>
      </c>
      <c r="H732" s="3" t="s">
        <v>38</v>
      </c>
      <c r="I732" s="3">
        <v>121943</v>
      </c>
      <c r="J732" s="3">
        <v>82832</v>
      </c>
      <c r="K732" s="3">
        <v>39111</v>
      </c>
      <c r="L732" s="3">
        <v>34300</v>
      </c>
      <c r="M732" s="3">
        <v>34300</v>
      </c>
      <c r="N732" s="3">
        <v>0</v>
      </c>
    </row>
    <row r="733" spans="1:14" ht="14.4">
      <c r="A733" s="3">
        <v>13367</v>
      </c>
      <c r="B733" s="3">
        <v>13368</v>
      </c>
      <c r="C733" s="3">
        <v>4086</v>
      </c>
      <c r="D733" s="3" t="s">
        <v>390</v>
      </c>
      <c r="E733" s="3" t="s">
        <v>490</v>
      </c>
      <c r="F733" s="3">
        <v>8816</v>
      </c>
      <c r="G733" s="3" t="s">
        <v>406</v>
      </c>
      <c r="H733" s="3" t="s">
        <v>38</v>
      </c>
      <c r="I733" s="3">
        <v>554065</v>
      </c>
      <c r="J733" s="3">
        <v>85382</v>
      </c>
      <c r="K733" s="3">
        <v>468683</v>
      </c>
      <c r="L733" s="3">
        <v>509600</v>
      </c>
      <c r="M733" s="3">
        <v>85500</v>
      </c>
      <c r="N733" s="3">
        <v>73700</v>
      </c>
    </row>
    <row r="734" spans="1:14" ht="14.4">
      <c r="A734" s="3">
        <v>13367</v>
      </c>
      <c r="B734" s="3">
        <v>13368</v>
      </c>
      <c r="C734" s="3">
        <v>4086</v>
      </c>
      <c r="D734" s="3" t="s">
        <v>390</v>
      </c>
      <c r="E734" s="3" t="s">
        <v>491</v>
      </c>
      <c r="F734" s="3">
        <v>7936</v>
      </c>
      <c r="G734" s="3" t="s">
        <v>441</v>
      </c>
      <c r="H734" s="3" t="s">
        <v>38</v>
      </c>
      <c r="I734" s="3">
        <v>19377</v>
      </c>
      <c r="J734" s="3">
        <v>0</v>
      </c>
      <c r="K734" s="3">
        <v>19377</v>
      </c>
      <c r="L734" s="3">
        <v>0</v>
      </c>
      <c r="M734" s="3">
        <v>0</v>
      </c>
      <c r="N734" s="3">
        <v>0</v>
      </c>
    </row>
    <row r="735" spans="1:14" ht="14.4">
      <c r="A735" s="3">
        <v>13367</v>
      </c>
      <c r="B735" s="3">
        <v>13368</v>
      </c>
      <c r="C735" s="3">
        <v>4086</v>
      </c>
      <c r="D735" s="3" t="s">
        <v>390</v>
      </c>
      <c r="E735" s="3" t="s">
        <v>492</v>
      </c>
      <c r="F735" s="3">
        <v>7029</v>
      </c>
      <c r="G735" s="3" t="s">
        <v>37</v>
      </c>
      <c r="H735" s="3" t="s">
        <v>38</v>
      </c>
      <c r="I735" s="3">
        <v>27000</v>
      </c>
      <c r="J735" s="3">
        <v>0</v>
      </c>
      <c r="K735" s="3">
        <v>27000</v>
      </c>
      <c r="L735" s="3">
        <v>0</v>
      </c>
      <c r="M735" s="3">
        <v>0</v>
      </c>
      <c r="N735" s="3">
        <v>0</v>
      </c>
    </row>
    <row r="736" spans="1:14" ht="14.4">
      <c r="A736" s="3">
        <v>13367</v>
      </c>
      <c r="B736" s="3">
        <v>13368</v>
      </c>
      <c r="C736" s="3">
        <v>4086</v>
      </c>
      <c r="D736" s="3" t="s">
        <v>390</v>
      </c>
      <c r="E736" s="3" t="s">
        <v>493</v>
      </c>
      <c r="F736" s="3">
        <v>7017</v>
      </c>
      <c r="G736" s="3" t="s">
        <v>428</v>
      </c>
      <c r="H736" s="3" t="s">
        <v>38</v>
      </c>
      <c r="I736" s="3">
        <v>212762</v>
      </c>
      <c r="J736" s="3">
        <v>208748</v>
      </c>
      <c r="K736" s="3">
        <v>4014</v>
      </c>
      <c r="L736" s="3">
        <v>12900</v>
      </c>
      <c r="M736" s="3">
        <v>12900</v>
      </c>
      <c r="N736" s="3">
        <v>0</v>
      </c>
    </row>
    <row r="737" spans="1:14" ht="14.4">
      <c r="A737" s="3">
        <v>13367</v>
      </c>
      <c r="B737" s="3">
        <v>13368</v>
      </c>
      <c r="C737" s="3">
        <v>4086</v>
      </c>
      <c r="D737" s="3" t="s">
        <v>390</v>
      </c>
      <c r="E737" s="3" t="s">
        <v>493</v>
      </c>
      <c r="F737" s="3">
        <v>7018</v>
      </c>
      <c r="G737" s="3" t="s">
        <v>428</v>
      </c>
      <c r="H737" s="3" t="s">
        <v>38</v>
      </c>
      <c r="I737" s="3">
        <v>178861</v>
      </c>
      <c r="J737" s="3">
        <v>129561</v>
      </c>
      <c r="K737" s="3">
        <v>49300</v>
      </c>
      <c r="L737" s="3">
        <v>12800</v>
      </c>
      <c r="M737" s="3">
        <v>12800</v>
      </c>
      <c r="N737" s="3">
        <v>0</v>
      </c>
    </row>
    <row r="738" spans="1:14" ht="14.4">
      <c r="A738" s="3">
        <v>13367</v>
      </c>
      <c r="B738" s="3">
        <v>13368</v>
      </c>
      <c r="C738" s="3">
        <v>4086</v>
      </c>
      <c r="D738" s="3" t="s">
        <v>390</v>
      </c>
      <c r="E738" s="3" t="s">
        <v>494</v>
      </c>
      <c r="F738" s="3">
        <v>7070</v>
      </c>
      <c r="G738" s="3" t="s">
        <v>76</v>
      </c>
      <c r="H738" s="3" t="s">
        <v>38</v>
      </c>
      <c r="I738" s="3">
        <v>0</v>
      </c>
      <c r="J738" s="3">
        <v>0</v>
      </c>
      <c r="K738" s="3">
        <v>0</v>
      </c>
      <c r="L738" s="3">
        <v>60400</v>
      </c>
      <c r="M738" s="3">
        <v>0</v>
      </c>
      <c r="N738" s="3">
        <v>0</v>
      </c>
    </row>
    <row r="739" spans="1:14" ht="14.4">
      <c r="A739" s="3">
        <v>13367</v>
      </c>
      <c r="B739" s="3">
        <v>13368</v>
      </c>
      <c r="C739" s="3">
        <v>4086</v>
      </c>
      <c r="D739" s="3" t="s">
        <v>390</v>
      </c>
      <c r="E739" s="3" t="s">
        <v>494</v>
      </c>
      <c r="F739" s="3">
        <v>7073</v>
      </c>
      <c r="G739" s="3" t="s">
        <v>76</v>
      </c>
      <c r="H739" s="3" t="s">
        <v>38</v>
      </c>
      <c r="I739" s="3">
        <v>3081149</v>
      </c>
      <c r="J739" s="3">
        <v>2604526</v>
      </c>
      <c r="K739" s="3">
        <v>476623</v>
      </c>
      <c r="L739" s="3">
        <v>0</v>
      </c>
      <c r="M739" s="3">
        <v>0</v>
      </c>
      <c r="N739" s="3">
        <v>0</v>
      </c>
    </row>
    <row r="740" spans="1:14" ht="14.4">
      <c r="A740" s="3">
        <v>13367</v>
      </c>
      <c r="B740" s="3">
        <v>13368</v>
      </c>
      <c r="C740" s="3">
        <v>4086</v>
      </c>
      <c r="D740" s="3" t="s">
        <v>390</v>
      </c>
      <c r="E740" s="3" t="s">
        <v>495</v>
      </c>
      <c r="F740" s="3">
        <v>8520</v>
      </c>
      <c r="G740" s="3" t="s">
        <v>496</v>
      </c>
      <c r="H740" s="3" t="s">
        <v>38</v>
      </c>
      <c r="I740" s="3">
        <v>161402</v>
      </c>
      <c r="J740" s="3">
        <v>121402</v>
      </c>
      <c r="K740" s="3">
        <v>40000</v>
      </c>
      <c r="L740" s="3">
        <v>157400</v>
      </c>
      <c r="M740" s="3">
        <v>121500</v>
      </c>
      <c r="N740" s="3">
        <v>0</v>
      </c>
    </row>
    <row r="741" spans="1:14" ht="14.4">
      <c r="A741" s="3">
        <v>13367</v>
      </c>
      <c r="B741" s="3">
        <v>13368</v>
      </c>
      <c r="C741" s="3">
        <v>4086</v>
      </c>
      <c r="D741" s="3" t="s">
        <v>390</v>
      </c>
      <c r="E741" s="3" t="s">
        <v>497</v>
      </c>
      <c r="F741" s="3">
        <v>7724</v>
      </c>
      <c r="G741" s="3" t="s">
        <v>392</v>
      </c>
      <c r="H741" s="3" t="s">
        <v>38</v>
      </c>
      <c r="I741" s="3">
        <v>13531</v>
      </c>
      <c r="J741" s="3">
        <v>13531</v>
      </c>
      <c r="K741" s="3">
        <v>0</v>
      </c>
      <c r="L741" s="3">
        <v>301400</v>
      </c>
      <c r="M741" s="3">
        <v>10900</v>
      </c>
      <c r="N741" s="3">
        <v>0</v>
      </c>
    </row>
    <row r="742" spans="1:14" ht="14.4">
      <c r="A742" s="3">
        <v>13367</v>
      </c>
      <c r="B742" s="3">
        <v>13368</v>
      </c>
      <c r="C742" s="3">
        <v>4086</v>
      </c>
      <c r="D742" s="3" t="s">
        <v>390</v>
      </c>
      <c r="E742" s="3" t="s">
        <v>498</v>
      </c>
      <c r="F742" s="3">
        <v>7020</v>
      </c>
      <c r="G742" s="3" t="s">
        <v>76</v>
      </c>
      <c r="H742" s="3" t="s">
        <v>38</v>
      </c>
      <c r="I742" s="3">
        <v>481310</v>
      </c>
      <c r="J742" s="3">
        <v>397059</v>
      </c>
      <c r="K742" s="3">
        <v>84251</v>
      </c>
      <c r="L742" s="3">
        <v>665300</v>
      </c>
      <c r="M742" s="3">
        <v>327600</v>
      </c>
      <c r="N742" s="3">
        <v>63100</v>
      </c>
    </row>
    <row r="743" spans="1:14" ht="14.4">
      <c r="A743" s="3">
        <v>13367</v>
      </c>
      <c r="B743" s="3">
        <v>13368</v>
      </c>
      <c r="C743" s="3">
        <v>4086</v>
      </c>
      <c r="D743" s="3" t="s">
        <v>390</v>
      </c>
      <c r="E743" s="3" t="s">
        <v>498</v>
      </c>
      <c r="F743" s="3">
        <v>7024</v>
      </c>
      <c r="G743" s="3" t="s">
        <v>76</v>
      </c>
      <c r="H743" s="3" t="s">
        <v>38</v>
      </c>
      <c r="I743" s="3">
        <v>22000</v>
      </c>
      <c r="J743" s="3">
        <v>0</v>
      </c>
      <c r="K743" s="3">
        <v>22000</v>
      </c>
      <c r="L743" s="3">
        <v>0</v>
      </c>
      <c r="M743" s="3">
        <v>0</v>
      </c>
      <c r="N743" s="3">
        <v>0</v>
      </c>
    </row>
    <row r="744" spans="1:14" ht="14.4">
      <c r="A744" s="3">
        <v>13367</v>
      </c>
      <c r="B744" s="3">
        <v>13368</v>
      </c>
      <c r="C744" s="3">
        <v>4086</v>
      </c>
      <c r="D744" s="3" t="s">
        <v>390</v>
      </c>
      <c r="E744" s="3" t="s">
        <v>499</v>
      </c>
      <c r="F744" s="3">
        <v>8817</v>
      </c>
      <c r="G744" s="3" t="s">
        <v>464</v>
      </c>
      <c r="H744" s="3" t="s">
        <v>38</v>
      </c>
      <c r="I744" s="3">
        <v>20000</v>
      </c>
      <c r="J744" s="3">
        <v>0</v>
      </c>
      <c r="K744" s="3">
        <v>20000</v>
      </c>
      <c r="L744" s="3">
        <v>7700</v>
      </c>
      <c r="M744" s="3">
        <v>0</v>
      </c>
      <c r="N744" s="3">
        <v>2900</v>
      </c>
    </row>
    <row r="745" spans="1:14" ht="14.4">
      <c r="A745" s="3">
        <v>13367</v>
      </c>
      <c r="B745" s="3">
        <v>13368</v>
      </c>
      <c r="C745" s="3">
        <v>4086</v>
      </c>
      <c r="D745" s="3" t="s">
        <v>390</v>
      </c>
      <c r="E745" s="3" t="s">
        <v>499</v>
      </c>
      <c r="F745" s="3">
        <v>8817</v>
      </c>
      <c r="G745" s="3" t="s">
        <v>406</v>
      </c>
      <c r="H745" s="3" t="s">
        <v>38</v>
      </c>
      <c r="I745" s="3">
        <v>489931</v>
      </c>
      <c r="J745" s="3">
        <v>0</v>
      </c>
      <c r="K745" s="3">
        <v>489931</v>
      </c>
      <c r="L745" s="3">
        <v>692800</v>
      </c>
      <c r="M745" s="3">
        <v>0</v>
      </c>
      <c r="N745" s="3">
        <v>0</v>
      </c>
    </row>
    <row r="746" spans="1:14" ht="14.4">
      <c r="A746" s="3">
        <v>13367</v>
      </c>
      <c r="B746" s="3">
        <v>13368</v>
      </c>
      <c r="C746" s="3">
        <v>4086</v>
      </c>
      <c r="D746" s="3" t="s">
        <v>390</v>
      </c>
      <c r="E746" s="3" t="s">
        <v>499</v>
      </c>
      <c r="F746" s="3">
        <v>8820</v>
      </c>
      <c r="G746" s="3" t="s">
        <v>406</v>
      </c>
      <c r="H746" s="3" t="s">
        <v>38</v>
      </c>
      <c r="I746" s="3">
        <v>115361</v>
      </c>
      <c r="J746" s="3">
        <v>0</v>
      </c>
      <c r="K746" s="3">
        <v>115361</v>
      </c>
      <c r="L746" s="3">
        <v>125600</v>
      </c>
      <c r="M746" s="3">
        <v>0</v>
      </c>
      <c r="N746" s="3">
        <v>55600</v>
      </c>
    </row>
    <row r="747" spans="1:14" ht="14.4">
      <c r="A747" s="3">
        <v>13367</v>
      </c>
      <c r="B747" s="3">
        <v>13368</v>
      </c>
      <c r="C747" s="3">
        <v>4086</v>
      </c>
      <c r="D747" s="3" t="s">
        <v>390</v>
      </c>
      <c r="E747" s="3" t="s">
        <v>499</v>
      </c>
      <c r="F747" s="3">
        <v>8837</v>
      </c>
      <c r="G747" s="3" t="s">
        <v>406</v>
      </c>
      <c r="H747" s="3" t="s">
        <v>38</v>
      </c>
      <c r="I747" s="3">
        <v>2068966</v>
      </c>
      <c r="J747" s="3">
        <v>346230</v>
      </c>
      <c r="K747" s="3">
        <v>1722736</v>
      </c>
      <c r="L747" s="3">
        <v>715400</v>
      </c>
      <c r="M747" s="3">
        <v>88800</v>
      </c>
      <c r="N747" s="3">
        <v>593600</v>
      </c>
    </row>
    <row r="748" spans="1:14" ht="14.4">
      <c r="A748" s="3">
        <v>13367</v>
      </c>
      <c r="B748" s="3">
        <v>13368</v>
      </c>
      <c r="C748" s="3">
        <v>4086</v>
      </c>
      <c r="D748" s="3" t="s">
        <v>390</v>
      </c>
      <c r="E748" s="3" t="s">
        <v>500</v>
      </c>
      <c r="F748" s="3">
        <v>8215</v>
      </c>
      <c r="G748" s="3" t="s">
        <v>394</v>
      </c>
      <c r="H748" s="3" t="s">
        <v>38</v>
      </c>
      <c r="I748" s="3">
        <v>52246</v>
      </c>
      <c r="J748" s="3">
        <v>50946</v>
      </c>
      <c r="K748" s="3">
        <v>1300</v>
      </c>
      <c r="L748" s="3">
        <v>60800</v>
      </c>
      <c r="M748" s="3">
        <v>35600</v>
      </c>
      <c r="N748" s="3">
        <v>800</v>
      </c>
    </row>
    <row r="749" spans="1:14" ht="14.4">
      <c r="A749" s="3">
        <v>13367</v>
      </c>
      <c r="B749" s="3">
        <v>13368</v>
      </c>
      <c r="C749" s="3">
        <v>4086</v>
      </c>
      <c r="D749" s="3" t="s">
        <v>390</v>
      </c>
      <c r="E749" s="3" t="s">
        <v>501</v>
      </c>
      <c r="F749" s="3">
        <v>8234</v>
      </c>
      <c r="G749" s="3" t="s">
        <v>394</v>
      </c>
      <c r="H749" s="3" t="s">
        <v>38</v>
      </c>
      <c r="I749" s="3">
        <v>563668</v>
      </c>
      <c r="J749" s="3">
        <v>241335</v>
      </c>
      <c r="K749" s="3">
        <v>322333</v>
      </c>
      <c r="L749" s="3">
        <v>349900</v>
      </c>
      <c r="M749" s="3">
        <v>74500</v>
      </c>
      <c r="N749" s="3">
        <v>259200</v>
      </c>
    </row>
    <row r="750" spans="1:14" ht="14.4">
      <c r="A750" s="3">
        <v>13367</v>
      </c>
      <c r="B750" s="3">
        <v>13368</v>
      </c>
      <c r="C750" s="3">
        <v>4086</v>
      </c>
      <c r="D750" s="3" t="s">
        <v>390</v>
      </c>
      <c r="E750" s="3" t="s">
        <v>502</v>
      </c>
      <c r="F750" s="3">
        <v>8234</v>
      </c>
      <c r="G750" s="3" t="s">
        <v>394</v>
      </c>
      <c r="H750" s="3" t="s">
        <v>38</v>
      </c>
      <c r="I750" s="3">
        <v>391040</v>
      </c>
      <c r="J750" s="3">
        <v>391040</v>
      </c>
      <c r="K750" s="3">
        <v>0</v>
      </c>
      <c r="L750" s="3">
        <v>0</v>
      </c>
      <c r="M750" s="3">
        <v>0</v>
      </c>
      <c r="N750" s="3">
        <v>0</v>
      </c>
    </row>
    <row r="751" spans="1:14" ht="14.4">
      <c r="A751" s="3">
        <v>13367</v>
      </c>
      <c r="B751" s="3">
        <v>13368</v>
      </c>
      <c r="C751" s="3">
        <v>4086</v>
      </c>
      <c r="D751" s="3" t="s">
        <v>390</v>
      </c>
      <c r="E751" s="3" t="s">
        <v>503</v>
      </c>
      <c r="F751" s="3">
        <v>8234</v>
      </c>
      <c r="G751" s="3" t="s">
        <v>394</v>
      </c>
      <c r="H751" s="3" t="s">
        <v>38</v>
      </c>
      <c r="I751" s="3">
        <v>2500</v>
      </c>
      <c r="J751" s="3">
        <v>0</v>
      </c>
      <c r="K751" s="3">
        <v>2500</v>
      </c>
      <c r="L751" s="3">
        <v>0</v>
      </c>
      <c r="M751" s="3">
        <v>0</v>
      </c>
      <c r="N751" s="3">
        <v>0</v>
      </c>
    </row>
    <row r="752" spans="1:14" ht="14.4">
      <c r="A752" s="3">
        <v>13367</v>
      </c>
      <c r="B752" s="3">
        <v>13368</v>
      </c>
      <c r="C752" s="3">
        <v>4086</v>
      </c>
      <c r="D752" s="3" t="s">
        <v>390</v>
      </c>
      <c r="E752" s="3" t="s">
        <v>504</v>
      </c>
      <c r="F752" s="3">
        <v>7026</v>
      </c>
      <c r="G752" s="3" t="s">
        <v>435</v>
      </c>
      <c r="H752" s="3" t="s">
        <v>38</v>
      </c>
      <c r="I752" s="3">
        <v>31650</v>
      </c>
      <c r="J752" s="3">
        <v>6650</v>
      </c>
      <c r="K752" s="3">
        <v>25000</v>
      </c>
      <c r="L752" s="3">
        <v>0</v>
      </c>
      <c r="M752" s="3">
        <v>0</v>
      </c>
      <c r="N752" s="3">
        <v>0</v>
      </c>
    </row>
    <row r="753" spans="1:14" ht="14.4">
      <c r="A753" s="3">
        <v>13367</v>
      </c>
      <c r="B753" s="3">
        <v>13368</v>
      </c>
      <c r="C753" s="3">
        <v>4086</v>
      </c>
      <c r="D753" s="3" t="s">
        <v>390</v>
      </c>
      <c r="E753" s="3" t="s">
        <v>504</v>
      </c>
      <c r="F753" s="3">
        <v>7201</v>
      </c>
      <c r="G753" s="3" t="s">
        <v>435</v>
      </c>
      <c r="H753" s="3" t="s">
        <v>38</v>
      </c>
      <c r="I753" s="3">
        <v>244811</v>
      </c>
      <c r="J753" s="3">
        <v>17177</v>
      </c>
      <c r="K753" s="3">
        <v>227634</v>
      </c>
      <c r="L753" s="3">
        <v>8000</v>
      </c>
      <c r="M753" s="3">
        <v>0</v>
      </c>
      <c r="N753" s="3">
        <v>3000</v>
      </c>
    </row>
    <row r="754" spans="1:14" ht="14.4">
      <c r="A754" s="3">
        <v>13367</v>
      </c>
      <c r="B754" s="3">
        <v>13368</v>
      </c>
      <c r="C754" s="3">
        <v>4086</v>
      </c>
      <c r="D754" s="3" t="s">
        <v>390</v>
      </c>
      <c r="E754" s="3" t="s">
        <v>504</v>
      </c>
      <c r="F754" s="3">
        <v>7202</v>
      </c>
      <c r="G754" s="3" t="s">
        <v>435</v>
      </c>
      <c r="H754" s="3" t="s">
        <v>38</v>
      </c>
      <c r="I754" s="3">
        <v>6118743</v>
      </c>
      <c r="J754" s="3">
        <v>3848824</v>
      </c>
      <c r="K754" s="3">
        <v>2269919</v>
      </c>
      <c r="L754" s="3">
        <v>2000000</v>
      </c>
      <c r="M754" s="3">
        <v>2000000</v>
      </c>
      <c r="N754" s="3">
        <v>0</v>
      </c>
    </row>
    <row r="755" spans="1:14" ht="14.4">
      <c r="A755" s="3">
        <v>13367</v>
      </c>
      <c r="B755" s="3">
        <v>13368</v>
      </c>
      <c r="C755" s="3">
        <v>4086</v>
      </c>
      <c r="D755" s="3" t="s">
        <v>390</v>
      </c>
      <c r="E755" s="3" t="s">
        <v>504</v>
      </c>
      <c r="F755" s="3">
        <v>7206</v>
      </c>
      <c r="G755" s="3" t="s">
        <v>435</v>
      </c>
      <c r="H755" s="3" t="s">
        <v>38</v>
      </c>
      <c r="I755" s="3">
        <v>7906500</v>
      </c>
      <c r="J755" s="3">
        <v>1059703</v>
      </c>
      <c r="K755" s="3">
        <v>6846797</v>
      </c>
      <c r="L755" s="3">
        <v>3755100</v>
      </c>
      <c r="M755" s="3">
        <v>167300</v>
      </c>
      <c r="N755" s="3">
        <v>3272000</v>
      </c>
    </row>
    <row r="756" spans="1:14" ht="14.4">
      <c r="A756" s="3">
        <v>13367</v>
      </c>
      <c r="B756" s="3">
        <v>13368</v>
      </c>
      <c r="C756" s="3">
        <v>4086</v>
      </c>
      <c r="D756" s="3" t="s">
        <v>390</v>
      </c>
      <c r="E756" s="3" t="s">
        <v>504</v>
      </c>
      <c r="F756" s="3">
        <v>7208</v>
      </c>
      <c r="G756" s="3" t="s">
        <v>435</v>
      </c>
      <c r="H756" s="3" t="s">
        <v>38</v>
      </c>
      <c r="I756" s="3">
        <v>52945</v>
      </c>
      <c r="J756" s="3">
        <v>51145</v>
      </c>
      <c r="K756" s="3">
        <v>1800</v>
      </c>
      <c r="L756" s="3">
        <v>47900</v>
      </c>
      <c r="M756" s="3">
        <v>46200</v>
      </c>
      <c r="N756" s="3">
        <v>0</v>
      </c>
    </row>
    <row r="757" spans="1:14" ht="14.4">
      <c r="A757" s="3">
        <v>13367</v>
      </c>
      <c r="B757" s="3">
        <v>13368</v>
      </c>
      <c r="C757" s="3">
        <v>4086</v>
      </c>
      <c r="D757" s="3" t="s">
        <v>390</v>
      </c>
      <c r="E757" s="3" t="s">
        <v>505</v>
      </c>
      <c r="F757" s="3">
        <v>7407</v>
      </c>
      <c r="G757" s="3" t="s">
        <v>76</v>
      </c>
      <c r="H757" s="3" t="s">
        <v>38</v>
      </c>
      <c r="I757" s="3">
        <v>44068</v>
      </c>
      <c r="J757" s="3">
        <v>39568</v>
      </c>
      <c r="K757" s="3">
        <v>4500</v>
      </c>
      <c r="L757" s="3">
        <v>73300</v>
      </c>
      <c r="M757" s="3">
        <v>39600</v>
      </c>
      <c r="N757" s="3">
        <v>4500</v>
      </c>
    </row>
    <row r="758" spans="1:14" ht="14.4">
      <c r="A758" s="3">
        <v>13367</v>
      </c>
      <c r="B758" s="3">
        <v>13368</v>
      </c>
      <c r="C758" s="3">
        <v>4086</v>
      </c>
      <c r="D758" s="3" t="s">
        <v>390</v>
      </c>
      <c r="E758" s="3" t="s">
        <v>118</v>
      </c>
      <c r="F758" s="3">
        <v>7631</v>
      </c>
      <c r="G758" s="3" t="s">
        <v>76</v>
      </c>
      <c r="H758" s="3" t="s">
        <v>38</v>
      </c>
      <c r="I758" s="3">
        <v>111209</v>
      </c>
      <c r="J758" s="3">
        <v>45209</v>
      </c>
      <c r="K758" s="3">
        <v>66000</v>
      </c>
      <c r="L758" s="3">
        <v>0</v>
      </c>
      <c r="M758" s="3">
        <v>0</v>
      </c>
      <c r="N758" s="3">
        <v>0</v>
      </c>
    </row>
    <row r="759" spans="1:14" ht="14.4">
      <c r="A759" s="3">
        <v>13367</v>
      </c>
      <c r="B759" s="3">
        <v>13368</v>
      </c>
      <c r="C759" s="3">
        <v>4086</v>
      </c>
      <c r="D759" s="3" t="s">
        <v>390</v>
      </c>
      <c r="E759" s="3" t="s">
        <v>506</v>
      </c>
      <c r="F759" s="3">
        <v>7632</v>
      </c>
      <c r="G759" s="3" t="s">
        <v>76</v>
      </c>
      <c r="H759" s="3" t="s">
        <v>38</v>
      </c>
      <c r="I759" s="3">
        <v>136897</v>
      </c>
      <c r="J759" s="3">
        <v>101897</v>
      </c>
      <c r="K759" s="3">
        <v>35000</v>
      </c>
      <c r="L759" s="3">
        <v>0</v>
      </c>
      <c r="M759" s="3">
        <v>0</v>
      </c>
      <c r="N759" s="3">
        <v>0</v>
      </c>
    </row>
    <row r="760" spans="1:14" ht="14.4">
      <c r="A760" s="3">
        <v>13367</v>
      </c>
      <c r="B760" s="3">
        <v>13368</v>
      </c>
      <c r="C760" s="3">
        <v>4086</v>
      </c>
      <c r="D760" s="3" t="s">
        <v>390</v>
      </c>
      <c r="E760" s="3" t="s">
        <v>507</v>
      </c>
      <c r="F760" s="3">
        <v>7726</v>
      </c>
      <c r="G760" s="3" t="s">
        <v>392</v>
      </c>
      <c r="H760" s="3" t="s">
        <v>38</v>
      </c>
      <c r="I760" s="3">
        <v>3000</v>
      </c>
      <c r="J760" s="3">
        <v>0</v>
      </c>
      <c r="K760" s="3">
        <v>3000</v>
      </c>
      <c r="L760" s="3">
        <v>0</v>
      </c>
      <c r="M760" s="3">
        <v>0</v>
      </c>
      <c r="N760" s="3">
        <v>0</v>
      </c>
    </row>
    <row r="761" spans="1:14" ht="14.4">
      <c r="A761" s="3">
        <v>13367</v>
      </c>
      <c r="B761" s="3">
        <v>13368</v>
      </c>
      <c r="C761" s="3">
        <v>4086</v>
      </c>
      <c r="D761" s="3" t="s">
        <v>390</v>
      </c>
      <c r="E761" s="3" t="s">
        <v>508</v>
      </c>
      <c r="F761" s="3">
        <v>8618</v>
      </c>
      <c r="G761" s="3" t="s">
        <v>496</v>
      </c>
      <c r="H761" s="3" t="s">
        <v>38</v>
      </c>
      <c r="I761" s="3">
        <v>11594</v>
      </c>
      <c r="J761" s="3">
        <v>0</v>
      </c>
      <c r="K761" s="3">
        <v>11594</v>
      </c>
      <c r="L761" s="3">
        <v>0</v>
      </c>
      <c r="M761" s="3">
        <v>0</v>
      </c>
      <c r="N761" s="3">
        <v>0</v>
      </c>
    </row>
    <row r="762" spans="1:14" ht="14.4">
      <c r="A762" s="3">
        <v>13367</v>
      </c>
      <c r="B762" s="3">
        <v>13368</v>
      </c>
      <c r="C762" s="3">
        <v>4086</v>
      </c>
      <c r="D762" s="3" t="s">
        <v>390</v>
      </c>
      <c r="E762" s="3" t="s">
        <v>508</v>
      </c>
      <c r="F762" s="3">
        <v>8638</v>
      </c>
      <c r="G762" s="3" t="s">
        <v>496</v>
      </c>
      <c r="H762" s="3" t="s">
        <v>38</v>
      </c>
      <c r="I762" s="3">
        <v>340635</v>
      </c>
      <c r="J762" s="3">
        <v>340635</v>
      </c>
      <c r="K762" s="3">
        <v>0</v>
      </c>
      <c r="L762" s="3">
        <v>0</v>
      </c>
      <c r="M762" s="3">
        <v>0</v>
      </c>
      <c r="N762" s="3">
        <v>0</v>
      </c>
    </row>
    <row r="763" spans="1:14" ht="14.4">
      <c r="A763" s="3">
        <v>13367</v>
      </c>
      <c r="B763" s="3">
        <v>13368</v>
      </c>
      <c r="C763" s="3">
        <v>4086</v>
      </c>
      <c r="D763" s="3" t="s">
        <v>390</v>
      </c>
      <c r="E763" s="3" t="s">
        <v>509</v>
      </c>
      <c r="F763" s="3">
        <v>7704</v>
      </c>
      <c r="G763" s="3" t="s">
        <v>392</v>
      </c>
      <c r="H763" s="3" t="s">
        <v>38</v>
      </c>
      <c r="I763" s="3">
        <v>19120</v>
      </c>
      <c r="J763" s="3">
        <v>0</v>
      </c>
      <c r="K763" s="3">
        <v>19120</v>
      </c>
      <c r="L763" s="3">
        <v>32700</v>
      </c>
      <c r="M763" s="3">
        <v>0</v>
      </c>
      <c r="N763" s="3">
        <v>0</v>
      </c>
    </row>
    <row r="764" spans="1:14" ht="14.4">
      <c r="A764" s="3">
        <v>13367</v>
      </c>
      <c r="B764" s="3">
        <v>13368</v>
      </c>
      <c r="C764" s="3">
        <v>4086</v>
      </c>
      <c r="D764" s="3" t="s">
        <v>390</v>
      </c>
      <c r="E764" s="3" t="s">
        <v>510</v>
      </c>
      <c r="F764" s="3">
        <v>7410</v>
      </c>
      <c r="G764" s="3" t="s">
        <v>76</v>
      </c>
      <c r="H764" s="3" t="s">
        <v>38</v>
      </c>
      <c r="I764" s="3">
        <v>58556</v>
      </c>
      <c r="J764" s="3">
        <v>15348</v>
      </c>
      <c r="K764" s="3">
        <v>43208</v>
      </c>
      <c r="L764" s="3">
        <v>7900</v>
      </c>
      <c r="M764" s="3">
        <v>0</v>
      </c>
      <c r="N764" s="3">
        <v>7900</v>
      </c>
    </row>
    <row r="765" spans="1:14" ht="14.4">
      <c r="A765" s="3">
        <v>13367</v>
      </c>
      <c r="B765" s="3">
        <v>13368</v>
      </c>
      <c r="C765" s="3">
        <v>4086</v>
      </c>
      <c r="D765" s="3" t="s">
        <v>390</v>
      </c>
      <c r="E765" s="3" t="s">
        <v>143</v>
      </c>
      <c r="F765" s="3">
        <v>7004</v>
      </c>
      <c r="G765" s="3" t="s">
        <v>428</v>
      </c>
      <c r="H765" s="3" t="s">
        <v>38</v>
      </c>
      <c r="I765" s="3">
        <v>179879</v>
      </c>
      <c r="J765" s="3">
        <v>56627</v>
      </c>
      <c r="K765" s="3">
        <v>123252</v>
      </c>
      <c r="L765" s="3">
        <v>394500</v>
      </c>
      <c r="M765" s="3">
        <v>53900</v>
      </c>
      <c r="N765" s="3">
        <v>68400</v>
      </c>
    </row>
    <row r="766" spans="1:14" ht="14.4">
      <c r="A766" s="3">
        <v>13367</v>
      </c>
      <c r="B766" s="3">
        <v>13368</v>
      </c>
      <c r="C766" s="3">
        <v>4086</v>
      </c>
      <c r="D766" s="3" t="s">
        <v>390</v>
      </c>
      <c r="E766" s="3" t="s">
        <v>511</v>
      </c>
      <c r="F766" s="3">
        <v>7020</v>
      </c>
      <c r="G766" s="3" t="s">
        <v>76</v>
      </c>
      <c r="H766" s="3" t="s">
        <v>38</v>
      </c>
      <c r="I766" s="3">
        <v>5436</v>
      </c>
      <c r="J766" s="3">
        <v>936</v>
      </c>
      <c r="K766" s="3">
        <v>4500</v>
      </c>
      <c r="L766" s="3">
        <v>0</v>
      </c>
      <c r="M766" s="3">
        <v>0</v>
      </c>
      <c r="N766" s="3">
        <v>0</v>
      </c>
    </row>
    <row r="767" spans="1:14" ht="14.4">
      <c r="A767" s="3">
        <v>13367</v>
      </c>
      <c r="B767" s="3">
        <v>13368</v>
      </c>
      <c r="C767" s="3">
        <v>4086</v>
      </c>
      <c r="D767" s="3" t="s">
        <v>390</v>
      </c>
      <c r="E767" s="3" t="s">
        <v>511</v>
      </c>
      <c r="F767" s="3">
        <v>7022</v>
      </c>
      <c r="G767" s="3" t="s">
        <v>76</v>
      </c>
      <c r="H767" s="3" t="s">
        <v>38</v>
      </c>
      <c r="I767" s="3">
        <v>8481</v>
      </c>
      <c r="J767" s="3">
        <v>8481</v>
      </c>
      <c r="K767" s="3">
        <v>0</v>
      </c>
      <c r="L767" s="3">
        <v>4100</v>
      </c>
      <c r="M767" s="3">
        <v>4100</v>
      </c>
      <c r="N767" s="3">
        <v>0</v>
      </c>
    </row>
    <row r="768" spans="1:14" ht="14.4">
      <c r="A768" s="3">
        <v>13367</v>
      </c>
      <c r="B768" s="3">
        <v>13368</v>
      </c>
      <c r="C768" s="3">
        <v>4086</v>
      </c>
      <c r="D768" s="3" t="s">
        <v>390</v>
      </c>
      <c r="E768" s="3" t="s">
        <v>512</v>
      </c>
      <c r="F768" s="3">
        <v>7023</v>
      </c>
      <c r="G768" s="3" t="s">
        <v>435</v>
      </c>
      <c r="H768" s="3" t="s">
        <v>38</v>
      </c>
      <c r="I768" s="3">
        <v>2832</v>
      </c>
      <c r="J768" s="3">
        <v>2832</v>
      </c>
      <c r="K768" s="3">
        <v>0</v>
      </c>
      <c r="L768" s="3">
        <v>16300</v>
      </c>
      <c r="M768" s="3">
        <v>0</v>
      </c>
      <c r="N768" s="3">
        <v>0</v>
      </c>
    </row>
    <row r="769" spans="1:14" ht="14.4">
      <c r="A769" s="3">
        <v>13367</v>
      </c>
      <c r="B769" s="3">
        <v>13368</v>
      </c>
      <c r="C769" s="3">
        <v>4086</v>
      </c>
      <c r="D769" s="3" t="s">
        <v>390</v>
      </c>
      <c r="E769" s="3" t="s">
        <v>124</v>
      </c>
      <c r="F769" s="3">
        <v>7727</v>
      </c>
      <c r="G769" s="3" t="s">
        <v>392</v>
      </c>
      <c r="H769" s="3" t="s">
        <v>38</v>
      </c>
      <c r="I769" s="3">
        <v>179392</v>
      </c>
      <c r="J769" s="3">
        <v>164295</v>
      </c>
      <c r="K769" s="3">
        <v>15097</v>
      </c>
      <c r="L769" s="3">
        <v>130600</v>
      </c>
      <c r="M769" s="3">
        <v>0</v>
      </c>
      <c r="N769" s="3">
        <v>13100</v>
      </c>
    </row>
    <row r="770" spans="1:14" ht="14.4">
      <c r="A770" s="3">
        <v>13367</v>
      </c>
      <c r="B770" s="3">
        <v>13368</v>
      </c>
      <c r="C770" s="3">
        <v>4086</v>
      </c>
      <c r="D770" s="3" t="s">
        <v>390</v>
      </c>
      <c r="E770" s="3" t="s">
        <v>124</v>
      </c>
      <c r="F770" s="3">
        <v>7737</v>
      </c>
      <c r="G770" s="3" t="s">
        <v>392</v>
      </c>
      <c r="H770" s="3" t="s">
        <v>38</v>
      </c>
      <c r="I770" s="3">
        <v>17608</v>
      </c>
      <c r="J770" s="3">
        <v>758</v>
      </c>
      <c r="K770" s="3">
        <v>16850</v>
      </c>
      <c r="L770" s="3">
        <v>0</v>
      </c>
      <c r="M770" s="3">
        <v>0</v>
      </c>
      <c r="N770" s="3">
        <v>0</v>
      </c>
    </row>
    <row r="771" spans="1:14" ht="14.4">
      <c r="A771" s="3">
        <v>13367</v>
      </c>
      <c r="B771" s="3">
        <v>13368</v>
      </c>
      <c r="C771" s="3">
        <v>4086</v>
      </c>
      <c r="D771" s="3" t="s">
        <v>390</v>
      </c>
      <c r="E771" s="3" t="s">
        <v>128</v>
      </c>
      <c r="F771" s="3">
        <v>7836</v>
      </c>
      <c r="G771" s="3" t="s">
        <v>441</v>
      </c>
      <c r="H771" s="3" t="s">
        <v>38</v>
      </c>
      <c r="I771" s="3">
        <v>109326</v>
      </c>
      <c r="J771" s="3">
        <v>109326</v>
      </c>
      <c r="K771" s="3">
        <v>0</v>
      </c>
      <c r="L771" s="3">
        <v>239600</v>
      </c>
      <c r="M771" s="3">
        <v>138100</v>
      </c>
      <c r="N771" s="3">
        <v>0</v>
      </c>
    </row>
    <row r="772" spans="1:14" ht="14.4">
      <c r="A772" s="3">
        <v>13367</v>
      </c>
      <c r="B772" s="3">
        <v>13368</v>
      </c>
      <c r="C772" s="3">
        <v>4086</v>
      </c>
      <c r="D772" s="3" t="s">
        <v>390</v>
      </c>
      <c r="E772" s="3" t="s">
        <v>513</v>
      </c>
      <c r="F772" s="3">
        <v>8822</v>
      </c>
      <c r="G772" s="3" t="s">
        <v>464</v>
      </c>
      <c r="H772" s="3" t="s">
        <v>38</v>
      </c>
      <c r="I772" s="3">
        <v>380742</v>
      </c>
      <c r="J772" s="3">
        <v>361663</v>
      </c>
      <c r="K772" s="3">
        <v>19079</v>
      </c>
      <c r="L772" s="3">
        <v>126100</v>
      </c>
      <c r="M772" s="3">
        <v>71800</v>
      </c>
      <c r="N772" s="3">
        <v>0</v>
      </c>
    </row>
    <row r="773" spans="1:14" ht="14.4">
      <c r="A773" s="3">
        <v>13367</v>
      </c>
      <c r="B773" s="3">
        <v>13368</v>
      </c>
      <c r="C773" s="3">
        <v>4086</v>
      </c>
      <c r="D773" s="3" t="s">
        <v>390</v>
      </c>
      <c r="E773" s="3" t="s">
        <v>514</v>
      </c>
      <c r="F773" s="3">
        <v>8863</v>
      </c>
      <c r="G773" s="3" t="s">
        <v>406</v>
      </c>
      <c r="H773" s="3" t="s">
        <v>38</v>
      </c>
      <c r="I773" s="3">
        <v>30140</v>
      </c>
      <c r="J773" s="3">
        <v>30140</v>
      </c>
      <c r="K773" s="3">
        <v>0</v>
      </c>
      <c r="L773" s="3">
        <v>0</v>
      </c>
      <c r="M773" s="3">
        <v>0</v>
      </c>
      <c r="N773" s="3">
        <v>0</v>
      </c>
    </row>
    <row r="774" spans="1:14" ht="14.4">
      <c r="A774" s="3">
        <v>13367</v>
      </c>
      <c r="B774" s="3">
        <v>13368</v>
      </c>
      <c r="C774" s="3">
        <v>4086</v>
      </c>
      <c r="D774" s="3" t="s">
        <v>390</v>
      </c>
      <c r="E774" s="3" t="s">
        <v>515</v>
      </c>
      <c r="F774" s="3">
        <v>8731</v>
      </c>
      <c r="G774" s="3" t="s">
        <v>402</v>
      </c>
      <c r="H774" s="3" t="s">
        <v>38</v>
      </c>
      <c r="I774" s="3">
        <v>2058852</v>
      </c>
      <c r="J774" s="3">
        <v>1652406</v>
      </c>
      <c r="K774" s="3">
        <v>406446</v>
      </c>
      <c r="L774" s="3">
        <v>347800</v>
      </c>
      <c r="M774" s="3">
        <v>24000</v>
      </c>
      <c r="N774" s="3">
        <v>39100</v>
      </c>
    </row>
    <row r="775" spans="1:14" ht="14.4">
      <c r="A775" s="3">
        <v>13367</v>
      </c>
      <c r="B775" s="3">
        <v>13368</v>
      </c>
      <c r="C775" s="3">
        <v>4086</v>
      </c>
      <c r="D775" s="3" t="s">
        <v>390</v>
      </c>
      <c r="E775" s="3" t="s">
        <v>132</v>
      </c>
      <c r="F775" s="3">
        <v>7024</v>
      </c>
      <c r="G775" s="3" t="s">
        <v>76</v>
      </c>
      <c r="H775" s="3" t="s">
        <v>38</v>
      </c>
      <c r="I775" s="3">
        <v>56400</v>
      </c>
      <c r="J775" s="3">
        <v>0</v>
      </c>
      <c r="K775" s="3">
        <v>56400</v>
      </c>
      <c r="L775" s="3">
        <v>67500</v>
      </c>
      <c r="M775" s="3">
        <v>0</v>
      </c>
      <c r="N775" s="3">
        <v>0</v>
      </c>
    </row>
    <row r="776" spans="1:14" ht="14.4">
      <c r="A776" s="3">
        <v>13367</v>
      </c>
      <c r="B776" s="3">
        <v>13368</v>
      </c>
      <c r="C776" s="3">
        <v>4086</v>
      </c>
      <c r="D776" s="3" t="s">
        <v>390</v>
      </c>
      <c r="E776" s="3" t="s">
        <v>132</v>
      </c>
      <c r="F776" s="3">
        <v>7024</v>
      </c>
      <c r="G776" s="3" t="s">
        <v>37</v>
      </c>
      <c r="H776" s="3" t="s">
        <v>38</v>
      </c>
      <c r="I776" s="3">
        <v>9200</v>
      </c>
      <c r="J776" s="3">
        <v>0</v>
      </c>
      <c r="K776" s="3">
        <v>9200</v>
      </c>
      <c r="L776" s="3">
        <v>14200</v>
      </c>
      <c r="M776" s="3">
        <v>0</v>
      </c>
      <c r="N776" s="3">
        <v>9200</v>
      </c>
    </row>
    <row r="777" spans="1:14" ht="14.4">
      <c r="A777" s="3">
        <v>13367</v>
      </c>
      <c r="B777" s="3">
        <v>13368</v>
      </c>
      <c r="C777" s="3">
        <v>4086</v>
      </c>
      <c r="D777" s="3" t="s">
        <v>390</v>
      </c>
      <c r="E777" s="3" t="s">
        <v>516</v>
      </c>
      <c r="F777" s="3">
        <v>8321</v>
      </c>
      <c r="G777" s="3" t="s">
        <v>452</v>
      </c>
      <c r="H777" s="3" t="s">
        <v>38</v>
      </c>
      <c r="I777" s="3">
        <v>1395960</v>
      </c>
      <c r="J777" s="3">
        <v>1332075</v>
      </c>
      <c r="K777" s="3">
        <v>63885</v>
      </c>
      <c r="L777" s="3">
        <v>1046700</v>
      </c>
      <c r="M777" s="3">
        <v>1000600</v>
      </c>
      <c r="N777" s="3">
        <v>46100</v>
      </c>
    </row>
    <row r="778" spans="1:14" ht="14.4">
      <c r="A778" s="3">
        <v>13367</v>
      </c>
      <c r="B778" s="3">
        <v>13368</v>
      </c>
      <c r="C778" s="3">
        <v>4086</v>
      </c>
      <c r="D778" s="3" t="s">
        <v>390</v>
      </c>
      <c r="E778" s="3" t="s">
        <v>517</v>
      </c>
      <c r="F778" s="3">
        <v>7728</v>
      </c>
      <c r="G778" s="3" t="s">
        <v>392</v>
      </c>
      <c r="H778" s="3" t="s">
        <v>38</v>
      </c>
      <c r="I778" s="3">
        <v>90165</v>
      </c>
      <c r="J778" s="3">
        <v>28420</v>
      </c>
      <c r="K778" s="3">
        <v>61745</v>
      </c>
      <c r="L778" s="3">
        <v>229600</v>
      </c>
      <c r="M778" s="3">
        <v>0</v>
      </c>
      <c r="N778" s="3">
        <v>4000</v>
      </c>
    </row>
    <row r="779" spans="1:14" ht="14.4">
      <c r="A779" s="3">
        <v>13367</v>
      </c>
      <c r="B779" s="3">
        <v>13368</v>
      </c>
      <c r="C779" s="3">
        <v>4086</v>
      </c>
      <c r="D779" s="3" t="s">
        <v>390</v>
      </c>
      <c r="E779" s="3" t="s">
        <v>518</v>
      </c>
      <c r="F779" s="3">
        <v>8205</v>
      </c>
      <c r="G779" s="3" t="s">
        <v>394</v>
      </c>
      <c r="H779" s="3" t="s">
        <v>38</v>
      </c>
      <c r="I779" s="3">
        <v>0</v>
      </c>
      <c r="J779" s="3">
        <v>0</v>
      </c>
      <c r="K779" s="3">
        <v>0</v>
      </c>
      <c r="L779" s="3">
        <v>14400</v>
      </c>
      <c r="M779" s="3">
        <v>0</v>
      </c>
      <c r="N779" s="3">
        <v>0</v>
      </c>
    </row>
    <row r="780" spans="1:14" ht="14.4">
      <c r="A780" s="3">
        <v>13367</v>
      </c>
      <c r="B780" s="3">
        <v>13368</v>
      </c>
      <c r="C780" s="3">
        <v>4086</v>
      </c>
      <c r="D780" s="3" t="s">
        <v>390</v>
      </c>
      <c r="E780" s="3" t="s">
        <v>519</v>
      </c>
      <c r="F780" s="3">
        <v>8205</v>
      </c>
      <c r="G780" s="3" t="s">
        <v>394</v>
      </c>
      <c r="H780" s="3" t="s">
        <v>38</v>
      </c>
      <c r="I780" s="3">
        <v>74314</v>
      </c>
      <c r="J780" s="3">
        <v>74314</v>
      </c>
      <c r="K780" s="3">
        <v>0</v>
      </c>
      <c r="L780" s="3">
        <v>0</v>
      </c>
      <c r="M780" s="3">
        <v>0</v>
      </c>
      <c r="N780" s="3">
        <v>0</v>
      </c>
    </row>
    <row r="781" spans="1:14" ht="14.4">
      <c r="A781" s="3">
        <v>13367</v>
      </c>
      <c r="B781" s="3">
        <v>13368</v>
      </c>
      <c r="C781" s="3">
        <v>4086</v>
      </c>
      <c r="D781" s="3" t="s">
        <v>390</v>
      </c>
      <c r="E781" s="3" t="s">
        <v>520</v>
      </c>
      <c r="F781" s="3">
        <v>7026</v>
      </c>
      <c r="G781" s="3" t="s">
        <v>76</v>
      </c>
      <c r="H781" s="3" t="s">
        <v>38</v>
      </c>
      <c r="I781" s="3">
        <v>93463</v>
      </c>
      <c r="J781" s="3">
        <v>39721</v>
      </c>
      <c r="K781" s="3">
        <v>53742</v>
      </c>
      <c r="L781" s="3">
        <v>64500</v>
      </c>
      <c r="M781" s="3">
        <v>39700</v>
      </c>
      <c r="N781" s="3">
        <v>2300</v>
      </c>
    </row>
    <row r="782" spans="1:14" ht="14.4">
      <c r="A782" s="3">
        <v>13367</v>
      </c>
      <c r="B782" s="3">
        <v>13368</v>
      </c>
      <c r="C782" s="3">
        <v>4086</v>
      </c>
      <c r="D782" s="3" t="s">
        <v>390</v>
      </c>
      <c r="E782" s="3" t="s">
        <v>521</v>
      </c>
      <c r="F782" s="3">
        <v>7028</v>
      </c>
      <c r="G782" s="3" t="s">
        <v>428</v>
      </c>
      <c r="H782" s="3" t="s">
        <v>38</v>
      </c>
      <c r="I782" s="3">
        <v>980</v>
      </c>
      <c r="J782" s="3">
        <v>0</v>
      </c>
      <c r="K782" s="3">
        <v>980</v>
      </c>
      <c r="L782" s="3">
        <v>0</v>
      </c>
      <c r="M782" s="3">
        <v>0</v>
      </c>
      <c r="N782" s="3">
        <v>0</v>
      </c>
    </row>
    <row r="783" spans="1:14" ht="14.4">
      <c r="A783" s="3">
        <v>13367</v>
      </c>
      <c r="B783" s="3">
        <v>13368</v>
      </c>
      <c r="C783" s="3">
        <v>4086</v>
      </c>
      <c r="D783" s="3" t="s">
        <v>390</v>
      </c>
      <c r="E783" s="3" t="s">
        <v>522</v>
      </c>
      <c r="F783" s="3">
        <v>7452</v>
      </c>
      <c r="G783" s="3" t="s">
        <v>76</v>
      </c>
      <c r="H783" s="3" t="s">
        <v>38</v>
      </c>
      <c r="I783" s="3">
        <v>2283</v>
      </c>
      <c r="J783" s="3">
        <v>33</v>
      </c>
      <c r="K783" s="3">
        <v>2250</v>
      </c>
      <c r="L783" s="3">
        <v>0</v>
      </c>
      <c r="M783" s="3">
        <v>0</v>
      </c>
      <c r="N783" s="3">
        <v>0</v>
      </c>
    </row>
    <row r="784" spans="1:14" ht="14.4">
      <c r="A784" s="3">
        <v>13367</v>
      </c>
      <c r="B784" s="3">
        <v>13368</v>
      </c>
      <c r="C784" s="3">
        <v>4086</v>
      </c>
      <c r="D784" s="3" t="s">
        <v>390</v>
      </c>
      <c r="E784" s="3" t="s">
        <v>523</v>
      </c>
      <c r="F784" s="3">
        <v>8812</v>
      </c>
      <c r="G784" s="3" t="s">
        <v>413</v>
      </c>
      <c r="H784" s="3" t="s">
        <v>38</v>
      </c>
      <c r="I784" s="3">
        <v>0</v>
      </c>
      <c r="J784" s="3">
        <v>0</v>
      </c>
      <c r="K784" s="3">
        <v>0</v>
      </c>
      <c r="L784" s="3">
        <v>43700</v>
      </c>
      <c r="M784" s="3">
        <v>0</v>
      </c>
      <c r="N784" s="3">
        <v>0</v>
      </c>
    </row>
    <row r="785" spans="1:14" ht="14.4">
      <c r="A785" s="3">
        <v>13367</v>
      </c>
      <c r="B785" s="3">
        <v>13368</v>
      </c>
      <c r="C785" s="3">
        <v>4086</v>
      </c>
      <c r="D785" s="3" t="s">
        <v>390</v>
      </c>
      <c r="E785" s="3" t="s">
        <v>524</v>
      </c>
      <c r="F785" s="3">
        <v>8215</v>
      </c>
      <c r="G785" s="3" t="s">
        <v>443</v>
      </c>
      <c r="H785" s="3" t="s">
        <v>38</v>
      </c>
      <c r="I785" s="3">
        <v>24253</v>
      </c>
      <c r="J785" s="3">
        <v>24253</v>
      </c>
      <c r="K785" s="3">
        <v>0</v>
      </c>
      <c r="L785" s="3">
        <v>0</v>
      </c>
      <c r="M785" s="3">
        <v>0</v>
      </c>
      <c r="N785" s="3">
        <v>0</v>
      </c>
    </row>
    <row r="786" spans="1:14" ht="14.4">
      <c r="A786" s="3">
        <v>13367</v>
      </c>
      <c r="B786" s="3">
        <v>13368</v>
      </c>
      <c r="C786" s="3">
        <v>4086</v>
      </c>
      <c r="D786" s="3" t="s">
        <v>390</v>
      </c>
      <c r="E786" s="3" t="s">
        <v>525</v>
      </c>
      <c r="F786" s="3">
        <v>8812</v>
      </c>
      <c r="G786" s="3" t="s">
        <v>413</v>
      </c>
      <c r="H786" s="3" t="s">
        <v>38</v>
      </c>
      <c r="I786" s="3">
        <v>5000</v>
      </c>
      <c r="J786" s="3">
        <v>0</v>
      </c>
      <c r="K786" s="3">
        <v>5000</v>
      </c>
      <c r="L786" s="3">
        <v>0</v>
      </c>
      <c r="M786" s="3">
        <v>0</v>
      </c>
      <c r="N786" s="3">
        <v>0</v>
      </c>
    </row>
    <row r="787" spans="1:14" ht="14.4">
      <c r="A787" s="3">
        <v>13367</v>
      </c>
      <c r="B787" s="3">
        <v>13368</v>
      </c>
      <c r="C787" s="3">
        <v>4086</v>
      </c>
      <c r="D787" s="3" t="s">
        <v>390</v>
      </c>
      <c r="E787" s="3" t="s">
        <v>526</v>
      </c>
      <c r="F787" s="3">
        <v>8323</v>
      </c>
      <c r="G787" s="3" t="s">
        <v>452</v>
      </c>
      <c r="H787" s="3" t="s">
        <v>38</v>
      </c>
      <c r="I787" s="3">
        <v>1167601</v>
      </c>
      <c r="J787" s="3">
        <v>898526</v>
      </c>
      <c r="K787" s="3">
        <v>269075</v>
      </c>
      <c r="L787" s="3">
        <v>0</v>
      </c>
      <c r="M787" s="3">
        <v>0</v>
      </c>
      <c r="N787" s="3">
        <v>0</v>
      </c>
    </row>
    <row r="788" spans="1:14" ht="14.4">
      <c r="A788" s="3">
        <v>13367</v>
      </c>
      <c r="B788" s="3">
        <v>13368</v>
      </c>
      <c r="C788" s="3">
        <v>4086</v>
      </c>
      <c r="D788" s="3" t="s">
        <v>390</v>
      </c>
      <c r="E788" s="3" t="s">
        <v>153</v>
      </c>
      <c r="F788" s="3">
        <v>7020</v>
      </c>
      <c r="G788" s="3" t="s">
        <v>76</v>
      </c>
      <c r="H788" s="3" t="s">
        <v>38</v>
      </c>
      <c r="I788" s="3">
        <v>11813</v>
      </c>
      <c r="J788" s="3">
        <v>333</v>
      </c>
      <c r="K788" s="3">
        <v>11480</v>
      </c>
      <c r="L788" s="3">
        <v>5000</v>
      </c>
      <c r="M788" s="3">
        <v>300</v>
      </c>
      <c r="N788" s="3">
        <v>4700</v>
      </c>
    </row>
    <row r="789" spans="1:14" ht="14.4">
      <c r="A789" s="3">
        <v>13367</v>
      </c>
      <c r="B789" s="3">
        <v>13368</v>
      </c>
      <c r="C789" s="3">
        <v>4086</v>
      </c>
      <c r="D789" s="3" t="s">
        <v>390</v>
      </c>
      <c r="E789" s="3" t="s">
        <v>153</v>
      </c>
      <c r="F789" s="3">
        <v>7601</v>
      </c>
      <c r="G789" s="3" t="s">
        <v>76</v>
      </c>
      <c r="H789" s="3" t="s">
        <v>38</v>
      </c>
      <c r="I789" s="3">
        <v>3535938</v>
      </c>
      <c r="J789" s="3">
        <v>2148540</v>
      </c>
      <c r="K789" s="3">
        <v>1387398</v>
      </c>
      <c r="L789" s="3">
        <v>2261400</v>
      </c>
      <c r="M789" s="3">
        <v>656700</v>
      </c>
      <c r="N789" s="3">
        <v>900900</v>
      </c>
    </row>
    <row r="790" spans="1:14" ht="14.4">
      <c r="A790" s="3">
        <v>13367</v>
      </c>
      <c r="B790" s="3">
        <v>13368</v>
      </c>
      <c r="C790" s="3">
        <v>4086</v>
      </c>
      <c r="D790" s="3" t="s">
        <v>390</v>
      </c>
      <c r="E790" s="3" t="s">
        <v>527</v>
      </c>
      <c r="F790" s="3">
        <v>7840</v>
      </c>
      <c r="G790" s="3" t="s">
        <v>441</v>
      </c>
      <c r="H790" s="3" t="s">
        <v>38</v>
      </c>
      <c r="I790" s="3">
        <v>0</v>
      </c>
      <c r="J790" s="3">
        <v>0</v>
      </c>
      <c r="K790" s="3">
        <v>0</v>
      </c>
      <c r="L790" s="3">
        <v>10800</v>
      </c>
      <c r="M790" s="3">
        <v>0</v>
      </c>
      <c r="N790" s="3">
        <v>0</v>
      </c>
    </row>
    <row r="791" spans="1:14" ht="14.4">
      <c r="A791" s="3">
        <v>13367</v>
      </c>
      <c r="B791" s="3">
        <v>13368</v>
      </c>
      <c r="C791" s="3">
        <v>4086</v>
      </c>
      <c r="D791" s="3" t="s">
        <v>390</v>
      </c>
      <c r="E791" s="3" t="s">
        <v>528</v>
      </c>
      <c r="F791" s="3">
        <v>7419</v>
      </c>
      <c r="G791" s="3" t="s">
        <v>462</v>
      </c>
      <c r="H791" s="3" t="s">
        <v>38</v>
      </c>
      <c r="I791" s="3">
        <v>0</v>
      </c>
      <c r="J791" s="3">
        <v>0</v>
      </c>
      <c r="K791" s="3">
        <v>0</v>
      </c>
      <c r="L791" s="3">
        <v>13100</v>
      </c>
      <c r="M791" s="3">
        <v>0</v>
      </c>
      <c r="N791" s="3">
        <v>0</v>
      </c>
    </row>
    <row r="792" spans="1:14" ht="14.4">
      <c r="A792" s="3">
        <v>13367</v>
      </c>
      <c r="B792" s="3">
        <v>13368</v>
      </c>
      <c r="C792" s="3">
        <v>4086</v>
      </c>
      <c r="D792" s="3" t="s">
        <v>390</v>
      </c>
      <c r="E792" s="3" t="s">
        <v>529</v>
      </c>
      <c r="F792" s="3">
        <v>8610</v>
      </c>
      <c r="G792" s="3" t="s">
        <v>496</v>
      </c>
      <c r="H792" s="3" t="s">
        <v>38</v>
      </c>
      <c r="I792" s="3">
        <v>13253</v>
      </c>
      <c r="J792" s="3">
        <v>13253</v>
      </c>
      <c r="K792" s="3">
        <v>0</v>
      </c>
      <c r="L792" s="3">
        <v>13300</v>
      </c>
      <c r="M792" s="3">
        <v>13300</v>
      </c>
      <c r="N792" s="3">
        <v>0</v>
      </c>
    </row>
    <row r="793" spans="1:14" ht="14.4">
      <c r="A793" s="3">
        <v>13367</v>
      </c>
      <c r="B793" s="3">
        <v>13368</v>
      </c>
      <c r="C793" s="3">
        <v>4086</v>
      </c>
      <c r="D793" s="3" t="s">
        <v>390</v>
      </c>
      <c r="E793" s="3" t="s">
        <v>530</v>
      </c>
      <c r="F793" s="3">
        <v>8690</v>
      </c>
      <c r="G793" s="3" t="s">
        <v>496</v>
      </c>
      <c r="H793" s="3" t="s">
        <v>38</v>
      </c>
      <c r="I793" s="3">
        <v>5583</v>
      </c>
      <c r="J793" s="3">
        <v>5583</v>
      </c>
      <c r="K793" s="3">
        <v>0</v>
      </c>
      <c r="L793" s="3">
        <v>0</v>
      </c>
      <c r="M793" s="3">
        <v>0</v>
      </c>
      <c r="N793" s="3">
        <v>0</v>
      </c>
    </row>
    <row r="794" spans="1:14" ht="14.4">
      <c r="A794" s="3">
        <v>13367</v>
      </c>
      <c r="B794" s="3">
        <v>13368</v>
      </c>
      <c r="C794" s="3">
        <v>4086</v>
      </c>
      <c r="D794" s="3" t="s">
        <v>390</v>
      </c>
      <c r="E794" s="3" t="s">
        <v>531</v>
      </c>
      <c r="F794" s="3">
        <v>8037</v>
      </c>
      <c r="G794" s="3" t="s">
        <v>394</v>
      </c>
      <c r="H794" s="3" t="s">
        <v>38</v>
      </c>
      <c r="I794" s="3">
        <v>75128</v>
      </c>
      <c r="J794" s="3">
        <v>73128</v>
      </c>
      <c r="K794" s="3">
        <v>2000</v>
      </c>
      <c r="L794" s="3">
        <v>0</v>
      </c>
      <c r="M794" s="3">
        <v>0</v>
      </c>
      <c r="N794" s="3">
        <v>0</v>
      </c>
    </row>
    <row r="795" spans="1:14" ht="14.4">
      <c r="A795" s="3">
        <v>13367</v>
      </c>
      <c r="B795" s="3">
        <v>13368</v>
      </c>
      <c r="C795" s="3">
        <v>4086</v>
      </c>
      <c r="D795" s="3" t="s">
        <v>390</v>
      </c>
      <c r="E795" s="3" t="s">
        <v>532</v>
      </c>
      <c r="F795" s="3">
        <v>7640</v>
      </c>
      <c r="G795" s="3" t="s">
        <v>76</v>
      </c>
      <c r="H795" s="3" t="s">
        <v>38</v>
      </c>
      <c r="I795" s="3">
        <v>5271</v>
      </c>
      <c r="J795" s="3">
        <v>0</v>
      </c>
      <c r="K795" s="3">
        <v>5271</v>
      </c>
      <c r="L795" s="3">
        <v>0</v>
      </c>
      <c r="M795" s="3">
        <v>0</v>
      </c>
      <c r="N795" s="3">
        <v>0</v>
      </c>
    </row>
    <row r="796" spans="1:14" ht="14.4">
      <c r="A796" s="3">
        <v>13367</v>
      </c>
      <c r="B796" s="3">
        <v>13368</v>
      </c>
      <c r="C796" s="3">
        <v>4086</v>
      </c>
      <c r="D796" s="3" t="s">
        <v>390</v>
      </c>
      <c r="E796" s="3" t="s">
        <v>155</v>
      </c>
      <c r="F796" s="3">
        <v>7029</v>
      </c>
      <c r="G796" s="3" t="s">
        <v>37</v>
      </c>
      <c r="H796" s="3" t="s">
        <v>38</v>
      </c>
      <c r="I796" s="3">
        <v>3574956</v>
      </c>
      <c r="J796" s="3">
        <v>1020921</v>
      </c>
      <c r="K796" s="3">
        <v>2554035</v>
      </c>
      <c r="L796" s="3">
        <v>1410700</v>
      </c>
      <c r="M796" s="3">
        <v>686200</v>
      </c>
      <c r="N796" s="3">
        <v>635700</v>
      </c>
    </row>
    <row r="797" spans="1:14" ht="14.4">
      <c r="A797" s="3">
        <v>13367</v>
      </c>
      <c r="B797" s="3">
        <v>13368</v>
      </c>
      <c r="C797" s="3">
        <v>4086</v>
      </c>
      <c r="D797" s="3" t="s">
        <v>390</v>
      </c>
      <c r="E797" s="3" t="s">
        <v>533</v>
      </c>
      <c r="F797" s="3">
        <v>8008</v>
      </c>
      <c r="G797" s="3" t="s">
        <v>402</v>
      </c>
      <c r="H797" s="3" t="s">
        <v>38</v>
      </c>
      <c r="I797" s="3">
        <v>364686</v>
      </c>
      <c r="J797" s="3">
        <v>297577</v>
      </c>
      <c r="K797" s="3">
        <v>67109</v>
      </c>
      <c r="L797" s="3">
        <v>104900</v>
      </c>
      <c r="M797" s="3">
        <v>74200</v>
      </c>
      <c r="N797" s="3">
        <v>10500</v>
      </c>
    </row>
    <row r="798" spans="1:14" ht="14.4">
      <c r="A798" s="3">
        <v>13367</v>
      </c>
      <c r="B798" s="3">
        <v>13368</v>
      </c>
      <c r="C798" s="3">
        <v>4086</v>
      </c>
      <c r="D798" s="3" t="s">
        <v>390</v>
      </c>
      <c r="E798" s="3" t="s">
        <v>533</v>
      </c>
      <c r="F798" s="3">
        <v>8008</v>
      </c>
      <c r="G798" s="3" t="s">
        <v>429</v>
      </c>
      <c r="H798" s="3" t="s">
        <v>38</v>
      </c>
      <c r="I798" s="3">
        <v>13092</v>
      </c>
      <c r="J798" s="3">
        <v>9842</v>
      </c>
      <c r="K798" s="3">
        <v>3250</v>
      </c>
      <c r="L798" s="3">
        <v>17700</v>
      </c>
      <c r="M798" s="3">
        <v>9900</v>
      </c>
      <c r="N798" s="3">
        <v>3200</v>
      </c>
    </row>
    <row r="799" spans="1:14" ht="14.4">
      <c r="A799" s="3">
        <v>13367</v>
      </c>
      <c r="B799" s="3">
        <v>13368</v>
      </c>
      <c r="C799" s="3">
        <v>4086</v>
      </c>
      <c r="D799" s="3" t="s">
        <v>390</v>
      </c>
      <c r="E799" s="3" t="s">
        <v>534</v>
      </c>
      <c r="F799" s="3">
        <v>7604</v>
      </c>
      <c r="G799" s="3" t="s">
        <v>76</v>
      </c>
      <c r="H799" s="3" t="s">
        <v>38</v>
      </c>
      <c r="I799" s="3">
        <v>19844</v>
      </c>
      <c r="J799" s="3">
        <v>19844</v>
      </c>
      <c r="K799" s="3">
        <v>0</v>
      </c>
      <c r="L799" s="3">
        <v>79400</v>
      </c>
      <c r="M799" s="3">
        <v>19900</v>
      </c>
      <c r="N799" s="3">
        <v>0</v>
      </c>
    </row>
    <row r="800" spans="1:14" ht="14.4">
      <c r="A800" s="3">
        <v>13367</v>
      </c>
      <c r="B800" s="3">
        <v>13368</v>
      </c>
      <c r="C800" s="3">
        <v>4086</v>
      </c>
      <c r="D800" s="3" t="s">
        <v>390</v>
      </c>
      <c r="E800" s="3" t="s">
        <v>535</v>
      </c>
      <c r="F800" s="3">
        <v>8008</v>
      </c>
      <c r="G800" s="3" t="s">
        <v>402</v>
      </c>
      <c r="H800" s="3" t="s">
        <v>38</v>
      </c>
      <c r="I800" s="3">
        <v>92253</v>
      </c>
      <c r="J800" s="3">
        <v>36570</v>
      </c>
      <c r="K800" s="3">
        <v>55683</v>
      </c>
      <c r="L800" s="3">
        <v>55200</v>
      </c>
      <c r="M800" s="3">
        <v>20000</v>
      </c>
      <c r="N800" s="3">
        <v>23400</v>
      </c>
    </row>
    <row r="801" spans="1:14" ht="14.4">
      <c r="A801" s="3">
        <v>13367</v>
      </c>
      <c r="B801" s="3">
        <v>13368</v>
      </c>
      <c r="C801" s="3">
        <v>4086</v>
      </c>
      <c r="D801" s="3" t="s">
        <v>390</v>
      </c>
      <c r="E801" s="3" t="s">
        <v>536</v>
      </c>
      <c r="F801" s="3">
        <v>7506</v>
      </c>
      <c r="G801" s="3" t="s">
        <v>429</v>
      </c>
      <c r="H801" s="3" t="s">
        <v>38</v>
      </c>
      <c r="I801" s="3">
        <v>792436</v>
      </c>
      <c r="J801" s="3">
        <v>792436</v>
      </c>
      <c r="K801" s="3">
        <v>0</v>
      </c>
      <c r="L801" s="3">
        <v>792400</v>
      </c>
      <c r="M801" s="3">
        <v>792400</v>
      </c>
      <c r="N801" s="3">
        <v>0</v>
      </c>
    </row>
    <row r="802" spans="1:14" ht="14.4">
      <c r="A802" s="3">
        <v>13367</v>
      </c>
      <c r="B802" s="3">
        <v>13368</v>
      </c>
      <c r="C802" s="3">
        <v>4086</v>
      </c>
      <c r="D802" s="3" t="s">
        <v>390</v>
      </c>
      <c r="E802" s="3" t="s">
        <v>537</v>
      </c>
      <c r="F802" s="3">
        <v>7730</v>
      </c>
      <c r="G802" s="3" t="s">
        <v>392</v>
      </c>
      <c r="H802" s="3" t="s">
        <v>38</v>
      </c>
      <c r="I802" s="3">
        <v>333415</v>
      </c>
      <c r="J802" s="3">
        <v>202831</v>
      </c>
      <c r="K802" s="3">
        <v>130584</v>
      </c>
      <c r="L802" s="3">
        <v>148400</v>
      </c>
      <c r="M802" s="3">
        <v>0</v>
      </c>
      <c r="N802" s="3">
        <v>8000</v>
      </c>
    </row>
    <row r="803" spans="1:14" ht="14.4">
      <c r="A803" s="3">
        <v>13367</v>
      </c>
      <c r="B803" s="3">
        <v>13368</v>
      </c>
      <c r="C803" s="3">
        <v>4086</v>
      </c>
      <c r="D803" s="3" t="s">
        <v>390</v>
      </c>
      <c r="E803" s="3" t="s">
        <v>538</v>
      </c>
      <c r="F803" s="3">
        <v>8324</v>
      </c>
      <c r="G803" s="3" t="s">
        <v>452</v>
      </c>
      <c r="H803" s="3" t="s">
        <v>38</v>
      </c>
      <c r="I803" s="3">
        <v>246397</v>
      </c>
      <c r="J803" s="3">
        <v>75895</v>
      </c>
      <c r="K803" s="3">
        <v>170502</v>
      </c>
      <c r="L803" s="3">
        <v>28500</v>
      </c>
      <c r="M803" s="3">
        <v>0</v>
      </c>
      <c r="N803" s="3">
        <v>22000</v>
      </c>
    </row>
    <row r="804" spans="1:14" ht="14.4">
      <c r="A804" s="3">
        <v>13367</v>
      </c>
      <c r="B804" s="3">
        <v>13368</v>
      </c>
      <c r="C804" s="3">
        <v>4086</v>
      </c>
      <c r="D804" s="3" t="s">
        <v>390</v>
      </c>
      <c r="E804" s="3" t="s">
        <v>539</v>
      </c>
      <c r="F804" s="3">
        <v>7421</v>
      </c>
      <c r="G804" s="3" t="s">
        <v>429</v>
      </c>
      <c r="H804" s="3" t="s">
        <v>38</v>
      </c>
      <c r="I804" s="3">
        <v>23397</v>
      </c>
      <c r="J804" s="3">
        <v>19897</v>
      </c>
      <c r="K804" s="3">
        <v>3500</v>
      </c>
      <c r="L804" s="3">
        <v>0</v>
      </c>
      <c r="M804" s="3">
        <v>0</v>
      </c>
      <c r="N804" s="3">
        <v>0</v>
      </c>
    </row>
    <row r="805" spans="1:14" ht="14.4">
      <c r="A805" s="3">
        <v>13367</v>
      </c>
      <c r="B805" s="3">
        <v>13368</v>
      </c>
      <c r="C805" s="3">
        <v>4086</v>
      </c>
      <c r="D805" s="3" t="s">
        <v>390</v>
      </c>
      <c r="E805" s="3" t="s">
        <v>540</v>
      </c>
      <c r="F805" s="3">
        <v>7732</v>
      </c>
      <c r="G805" s="3" t="s">
        <v>392</v>
      </c>
      <c r="H805" s="3" t="s">
        <v>38</v>
      </c>
      <c r="I805" s="3">
        <v>104326</v>
      </c>
      <c r="J805" s="3">
        <v>97626</v>
      </c>
      <c r="K805" s="3">
        <v>6700</v>
      </c>
      <c r="L805" s="3">
        <v>7800</v>
      </c>
      <c r="M805" s="3">
        <v>0</v>
      </c>
      <c r="N805" s="3">
        <v>0</v>
      </c>
    </row>
    <row r="806" spans="1:14" ht="14.4">
      <c r="A806" s="3">
        <v>13367</v>
      </c>
      <c r="B806" s="3">
        <v>13368</v>
      </c>
      <c r="C806" s="3">
        <v>4086</v>
      </c>
      <c r="D806" s="3" t="s">
        <v>390</v>
      </c>
      <c r="E806" s="3" t="s">
        <v>541</v>
      </c>
      <c r="F806" s="3">
        <v>8402</v>
      </c>
      <c r="G806" s="3" t="s">
        <v>394</v>
      </c>
      <c r="H806" s="3" t="s">
        <v>38</v>
      </c>
      <c r="I806" s="3">
        <v>45094</v>
      </c>
      <c r="J806" s="3">
        <v>0</v>
      </c>
      <c r="K806" s="3">
        <v>45094</v>
      </c>
      <c r="L806" s="3">
        <v>45100</v>
      </c>
      <c r="M806" s="3">
        <v>0</v>
      </c>
      <c r="N806" s="3">
        <v>45100</v>
      </c>
    </row>
    <row r="807" spans="1:14" ht="14.4">
      <c r="A807" s="3">
        <v>13367</v>
      </c>
      <c r="B807" s="3">
        <v>13368</v>
      </c>
      <c r="C807" s="3">
        <v>4086</v>
      </c>
      <c r="D807" s="3" t="s">
        <v>390</v>
      </c>
      <c r="E807" s="3" t="s">
        <v>541</v>
      </c>
      <c r="F807" s="3">
        <v>8904</v>
      </c>
      <c r="G807" s="3" t="s">
        <v>406</v>
      </c>
      <c r="H807" s="3" t="s">
        <v>38</v>
      </c>
      <c r="I807" s="3">
        <v>8169</v>
      </c>
      <c r="J807" s="3">
        <v>8169</v>
      </c>
      <c r="K807" s="3">
        <v>0</v>
      </c>
      <c r="L807" s="3">
        <v>8200</v>
      </c>
      <c r="M807" s="3">
        <v>8200</v>
      </c>
      <c r="N807" s="3">
        <v>0</v>
      </c>
    </row>
    <row r="808" spans="1:14" ht="14.4">
      <c r="A808" s="3">
        <v>13367</v>
      </c>
      <c r="B808" s="3">
        <v>13368</v>
      </c>
      <c r="C808" s="3">
        <v>4086</v>
      </c>
      <c r="D808" s="3" t="s">
        <v>390</v>
      </c>
      <c r="E808" s="3" t="s">
        <v>542</v>
      </c>
      <c r="F808" s="3">
        <v>7732</v>
      </c>
      <c r="G808" s="3" t="s">
        <v>392</v>
      </c>
      <c r="H808" s="3" t="s">
        <v>38</v>
      </c>
      <c r="I808" s="3">
        <v>16836511</v>
      </c>
      <c r="J808" s="3">
        <v>14536183</v>
      </c>
      <c r="K808" s="3">
        <v>2300328</v>
      </c>
      <c r="L808" s="3">
        <v>1815900</v>
      </c>
      <c r="M808" s="3">
        <v>1311000</v>
      </c>
      <c r="N808" s="3">
        <v>351000</v>
      </c>
    </row>
    <row r="809" spans="1:14" ht="14.4">
      <c r="A809" s="3">
        <v>13367</v>
      </c>
      <c r="B809" s="3">
        <v>13368</v>
      </c>
      <c r="C809" s="3">
        <v>4086</v>
      </c>
      <c r="D809" s="3" t="s">
        <v>390</v>
      </c>
      <c r="E809" s="3" t="s">
        <v>542</v>
      </c>
      <c r="F809" s="3">
        <v>7740</v>
      </c>
      <c r="G809" s="3" t="s">
        <v>392</v>
      </c>
      <c r="H809" s="3" t="s">
        <v>38</v>
      </c>
      <c r="I809" s="3">
        <v>14195</v>
      </c>
      <c r="J809" s="3">
        <v>0</v>
      </c>
      <c r="K809" s="3">
        <v>14195</v>
      </c>
      <c r="L809" s="3">
        <v>0</v>
      </c>
      <c r="M809" s="3">
        <v>0</v>
      </c>
      <c r="N809" s="3">
        <v>0</v>
      </c>
    </row>
    <row r="810" spans="1:14" ht="14.4">
      <c r="A810" s="3">
        <v>13367</v>
      </c>
      <c r="B810" s="3">
        <v>13368</v>
      </c>
      <c r="C810" s="3">
        <v>4086</v>
      </c>
      <c r="D810" s="3" t="s">
        <v>390</v>
      </c>
      <c r="E810" s="3" t="s">
        <v>542</v>
      </c>
      <c r="F810" s="3">
        <v>7748</v>
      </c>
      <c r="G810" s="3" t="s">
        <v>392</v>
      </c>
      <c r="H810" s="3" t="s">
        <v>38</v>
      </c>
      <c r="I810" s="3">
        <v>14992</v>
      </c>
      <c r="J810" s="3">
        <v>12892</v>
      </c>
      <c r="K810" s="3">
        <v>2100</v>
      </c>
      <c r="L810" s="3">
        <v>0</v>
      </c>
      <c r="M810" s="3">
        <v>0</v>
      </c>
      <c r="N810" s="3">
        <v>0</v>
      </c>
    </row>
    <row r="811" spans="1:14" ht="14.4">
      <c r="A811" s="3">
        <v>13367</v>
      </c>
      <c r="B811" s="3">
        <v>13368</v>
      </c>
      <c r="C811" s="3">
        <v>4086</v>
      </c>
      <c r="D811" s="3" t="s">
        <v>390</v>
      </c>
      <c r="E811" s="3" t="s">
        <v>542</v>
      </c>
      <c r="F811" s="3">
        <v>8854</v>
      </c>
      <c r="G811" s="3" t="s">
        <v>392</v>
      </c>
      <c r="H811" s="3" t="s">
        <v>38</v>
      </c>
      <c r="I811" s="3">
        <v>50694</v>
      </c>
      <c r="J811" s="3">
        <v>48294</v>
      </c>
      <c r="K811" s="3">
        <v>2400</v>
      </c>
      <c r="L811" s="3">
        <v>0</v>
      </c>
      <c r="M811" s="3">
        <v>0</v>
      </c>
      <c r="N811" s="3">
        <v>0</v>
      </c>
    </row>
    <row r="812" spans="1:14" ht="14.4">
      <c r="A812" s="3">
        <v>13367</v>
      </c>
      <c r="B812" s="3">
        <v>13368</v>
      </c>
      <c r="C812" s="3">
        <v>4086</v>
      </c>
      <c r="D812" s="3" t="s">
        <v>390</v>
      </c>
      <c r="E812" s="3" t="s">
        <v>543</v>
      </c>
      <c r="F812" s="3">
        <v>8210</v>
      </c>
      <c r="G812" s="3" t="s">
        <v>404</v>
      </c>
      <c r="H812" s="3" t="s">
        <v>38</v>
      </c>
      <c r="I812" s="3">
        <v>109744</v>
      </c>
      <c r="J812" s="3">
        <v>108094</v>
      </c>
      <c r="K812" s="3">
        <v>1650</v>
      </c>
      <c r="L812" s="3">
        <v>90300</v>
      </c>
      <c r="M812" s="3">
        <v>88700</v>
      </c>
      <c r="N812" s="3">
        <v>1600</v>
      </c>
    </row>
    <row r="813" spans="1:14" ht="14.4">
      <c r="A813" s="3">
        <v>13367</v>
      </c>
      <c r="B813" s="3">
        <v>13368</v>
      </c>
      <c r="C813" s="3">
        <v>4086</v>
      </c>
      <c r="D813" s="3" t="s">
        <v>390</v>
      </c>
      <c r="E813" s="3" t="s">
        <v>544</v>
      </c>
      <c r="F813" s="3">
        <v>8520</v>
      </c>
      <c r="G813" s="3" t="s">
        <v>496</v>
      </c>
      <c r="H813" s="3" t="s">
        <v>38</v>
      </c>
      <c r="I813" s="3">
        <v>14556</v>
      </c>
      <c r="J813" s="3">
        <v>140</v>
      </c>
      <c r="K813" s="3">
        <v>14416</v>
      </c>
      <c r="L813" s="3">
        <v>0</v>
      </c>
      <c r="M813" s="3">
        <v>0</v>
      </c>
      <c r="N813" s="3">
        <v>0</v>
      </c>
    </row>
    <row r="814" spans="1:14" ht="14.4">
      <c r="A814" s="3">
        <v>13367</v>
      </c>
      <c r="B814" s="3">
        <v>13368</v>
      </c>
      <c r="C814" s="3">
        <v>4086</v>
      </c>
      <c r="D814" s="3" t="s">
        <v>390</v>
      </c>
      <c r="E814" s="3" t="s">
        <v>545</v>
      </c>
      <c r="F814" s="3">
        <v>7025</v>
      </c>
      <c r="G814" s="3" t="s">
        <v>435</v>
      </c>
      <c r="H814" s="3" t="s">
        <v>38</v>
      </c>
      <c r="I814" s="3">
        <v>164096</v>
      </c>
      <c r="J814" s="3">
        <v>159096</v>
      </c>
      <c r="K814" s="3">
        <v>5000</v>
      </c>
      <c r="L814" s="3">
        <v>0</v>
      </c>
      <c r="M814" s="3">
        <v>0</v>
      </c>
      <c r="N814" s="3">
        <v>0</v>
      </c>
    </row>
    <row r="815" spans="1:14" ht="14.4">
      <c r="A815" s="3">
        <v>13367</v>
      </c>
      <c r="B815" s="3">
        <v>13368</v>
      </c>
      <c r="C815" s="3">
        <v>4086</v>
      </c>
      <c r="D815" s="3" t="s">
        <v>390</v>
      </c>
      <c r="E815" s="3" t="s">
        <v>545</v>
      </c>
      <c r="F815" s="3">
        <v>7205</v>
      </c>
      <c r="G815" s="3" t="s">
        <v>435</v>
      </c>
      <c r="H815" s="3" t="s">
        <v>38</v>
      </c>
      <c r="I815" s="3">
        <v>99258</v>
      </c>
      <c r="J815" s="3">
        <v>46292</v>
      </c>
      <c r="K815" s="3">
        <v>52966</v>
      </c>
      <c r="L815" s="3">
        <v>18000</v>
      </c>
      <c r="M815" s="3">
        <v>18000</v>
      </c>
      <c r="N815" s="3">
        <v>0</v>
      </c>
    </row>
    <row r="816" spans="1:14" ht="14.4">
      <c r="A816" s="3">
        <v>13367</v>
      </c>
      <c r="B816" s="3">
        <v>13368</v>
      </c>
      <c r="C816" s="3">
        <v>4086</v>
      </c>
      <c r="D816" s="3" t="s">
        <v>390</v>
      </c>
      <c r="E816" s="3" t="s">
        <v>162</v>
      </c>
      <c r="F816" s="3">
        <v>7030</v>
      </c>
      <c r="G816" s="3" t="s">
        <v>37</v>
      </c>
      <c r="H816" s="3" t="s">
        <v>38</v>
      </c>
      <c r="I816" s="3">
        <v>9834150</v>
      </c>
      <c r="J816" s="3">
        <v>4889890</v>
      </c>
      <c r="K816" s="3">
        <v>4944260</v>
      </c>
      <c r="L816" s="3">
        <v>5663600</v>
      </c>
      <c r="M816" s="3">
        <v>2459900</v>
      </c>
      <c r="N816" s="3">
        <v>2206300</v>
      </c>
    </row>
    <row r="817" spans="1:14" ht="14.4">
      <c r="A817" s="3">
        <v>13367</v>
      </c>
      <c r="B817" s="3">
        <v>13368</v>
      </c>
      <c r="C817" s="3">
        <v>4086</v>
      </c>
      <c r="D817" s="3" t="s">
        <v>390</v>
      </c>
      <c r="E817" s="3" t="s">
        <v>162</v>
      </c>
      <c r="F817" s="3">
        <v>7430</v>
      </c>
      <c r="G817" s="3" t="s">
        <v>37</v>
      </c>
      <c r="H817" s="3" t="s">
        <v>38</v>
      </c>
      <c r="I817" s="3">
        <v>12033</v>
      </c>
      <c r="J817" s="3">
        <v>12033</v>
      </c>
      <c r="K817" s="3">
        <v>0</v>
      </c>
      <c r="L817" s="3">
        <v>0</v>
      </c>
      <c r="M817" s="3">
        <v>0</v>
      </c>
      <c r="N817" s="3">
        <v>0</v>
      </c>
    </row>
    <row r="818" spans="1:14" ht="14.4">
      <c r="A818" s="3">
        <v>13367</v>
      </c>
      <c r="B818" s="3">
        <v>13368</v>
      </c>
      <c r="C818" s="3">
        <v>4086</v>
      </c>
      <c r="D818" s="3" t="s">
        <v>390</v>
      </c>
      <c r="E818" s="3" t="s">
        <v>546</v>
      </c>
      <c r="F818" s="3">
        <v>8008</v>
      </c>
      <c r="G818" s="3" t="s">
        <v>441</v>
      </c>
      <c r="H818" s="3" t="s">
        <v>38</v>
      </c>
      <c r="I818" s="3">
        <v>9044</v>
      </c>
      <c r="J818" s="3">
        <v>6394</v>
      </c>
      <c r="K818" s="3">
        <v>2650</v>
      </c>
      <c r="L818" s="3">
        <v>0</v>
      </c>
      <c r="M818" s="3">
        <v>0</v>
      </c>
      <c r="N818" s="3">
        <v>0</v>
      </c>
    </row>
    <row r="819" spans="1:14" ht="14.4">
      <c r="A819" s="3">
        <v>13367</v>
      </c>
      <c r="B819" s="3">
        <v>13368</v>
      </c>
      <c r="C819" s="3">
        <v>4086</v>
      </c>
      <c r="D819" s="3" t="s">
        <v>390</v>
      </c>
      <c r="E819" s="3" t="s">
        <v>546</v>
      </c>
      <c r="F819" s="3">
        <v>7088</v>
      </c>
      <c r="G819" s="3" t="s">
        <v>402</v>
      </c>
      <c r="H819" s="3" t="s">
        <v>38</v>
      </c>
      <c r="I819" s="3">
        <v>91026</v>
      </c>
      <c r="J819" s="3">
        <v>86826</v>
      </c>
      <c r="K819" s="3">
        <v>4200</v>
      </c>
      <c r="L819" s="3">
        <v>0</v>
      </c>
      <c r="M819" s="3">
        <v>0</v>
      </c>
      <c r="N819" s="3">
        <v>0</v>
      </c>
    </row>
    <row r="820" spans="1:14" ht="14.4">
      <c r="A820" s="3">
        <v>13367</v>
      </c>
      <c r="B820" s="3">
        <v>13368</v>
      </c>
      <c r="C820" s="3">
        <v>4086</v>
      </c>
      <c r="D820" s="3" t="s">
        <v>390</v>
      </c>
      <c r="E820" s="3" t="s">
        <v>546</v>
      </c>
      <c r="F820" s="3">
        <v>8008</v>
      </c>
      <c r="G820" s="3" t="s">
        <v>402</v>
      </c>
      <c r="H820" s="3" t="s">
        <v>38</v>
      </c>
      <c r="I820" s="3">
        <v>239568</v>
      </c>
      <c r="J820" s="3">
        <v>203817</v>
      </c>
      <c r="K820" s="3">
        <v>35751</v>
      </c>
      <c r="L820" s="3">
        <v>58600</v>
      </c>
      <c r="M820" s="3">
        <v>46800</v>
      </c>
      <c r="N820" s="3">
        <v>11800</v>
      </c>
    </row>
    <row r="821" spans="1:14" ht="14.4">
      <c r="A821" s="3">
        <v>13367</v>
      </c>
      <c r="B821" s="3">
        <v>13368</v>
      </c>
      <c r="C821" s="3">
        <v>4086</v>
      </c>
      <c r="D821" s="3" t="s">
        <v>390</v>
      </c>
      <c r="E821" s="3" t="s">
        <v>547</v>
      </c>
      <c r="F821" s="3">
        <v>7733</v>
      </c>
      <c r="G821" s="3" t="s">
        <v>392</v>
      </c>
      <c r="H821" s="3" t="s">
        <v>38</v>
      </c>
      <c r="I821" s="3">
        <v>210396</v>
      </c>
      <c r="J821" s="3">
        <v>99025</v>
      </c>
      <c r="K821" s="3">
        <v>111371</v>
      </c>
      <c r="L821" s="3">
        <v>1700</v>
      </c>
      <c r="M821" s="3">
        <v>0</v>
      </c>
      <c r="N821" s="3">
        <v>1700</v>
      </c>
    </row>
    <row r="822" spans="1:14" ht="14.4">
      <c r="A822" s="3">
        <v>13367</v>
      </c>
      <c r="B822" s="3">
        <v>13368</v>
      </c>
      <c r="C822" s="3">
        <v>4086</v>
      </c>
      <c r="D822" s="3" t="s">
        <v>390</v>
      </c>
      <c r="E822" s="3" t="s">
        <v>548</v>
      </c>
      <c r="F822" s="3">
        <v>7843</v>
      </c>
      <c r="G822" s="3" t="s">
        <v>462</v>
      </c>
      <c r="H822" s="3" t="s">
        <v>38</v>
      </c>
      <c r="I822" s="3">
        <v>5541</v>
      </c>
      <c r="J822" s="3">
        <v>0</v>
      </c>
      <c r="K822" s="3">
        <v>5541</v>
      </c>
      <c r="L822" s="3">
        <v>0</v>
      </c>
      <c r="M822" s="3">
        <v>0</v>
      </c>
      <c r="N822" s="3">
        <v>0</v>
      </c>
    </row>
    <row r="823" spans="1:14" ht="14.4">
      <c r="A823" s="3">
        <v>13367</v>
      </c>
      <c r="B823" s="3">
        <v>13368</v>
      </c>
      <c r="C823" s="3">
        <v>4086</v>
      </c>
      <c r="D823" s="3" t="s">
        <v>390</v>
      </c>
      <c r="E823" s="3" t="s">
        <v>549</v>
      </c>
      <c r="F823" s="3">
        <v>7727</v>
      </c>
      <c r="G823" s="3" t="s">
        <v>392</v>
      </c>
      <c r="H823" s="3" t="s">
        <v>38</v>
      </c>
      <c r="I823" s="3">
        <v>17709</v>
      </c>
      <c r="J823" s="3">
        <v>17709</v>
      </c>
      <c r="K823" s="3">
        <v>0</v>
      </c>
      <c r="L823" s="3">
        <v>0</v>
      </c>
      <c r="M823" s="3">
        <v>0</v>
      </c>
      <c r="N823" s="3">
        <v>0</v>
      </c>
    </row>
    <row r="824" spans="1:14" ht="14.4">
      <c r="A824" s="3">
        <v>13367</v>
      </c>
      <c r="B824" s="3">
        <v>13368</v>
      </c>
      <c r="C824" s="3">
        <v>4086</v>
      </c>
      <c r="D824" s="3" t="s">
        <v>390</v>
      </c>
      <c r="E824" s="3" t="s">
        <v>549</v>
      </c>
      <c r="F824" s="3">
        <v>7731</v>
      </c>
      <c r="G824" s="3" t="s">
        <v>392</v>
      </c>
      <c r="H824" s="3" t="s">
        <v>38</v>
      </c>
      <c r="I824" s="3">
        <v>238912</v>
      </c>
      <c r="J824" s="3">
        <v>153689</v>
      </c>
      <c r="K824" s="3">
        <v>85223</v>
      </c>
      <c r="L824" s="3">
        <v>243900</v>
      </c>
      <c r="M824" s="3">
        <v>108900</v>
      </c>
      <c r="N824" s="3">
        <v>29200</v>
      </c>
    </row>
    <row r="825" spans="1:14" ht="14.4">
      <c r="A825" s="3">
        <v>13367</v>
      </c>
      <c r="B825" s="3">
        <v>13368</v>
      </c>
      <c r="C825" s="3">
        <v>4086</v>
      </c>
      <c r="D825" s="3" t="s">
        <v>390</v>
      </c>
      <c r="E825" s="3" t="s">
        <v>550</v>
      </c>
      <c r="F825" s="3">
        <v>7712</v>
      </c>
      <c r="G825" s="3" t="s">
        <v>392</v>
      </c>
      <c r="H825" s="3" t="s">
        <v>38</v>
      </c>
      <c r="I825" s="3">
        <v>102914</v>
      </c>
      <c r="J825" s="3">
        <v>102914</v>
      </c>
      <c r="K825" s="3">
        <v>0</v>
      </c>
      <c r="L825" s="3">
        <v>0</v>
      </c>
      <c r="M825" s="3">
        <v>0</v>
      </c>
      <c r="N825" s="3">
        <v>0</v>
      </c>
    </row>
    <row r="826" spans="1:14" ht="14.4">
      <c r="A826" s="3">
        <v>13367</v>
      </c>
      <c r="B826" s="3">
        <v>13368</v>
      </c>
      <c r="C826" s="3">
        <v>4086</v>
      </c>
      <c r="D826" s="3" t="s">
        <v>390</v>
      </c>
      <c r="E826" s="3" t="s">
        <v>171</v>
      </c>
      <c r="F826" s="3">
        <v>7111</v>
      </c>
      <c r="G826" s="3" t="s">
        <v>428</v>
      </c>
      <c r="H826" s="3" t="s">
        <v>38</v>
      </c>
      <c r="I826" s="3">
        <v>236780</v>
      </c>
      <c r="J826" s="3">
        <v>194843</v>
      </c>
      <c r="K826" s="3">
        <v>41937</v>
      </c>
      <c r="L826" s="3">
        <v>73100</v>
      </c>
      <c r="M826" s="3">
        <v>25800</v>
      </c>
      <c r="N826" s="3">
        <v>7000</v>
      </c>
    </row>
    <row r="827" spans="1:14" ht="14.4">
      <c r="A827" s="3">
        <v>13367</v>
      </c>
      <c r="B827" s="3">
        <v>13368</v>
      </c>
      <c r="C827" s="3">
        <v>4086</v>
      </c>
      <c r="D827" s="3" t="s">
        <v>390</v>
      </c>
      <c r="E827" s="3" t="s">
        <v>551</v>
      </c>
      <c r="F827" s="3">
        <v>8830</v>
      </c>
      <c r="G827" s="3" t="s">
        <v>406</v>
      </c>
      <c r="H827" s="3" t="s">
        <v>38</v>
      </c>
      <c r="I827" s="3">
        <v>58503</v>
      </c>
      <c r="J827" s="3">
        <v>3990</v>
      </c>
      <c r="K827" s="3">
        <v>54513</v>
      </c>
      <c r="L827" s="3">
        <v>46100</v>
      </c>
      <c r="M827" s="3">
        <v>0</v>
      </c>
      <c r="N827" s="3">
        <v>0</v>
      </c>
    </row>
    <row r="828" spans="1:14" ht="14.4">
      <c r="A828" s="3">
        <v>13367</v>
      </c>
      <c r="B828" s="3">
        <v>13368</v>
      </c>
      <c r="C828" s="3">
        <v>4086</v>
      </c>
      <c r="D828" s="3" t="s">
        <v>390</v>
      </c>
      <c r="E828" s="3" t="s">
        <v>552</v>
      </c>
      <c r="F828" s="3">
        <v>8732</v>
      </c>
      <c r="G828" s="3" t="s">
        <v>402</v>
      </c>
      <c r="H828" s="3" t="s">
        <v>38</v>
      </c>
      <c r="I828" s="3">
        <v>85732</v>
      </c>
      <c r="J828" s="3">
        <v>82632</v>
      </c>
      <c r="K828" s="3">
        <v>3100</v>
      </c>
      <c r="L828" s="3">
        <v>0</v>
      </c>
      <c r="M828" s="3">
        <v>0</v>
      </c>
      <c r="N828" s="3">
        <v>0</v>
      </c>
    </row>
    <row r="829" spans="1:14" ht="14.4">
      <c r="A829" s="3">
        <v>13367</v>
      </c>
      <c r="B829" s="3">
        <v>13368</v>
      </c>
      <c r="C829" s="3">
        <v>4086</v>
      </c>
      <c r="D829" s="3" t="s">
        <v>390</v>
      </c>
      <c r="E829" s="3" t="s">
        <v>553</v>
      </c>
      <c r="F829" s="3">
        <v>8732</v>
      </c>
      <c r="G829" s="3" t="s">
        <v>402</v>
      </c>
      <c r="H829" s="3" t="s">
        <v>38</v>
      </c>
      <c r="I829" s="3">
        <v>11542</v>
      </c>
      <c r="J829" s="3">
        <v>11542</v>
      </c>
      <c r="K829" s="3">
        <v>0</v>
      </c>
      <c r="L829" s="3">
        <v>0</v>
      </c>
      <c r="M829" s="3">
        <v>0</v>
      </c>
      <c r="N829" s="3">
        <v>0</v>
      </c>
    </row>
    <row r="830" spans="1:14" ht="14.4">
      <c r="A830" s="3">
        <v>13367</v>
      </c>
      <c r="B830" s="3">
        <v>13368</v>
      </c>
      <c r="C830" s="3">
        <v>4086</v>
      </c>
      <c r="D830" s="3" t="s">
        <v>390</v>
      </c>
      <c r="E830" s="3" t="s">
        <v>554</v>
      </c>
      <c r="F830" s="3">
        <v>7732</v>
      </c>
      <c r="G830" s="3" t="s">
        <v>392</v>
      </c>
      <c r="H830" s="3" t="s">
        <v>38</v>
      </c>
      <c r="I830" s="3">
        <v>361093</v>
      </c>
      <c r="J830" s="3">
        <v>0</v>
      </c>
      <c r="K830" s="3">
        <v>361093</v>
      </c>
      <c r="L830" s="3">
        <v>0</v>
      </c>
      <c r="M830" s="3">
        <v>0</v>
      </c>
      <c r="N830" s="3">
        <v>0</v>
      </c>
    </row>
    <row r="831" spans="1:14" ht="14.4">
      <c r="A831" s="3">
        <v>13367</v>
      </c>
      <c r="B831" s="3">
        <v>13368</v>
      </c>
      <c r="C831" s="3">
        <v>4086</v>
      </c>
      <c r="D831" s="3" t="s">
        <v>390</v>
      </c>
      <c r="E831" s="3" t="s">
        <v>555</v>
      </c>
      <c r="F831" s="3">
        <v>8527</v>
      </c>
      <c r="G831" s="3" t="s">
        <v>392</v>
      </c>
      <c r="H831" s="3" t="s">
        <v>38</v>
      </c>
      <c r="I831" s="3">
        <v>368903</v>
      </c>
      <c r="J831" s="3">
        <v>154988</v>
      </c>
      <c r="K831" s="3">
        <v>213915</v>
      </c>
      <c r="L831" s="3">
        <v>0</v>
      </c>
      <c r="M831" s="3">
        <v>0</v>
      </c>
      <c r="N831" s="3">
        <v>0</v>
      </c>
    </row>
    <row r="832" spans="1:14" ht="14.4">
      <c r="A832" s="3">
        <v>13367</v>
      </c>
      <c r="B832" s="3">
        <v>13368</v>
      </c>
      <c r="C832" s="3">
        <v>4086</v>
      </c>
      <c r="D832" s="3" t="s">
        <v>390</v>
      </c>
      <c r="E832" s="3" t="s">
        <v>556</v>
      </c>
      <c r="F832" s="3">
        <v>8831</v>
      </c>
      <c r="G832" s="3" t="s">
        <v>406</v>
      </c>
      <c r="H832" s="3" t="s">
        <v>38</v>
      </c>
      <c r="I832" s="3">
        <v>112273</v>
      </c>
      <c r="J832" s="3">
        <v>100773</v>
      </c>
      <c r="K832" s="3">
        <v>11500</v>
      </c>
      <c r="L832" s="3">
        <v>53600</v>
      </c>
      <c r="M832" s="3">
        <v>37100</v>
      </c>
      <c r="N832" s="3">
        <v>11500</v>
      </c>
    </row>
    <row r="833" spans="1:14" ht="14.4">
      <c r="A833" s="3">
        <v>13367</v>
      </c>
      <c r="B833" s="3">
        <v>13368</v>
      </c>
      <c r="C833" s="3">
        <v>4086</v>
      </c>
      <c r="D833" s="3" t="s">
        <v>390</v>
      </c>
      <c r="E833" s="3" t="s">
        <v>557</v>
      </c>
      <c r="F833" s="3">
        <v>7305</v>
      </c>
      <c r="G833" s="3" t="s">
        <v>37</v>
      </c>
      <c r="H833" s="3" t="s">
        <v>38</v>
      </c>
      <c r="I833" s="3">
        <v>53414</v>
      </c>
      <c r="J833" s="3">
        <v>50814</v>
      </c>
      <c r="K833" s="3">
        <v>2600</v>
      </c>
      <c r="L833" s="3">
        <v>0</v>
      </c>
      <c r="M833" s="3">
        <v>0</v>
      </c>
      <c r="N833" s="3">
        <v>0</v>
      </c>
    </row>
    <row r="834" spans="1:14" ht="14.4">
      <c r="A834" s="3">
        <v>13367</v>
      </c>
      <c r="B834" s="3">
        <v>13368</v>
      </c>
      <c r="C834" s="3">
        <v>4086</v>
      </c>
      <c r="D834" s="3" t="s">
        <v>390</v>
      </c>
      <c r="E834" s="3" t="s">
        <v>558</v>
      </c>
      <c r="F834" s="3">
        <v>7302</v>
      </c>
      <c r="G834" s="3" t="s">
        <v>76</v>
      </c>
      <c r="H834" s="3" t="s">
        <v>38</v>
      </c>
      <c r="I834" s="3">
        <v>49496</v>
      </c>
      <c r="J834" s="3">
        <v>13446</v>
      </c>
      <c r="K834" s="3">
        <v>36050</v>
      </c>
      <c r="L834" s="3">
        <v>0</v>
      </c>
      <c r="M834" s="3">
        <v>0</v>
      </c>
      <c r="N834" s="3">
        <v>0</v>
      </c>
    </row>
    <row r="835" spans="1:14" ht="14.4">
      <c r="A835" s="3">
        <v>13367</v>
      </c>
      <c r="B835" s="3">
        <v>13368</v>
      </c>
      <c r="C835" s="3">
        <v>4086</v>
      </c>
      <c r="D835" s="3" t="s">
        <v>390</v>
      </c>
      <c r="E835" s="3" t="s">
        <v>558</v>
      </c>
      <c r="F835" s="3">
        <v>7030</v>
      </c>
      <c r="G835" s="3" t="s">
        <v>37</v>
      </c>
      <c r="H835" s="3" t="s">
        <v>38</v>
      </c>
      <c r="I835" s="3">
        <v>4000</v>
      </c>
      <c r="J835" s="3">
        <v>0</v>
      </c>
      <c r="K835" s="3">
        <v>4000</v>
      </c>
      <c r="L835" s="3">
        <v>0</v>
      </c>
      <c r="M835" s="3">
        <v>0</v>
      </c>
      <c r="N835" s="3">
        <v>0</v>
      </c>
    </row>
    <row r="836" spans="1:14" ht="14.4">
      <c r="A836" s="3">
        <v>13367</v>
      </c>
      <c r="B836" s="3">
        <v>13368</v>
      </c>
      <c r="C836" s="3">
        <v>4086</v>
      </c>
      <c r="D836" s="3" t="s">
        <v>390</v>
      </c>
      <c r="E836" s="3" t="s">
        <v>558</v>
      </c>
      <c r="F836" s="3">
        <v>7302</v>
      </c>
      <c r="G836" s="3" t="s">
        <v>37</v>
      </c>
      <c r="H836" s="3" t="s">
        <v>38</v>
      </c>
      <c r="I836" s="3">
        <v>6852514</v>
      </c>
      <c r="J836" s="3">
        <v>4480848</v>
      </c>
      <c r="K836" s="3">
        <v>2371666</v>
      </c>
      <c r="L836" s="3">
        <v>2698300</v>
      </c>
      <c r="M836" s="3">
        <v>1426600</v>
      </c>
      <c r="N836" s="3">
        <v>971300</v>
      </c>
    </row>
    <row r="837" spans="1:14" ht="14.4">
      <c r="A837" s="3">
        <v>13367</v>
      </c>
      <c r="B837" s="3">
        <v>13368</v>
      </c>
      <c r="C837" s="3">
        <v>4086</v>
      </c>
      <c r="D837" s="3" t="s">
        <v>390</v>
      </c>
      <c r="E837" s="3" t="s">
        <v>558</v>
      </c>
      <c r="F837" s="3">
        <v>7304</v>
      </c>
      <c r="G837" s="3" t="s">
        <v>37</v>
      </c>
      <c r="H837" s="3" t="s">
        <v>38</v>
      </c>
      <c r="I837" s="3">
        <v>2058318</v>
      </c>
      <c r="J837" s="3">
        <v>821634</v>
      </c>
      <c r="K837" s="3">
        <v>1236684</v>
      </c>
      <c r="L837" s="3">
        <v>1014200</v>
      </c>
      <c r="M837" s="3">
        <v>199100</v>
      </c>
      <c r="N837" s="3">
        <v>68500</v>
      </c>
    </row>
    <row r="838" spans="1:14" ht="14.4">
      <c r="A838" s="3">
        <v>13367</v>
      </c>
      <c r="B838" s="3">
        <v>13368</v>
      </c>
      <c r="C838" s="3">
        <v>4086</v>
      </c>
      <c r="D838" s="3" t="s">
        <v>390</v>
      </c>
      <c r="E838" s="3" t="s">
        <v>558</v>
      </c>
      <c r="F838" s="3">
        <v>7305</v>
      </c>
      <c r="G838" s="3" t="s">
        <v>37</v>
      </c>
      <c r="H838" s="3" t="s">
        <v>38</v>
      </c>
      <c r="I838" s="3">
        <v>6811830</v>
      </c>
      <c r="J838" s="3">
        <v>4801255</v>
      </c>
      <c r="K838" s="3">
        <v>2010575</v>
      </c>
      <c r="L838" s="3">
        <v>2908000</v>
      </c>
      <c r="M838" s="3">
        <v>2393300</v>
      </c>
      <c r="N838" s="3">
        <v>161200</v>
      </c>
    </row>
    <row r="839" spans="1:14" ht="14.4">
      <c r="A839" s="3">
        <v>13367</v>
      </c>
      <c r="B839" s="3">
        <v>13368</v>
      </c>
      <c r="C839" s="3">
        <v>4086</v>
      </c>
      <c r="D839" s="3" t="s">
        <v>390</v>
      </c>
      <c r="E839" s="3" t="s">
        <v>558</v>
      </c>
      <c r="F839" s="3">
        <v>7306</v>
      </c>
      <c r="G839" s="3" t="s">
        <v>37</v>
      </c>
      <c r="H839" s="3" t="s">
        <v>38</v>
      </c>
      <c r="I839" s="3">
        <v>1050084</v>
      </c>
      <c r="J839" s="3">
        <v>198136</v>
      </c>
      <c r="K839" s="3">
        <v>851948</v>
      </c>
      <c r="L839" s="3">
        <v>654800</v>
      </c>
      <c r="M839" s="3">
        <v>40600</v>
      </c>
      <c r="N839" s="3">
        <v>452100</v>
      </c>
    </row>
    <row r="840" spans="1:14" ht="14.4">
      <c r="A840" s="3">
        <v>13367</v>
      </c>
      <c r="B840" s="3">
        <v>13368</v>
      </c>
      <c r="C840" s="3">
        <v>4086</v>
      </c>
      <c r="D840" s="3" t="s">
        <v>390</v>
      </c>
      <c r="E840" s="3" t="s">
        <v>558</v>
      </c>
      <c r="F840" s="3">
        <v>7307</v>
      </c>
      <c r="G840" s="3" t="s">
        <v>37</v>
      </c>
      <c r="H840" s="3" t="s">
        <v>38</v>
      </c>
      <c r="I840" s="3">
        <v>54478</v>
      </c>
      <c r="J840" s="3">
        <v>28548</v>
      </c>
      <c r="K840" s="3">
        <v>25930</v>
      </c>
      <c r="L840" s="3">
        <v>0</v>
      </c>
      <c r="M840" s="3">
        <v>0</v>
      </c>
      <c r="N840" s="3">
        <v>0</v>
      </c>
    </row>
    <row r="841" spans="1:14" ht="14.4">
      <c r="A841" s="3">
        <v>13367</v>
      </c>
      <c r="B841" s="3">
        <v>13368</v>
      </c>
      <c r="C841" s="3">
        <v>4086</v>
      </c>
      <c r="D841" s="3" t="s">
        <v>390</v>
      </c>
      <c r="E841" s="3" t="s">
        <v>558</v>
      </c>
      <c r="F841" s="3">
        <v>7310</v>
      </c>
      <c r="G841" s="3" t="s">
        <v>37</v>
      </c>
      <c r="H841" s="3" t="s">
        <v>38</v>
      </c>
      <c r="I841" s="3">
        <v>1367520</v>
      </c>
      <c r="J841" s="3">
        <v>758882</v>
      </c>
      <c r="K841" s="3">
        <v>608638</v>
      </c>
      <c r="L841" s="3">
        <v>462300</v>
      </c>
      <c r="M841" s="3">
        <v>67900</v>
      </c>
      <c r="N841" s="3">
        <v>231700</v>
      </c>
    </row>
    <row r="842" spans="1:14" ht="14.4">
      <c r="A842" s="3">
        <v>13367</v>
      </c>
      <c r="B842" s="3">
        <v>13368</v>
      </c>
      <c r="C842" s="3">
        <v>4086</v>
      </c>
      <c r="D842" s="3" t="s">
        <v>390</v>
      </c>
      <c r="E842" s="3" t="s">
        <v>558</v>
      </c>
      <c r="F842" s="3">
        <v>7320</v>
      </c>
      <c r="G842" s="3" t="s">
        <v>37</v>
      </c>
      <c r="H842" s="3" t="s">
        <v>38</v>
      </c>
      <c r="I842" s="3">
        <v>1310368</v>
      </c>
      <c r="J842" s="3">
        <v>267144</v>
      </c>
      <c r="K842" s="3">
        <v>1043224</v>
      </c>
      <c r="L842" s="3">
        <v>0</v>
      </c>
      <c r="M842" s="3">
        <v>0</v>
      </c>
      <c r="N842" s="3">
        <v>0</v>
      </c>
    </row>
    <row r="843" spans="1:14" ht="14.4">
      <c r="A843" s="3">
        <v>13367</v>
      </c>
      <c r="B843" s="3">
        <v>13368</v>
      </c>
      <c r="C843" s="3">
        <v>4086</v>
      </c>
      <c r="D843" s="3" t="s">
        <v>390</v>
      </c>
      <c r="E843" s="3" t="s">
        <v>559</v>
      </c>
      <c r="F843" s="3">
        <v>7032</v>
      </c>
      <c r="G843" s="3" t="s">
        <v>37</v>
      </c>
      <c r="H843" s="3" t="s">
        <v>38</v>
      </c>
      <c r="I843" s="3">
        <v>12500</v>
      </c>
      <c r="J843" s="3">
        <v>0</v>
      </c>
      <c r="K843" s="3">
        <v>12500</v>
      </c>
      <c r="L843" s="3">
        <v>0</v>
      </c>
      <c r="M843" s="3">
        <v>0</v>
      </c>
      <c r="N843" s="3">
        <v>0</v>
      </c>
    </row>
    <row r="844" spans="1:14" ht="14.4">
      <c r="A844" s="3">
        <v>13367</v>
      </c>
      <c r="B844" s="3">
        <v>13368</v>
      </c>
      <c r="C844" s="3">
        <v>4086</v>
      </c>
      <c r="D844" s="3" t="s">
        <v>390</v>
      </c>
      <c r="E844" s="3" t="s">
        <v>560</v>
      </c>
      <c r="F844" s="3">
        <v>7722</v>
      </c>
      <c r="G844" s="3" t="s">
        <v>392</v>
      </c>
      <c r="H844" s="3" t="s">
        <v>38</v>
      </c>
      <c r="I844" s="3">
        <v>70635</v>
      </c>
      <c r="J844" s="3">
        <v>67135</v>
      </c>
      <c r="K844" s="3">
        <v>3500</v>
      </c>
      <c r="L844" s="3">
        <v>0</v>
      </c>
      <c r="M844" s="3">
        <v>0</v>
      </c>
      <c r="N844" s="3">
        <v>0</v>
      </c>
    </row>
    <row r="845" spans="1:14" ht="14.4">
      <c r="A845" s="3">
        <v>13367</v>
      </c>
      <c r="B845" s="3">
        <v>13368</v>
      </c>
      <c r="C845" s="3">
        <v>4086</v>
      </c>
      <c r="D845" s="3" t="s">
        <v>390</v>
      </c>
      <c r="E845" s="3" t="s">
        <v>560</v>
      </c>
      <c r="F845" s="3">
        <v>7734</v>
      </c>
      <c r="G845" s="3" t="s">
        <v>392</v>
      </c>
      <c r="H845" s="3" t="s">
        <v>38</v>
      </c>
      <c r="I845" s="3">
        <v>10232171</v>
      </c>
      <c r="J845" s="3">
        <v>7944157</v>
      </c>
      <c r="K845" s="3">
        <v>2288014</v>
      </c>
      <c r="L845" s="3">
        <v>1920100</v>
      </c>
      <c r="M845" s="3">
        <v>1221900</v>
      </c>
      <c r="N845" s="3">
        <v>603600</v>
      </c>
    </row>
    <row r="846" spans="1:14" ht="14.4">
      <c r="A846" s="3">
        <v>13367</v>
      </c>
      <c r="B846" s="3">
        <v>13368</v>
      </c>
      <c r="C846" s="3">
        <v>4086</v>
      </c>
      <c r="D846" s="3" t="s">
        <v>390</v>
      </c>
      <c r="E846" s="3" t="s">
        <v>560</v>
      </c>
      <c r="F846" s="3">
        <v>7748</v>
      </c>
      <c r="G846" s="3" t="s">
        <v>392</v>
      </c>
      <c r="H846" s="3" t="s">
        <v>38</v>
      </c>
      <c r="I846" s="3">
        <v>123044</v>
      </c>
      <c r="J846" s="3">
        <v>106322</v>
      </c>
      <c r="K846" s="3">
        <v>16722</v>
      </c>
      <c r="L846" s="3">
        <v>0</v>
      </c>
      <c r="M846" s="3">
        <v>0</v>
      </c>
      <c r="N846" s="3">
        <v>0</v>
      </c>
    </row>
    <row r="847" spans="1:14" ht="14.4">
      <c r="A847" s="3">
        <v>13367</v>
      </c>
      <c r="B847" s="3">
        <v>13368</v>
      </c>
      <c r="C847" s="3">
        <v>4086</v>
      </c>
      <c r="D847" s="3" t="s">
        <v>390</v>
      </c>
      <c r="E847" s="3" t="s">
        <v>560</v>
      </c>
      <c r="F847" s="3">
        <v>7764</v>
      </c>
      <c r="G847" s="3" t="s">
        <v>392</v>
      </c>
      <c r="H847" s="3" t="s">
        <v>38</v>
      </c>
      <c r="I847" s="3">
        <v>30518</v>
      </c>
      <c r="J847" s="3">
        <v>30518</v>
      </c>
      <c r="K847" s="3">
        <v>0</v>
      </c>
      <c r="L847" s="3">
        <v>12100</v>
      </c>
      <c r="M847" s="3">
        <v>7600</v>
      </c>
      <c r="N847" s="3">
        <v>0</v>
      </c>
    </row>
    <row r="848" spans="1:14" ht="14.4">
      <c r="A848" s="3">
        <v>13367</v>
      </c>
      <c r="B848" s="3">
        <v>13368</v>
      </c>
      <c r="C848" s="3">
        <v>4086</v>
      </c>
      <c r="D848" s="3" t="s">
        <v>390</v>
      </c>
      <c r="E848" s="3" t="s">
        <v>560</v>
      </c>
      <c r="F848" s="3">
        <v>7734</v>
      </c>
      <c r="G848" s="3" t="s">
        <v>441</v>
      </c>
      <c r="H848" s="3" t="s">
        <v>38</v>
      </c>
      <c r="I848" s="3">
        <v>265719</v>
      </c>
      <c r="J848" s="3">
        <v>263419</v>
      </c>
      <c r="K848" s="3">
        <v>2300</v>
      </c>
      <c r="L848" s="3">
        <v>183800</v>
      </c>
      <c r="M848" s="3">
        <v>183800</v>
      </c>
      <c r="N848" s="3">
        <v>0</v>
      </c>
    </row>
    <row r="849" spans="1:14" ht="14.4">
      <c r="A849" s="3">
        <v>13367</v>
      </c>
      <c r="B849" s="3">
        <v>13368</v>
      </c>
      <c r="C849" s="3">
        <v>4086</v>
      </c>
      <c r="D849" s="3" t="s">
        <v>390</v>
      </c>
      <c r="E849" s="3" t="s">
        <v>561</v>
      </c>
      <c r="F849" s="3">
        <v>7032</v>
      </c>
      <c r="G849" s="3" t="s">
        <v>37</v>
      </c>
      <c r="H849" s="3" t="s">
        <v>38</v>
      </c>
      <c r="I849" s="3">
        <v>62500</v>
      </c>
      <c r="J849" s="3">
        <v>0</v>
      </c>
      <c r="K849" s="3">
        <v>62500</v>
      </c>
      <c r="L849" s="3">
        <v>0</v>
      </c>
      <c r="M849" s="3">
        <v>0</v>
      </c>
      <c r="N849" s="3">
        <v>0</v>
      </c>
    </row>
    <row r="850" spans="1:14" ht="14.4">
      <c r="A850" s="3">
        <v>13367</v>
      </c>
      <c r="B850" s="3">
        <v>13368</v>
      </c>
      <c r="C850" s="3">
        <v>4086</v>
      </c>
      <c r="D850" s="3" t="s">
        <v>390</v>
      </c>
      <c r="E850" s="3" t="s">
        <v>183</v>
      </c>
      <c r="F850" s="3">
        <v>7032</v>
      </c>
      <c r="G850" s="3" t="s">
        <v>76</v>
      </c>
      <c r="H850" s="3" t="s">
        <v>38</v>
      </c>
      <c r="I850" s="3">
        <v>52995</v>
      </c>
      <c r="J850" s="3">
        <v>0</v>
      </c>
      <c r="K850" s="3">
        <v>52995</v>
      </c>
      <c r="L850" s="3">
        <v>0</v>
      </c>
      <c r="M850" s="3">
        <v>0</v>
      </c>
      <c r="N850" s="3">
        <v>0</v>
      </c>
    </row>
    <row r="851" spans="1:14" ht="14.4">
      <c r="A851" s="3">
        <v>13367</v>
      </c>
      <c r="B851" s="3">
        <v>13368</v>
      </c>
      <c r="C851" s="3">
        <v>4086</v>
      </c>
      <c r="D851" s="3" t="s">
        <v>390</v>
      </c>
      <c r="E851" s="3" t="s">
        <v>183</v>
      </c>
      <c r="F851" s="3">
        <v>7032</v>
      </c>
      <c r="G851" s="3" t="s">
        <v>37</v>
      </c>
      <c r="H851" s="3" t="s">
        <v>38</v>
      </c>
      <c r="I851" s="3">
        <v>11134396</v>
      </c>
      <c r="J851" s="3">
        <v>1807165</v>
      </c>
      <c r="K851" s="3">
        <v>9327231</v>
      </c>
      <c r="L851" s="3">
        <v>4825000</v>
      </c>
      <c r="M851" s="3">
        <v>244300</v>
      </c>
      <c r="N851" s="3">
        <v>4118300</v>
      </c>
    </row>
    <row r="852" spans="1:14" ht="14.4">
      <c r="A852" s="3">
        <v>13367</v>
      </c>
      <c r="B852" s="3">
        <v>13368</v>
      </c>
      <c r="C852" s="3">
        <v>4086</v>
      </c>
      <c r="D852" s="3" t="s">
        <v>390</v>
      </c>
      <c r="E852" s="3" t="s">
        <v>562</v>
      </c>
      <c r="F852" s="3">
        <v>7040</v>
      </c>
      <c r="G852" s="3" t="s">
        <v>37</v>
      </c>
      <c r="H852" s="3" t="s">
        <v>38</v>
      </c>
      <c r="I852" s="3">
        <v>18000</v>
      </c>
      <c r="J852" s="3">
        <v>0</v>
      </c>
      <c r="K852" s="3">
        <v>18000</v>
      </c>
      <c r="L852" s="3">
        <v>13700</v>
      </c>
      <c r="M852" s="3">
        <v>0</v>
      </c>
      <c r="N852" s="3">
        <v>8700</v>
      </c>
    </row>
    <row r="853" spans="1:14" ht="14.4">
      <c r="A853" s="3">
        <v>13367</v>
      </c>
      <c r="B853" s="3">
        <v>13368</v>
      </c>
      <c r="C853" s="3">
        <v>4086</v>
      </c>
      <c r="D853" s="3" t="s">
        <v>390</v>
      </c>
      <c r="E853" s="3" t="s">
        <v>563</v>
      </c>
      <c r="F853" s="3">
        <v>8824</v>
      </c>
      <c r="G853" s="3" t="s">
        <v>406</v>
      </c>
      <c r="H853" s="3" t="s">
        <v>38</v>
      </c>
      <c r="I853" s="3">
        <v>37251</v>
      </c>
      <c r="J853" s="3">
        <v>37251</v>
      </c>
      <c r="K853" s="3">
        <v>0</v>
      </c>
      <c r="L853" s="3">
        <v>34200</v>
      </c>
      <c r="M853" s="3">
        <v>34200</v>
      </c>
      <c r="N853" s="3">
        <v>0</v>
      </c>
    </row>
    <row r="854" spans="1:14" ht="14.4">
      <c r="A854" s="3">
        <v>13367</v>
      </c>
      <c r="B854" s="3">
        <v>13368</v>
      </c>
      <c r="C854" s="3">
        <v>4086</v>
      </c>
      <c r="D854" s="3" t="s">
        <v>390</v>
      </c>
      <c r="E854" s="3" t="s">
        <v>564</v>
      </c>
      <c r="F854" s="3">
        <v>7033</v>
      </c>
      <c r="G854" s="3" t="s">
        <v>435</v>
      </c>
      <c r="H854" s="3" t="s">
        <v>38</v>
      </c>
      <c r="I854" s="3">
        <v>7000</v>
      </c>
      <c r="J854" s="3">
        <v>0</v>
      </c>
      <c r="K854" s="3">
        <v>7000</v>
      </c>
      <c r="L854" s="3">
        <v>182600</v>
      </c>
      <c r="M854" s="3">
        <v>0</v>
      </c>
      <c r="N854" s="3">
        <v>400</v>
      </c>
    </row>
    <row r="855" spans="1:14" ht="14.4">
      <c r="A855" s="3">
        <v>13367</v>
      </c>
      <c r="B855" s="3">
        <v>13368</v>
      </c>
      <c r="C855" s="3">
        <v>4086</v>
      </c>
      <c r="D855" s="3" t="s">
        <v>390</v>
      </c>
      <c r="E855" s="3" t="s">
        <v>564</v>
      </c>
      <c r="F855" s="3">
        <v>7740</v>
      </c>
      <c r="G855" s="3" t="s">
        <v>435</v>
      </c>
      <c r="H855" s="3" t="s">
        <v>38</v>
      </c>
      <c r="I855" s="3">
        <v>0</v>
      </c>
      <c r="J855" s="3">
        <v>0</v>
      </c>
      <c r="K855" s="3">
        <v>0</v>
      </c>
      <c r="L855" s="3">
        <v>80100</v>
      </c>
      <c r="M855" s="3">
        <v>0</v>
      </c>
      <c r="N855" s="3">
        <v>0</v>
      </c>
    </row>
    <row r="856" spans="1:14" ht="14.4">
      <c r="A856" s="3">
        <v>13367</v>
      </c>
      <c r="B856" s="3">
        <v>13368</v>
      </c>
      <c r="C856" s="3">
        <v>4086</v>
      </c>
      <c r="D856" s="3" t="s">
        <v>390</v>
      </c>
      <c r="E856" s="3" t="s">
        <v>565</v>
      </c>
      <c r="F856" s="3">
        <v>7032</v>
      </c>
      <c r="G856" s="3" t="s">
        <v>37</v>
      </c>
      <c r="H856" s="3" t="s">
        <v>38</v>
      </c>
      <c r="I856" s="3">
        <v>5000</v>
      </c>
      <c r="J856" s="3">
        <v>0</v>
      </c>
      <c r="K856" s="3">
        <v>5000</v>
      </c>
      <c r="L856" s="3">
        <v>0</v>
      </c>
      <c r="M856" s="3">
        <v>0</v>
      </c>
      <c r="N856" s="3">
        <v>0</v>
      </c>
    </row>
    <row r="857" spans="1:14" ht="14.4">
      <c r="A857" s="3">
        <v>13367</v>
      </c>
      <c r="B857" s="3">
        <v>13368</v>
      </c>
      <c r="C857" s="3">
        <v>4086</v>
      </c>
      <c r="D857" s="3" t="s">
        <v>390</v>
      </c>
      <c r="E857" s="3" t="s">
        <v>566</v>
      </c>
      <c r="F857" s="3">
        <v>7735</v>
      </c>
      <c r="G857" s="3" t="s">
        <v>406</v>
      </c>
      <c r="H857" s="3" t="s">
        <v>38</v>
      </c>
      <c r="I857" s="3">
        <v>132931</v>
      </c>
      <c r="J857" s="3">
        <v>97603</v>
      </c>
      <c r="K857" s="3">
        <v>35328</v>
      </c>
      <c r="L857" s="3">
        <v>0</v>
      </c>
      <c r="M857" s="3">
        <v>0</v>
      </c>
      <c r="N857" s="3">
        <v>0</v>
      </c>
    </row>
    <row r="858" spans="1:14" ht="14.4">
      <c r="A858" s="3">
        <v>13367</v>
      </c>
      <c r="B858" s="3">
        <v>13368</v>
      </c>
      <c r="C858" s="3">
        <v>4086</v>
      </c>
      <c r="D858" s="3" t="s">
        <v>390</v>
      </c>
      <c r="E858" s="3" t="s">
        <v>566</v>
      </c>
      <c r="F858" s="3">
        <v>7023</v>
      </c>
      <c r="G858" s="3" t="s">
        <v>392</v>
      </c>
      <c r="H858" s="3" t="s">
        <v>38</v>
      </c>
      <c r="I858" s="3">
        <v>31472</v>
      </c>
      <c r="J858" s="3">
        <v>30872</v>
      </c>
      <c r="K858" s="3">
        <v>600</v>
      </c>
      <c r="L858" s="3">
        <v>0</v>
      </c>
      <c r="M858" s="3">
        <v>0</v>
      </c>
      <c r="N858" s="3">
        <v>0</v>
      </c>
    </row>
    <row r="859" spans="1:14" ht="14.4">
      <c r="A859" s="3">
        <v>13367</v>
      </c>
      <c r="B859" s="3">
        <v>13368</v>
      </c>
      <c r="C859" s="3">
        <v>4086</v>
      </c>
      <c r="D859" s="3" t="s">
        <v>390</v>
      </c>
      <c r="E859" s="3" t="s">
        <v>566</v>
      </c>
      <c r="F859" s="3">
        <v>7728</v>
      </c>
      <c r="G859" s="3" t="s">
        <v>392</v>
      </c>
      <c r="H859" s="3" t="s">
        <v>38</v>
      </c>
      <c r="I859" s="3">
        <v>1249523</v>
      </c>
      <c r="J859" s="3">
        <v>1195523</v>
      </c>
      <c r="K859" s="3">
        <v>54000</v>
      </c>
      <c r="L859" s="3">
        <v>749600</v>
      </c>
      <c r="M859" s="3">
        <v>695600</v>
      </c>
      <c r="N859" s="3">
        <v>54000</v>
      </c>
    </row>
    <row r="860" spans="1:14" ht="14.4">
      <c r="A860" s="3">
        <v>13367</v>
      </c>
      <c r="B860" s="3">
        <v>13368</v>
      </c>
      <c r="C860" s="3">
        <v>4086</v>
      </c>
      <c r="D860" s="3" t="s">
        <v>390</v>
      </c>
      <c r="E860" s="3" t="s">
        <v>566</v>
      </c>
      <c r="F860" s="3">
        <v>7735</v>
      </c>
      <c r="G860" s="3" t="s">
        <v>392</v>
      </c>
      <c r="H860" s="3" t="s">
        <v>38</v>
      </c>
      <c r="I860" s="3">
        <v>8416370</v>
      </c>
      <c r="J860" s="3">
        <v>6776889</v>
      </c>
      <c r="K860" s="3">
        <v>1639481</v>
      </c>
      <c r="L860" s="3">
        <v>1492300</v>
      </c>
      <c r="M860" s="3">
        <v>1338100</v>
      </c>
      <c r="N860" s="3">
        <v>122300</v>
      </c>
    </row>
    <row r="861" spans="1:14" ht="14.4">
      <c r="A861" s="3">
        <v>13367</v>
      </c>
      <c r="B861" s="3">
        <v>13368</v>
      </c>
      <c r="C861" s="3">
        <v>4086</v>
      </c>
      <c r="D861" s="3" t="s">
        <v>390</v>
      </c>
      <c r="E861" s="3" t="s">
        <v>567</v>
      </c>
      <c r="F861" s="3">
        <v>7719</v>
      </c>
      <c r="G861" s="3" t="s">
        <v>392</v>
      </c>
      <c r="H861" s="3" t="s">
        <v>38</v>
      </c>
      <c r="I861" s="3">
        <v>275376</v>
      </c>
      <c r="J861" s="3">
        <v>263576</v>
      </c>
      <c r="K861" s="3">
        <v>11800</v>
      </c>
      <c r="L861" s="3">
        <v>86000</v>
      </c>
      <c r="M861" s="3">
        <v>80600</v>
      </c>
      <c r="N861" s="3">
        <v>5400</v>
      </c>
    </row>
    <row r="862" spans="1:14" ht="14.4">
      <c r="A862" s="3">
        <v>13367</v>
      </c>
      <c r="B862" s="3">
        <v>13368</v>
      </c>
      <c r="C862" s="3">
        <v>4086</v>
      </c>
      <c r="D862" s="3" t="s">
        <v>390</v>
      </c>
      <c r="E862" s="3" t="s">
        <v>568</v>
      </c>
      <c r="F862" s="3">
        <v>8701</v>
      </c>
      <c r="G862" s="3" t="s">
        <v>402</v>
      </c>
      <c r="H862" s="3" t="s">
        <v>38</v>
      </c>
      <c r="I862" s="3">
        <v>1141980</v>
      </c>
      <c r="J862" s="3">
        <v>280485</v>
      </c>
      <c r="K862" s="3">
        <v>861495</v>
      </c>
      <c r="L862" s="3">
        <v>444200</v>
      </c>
      <c r="M862" s="3">
        <v>14000</v>
      </c>
      <c r="N862" s="3">
        <v>44800</v>
      </c>
    </row>
    <row r="863" spans="1:14" ht="14.4">
      <c r="A863" s="3">
        <v>13367</v>
      </c>
      <c r="B863" s="3">
        <v>13368</v>
      </c>
      <c r="C863" s="3">
        <v>4086</v>
      </c>
      <c r="D863" s="3" t="s">
        <v>390</v>
      </c>
      <c r="E863" s="3" t="s">
        <v>569</v>
      </c>
      <c r="F863" s="3">
        <v>8530</v>
      </c>
      <c r="G863" s="3" t="s">
        <v>464</v>
      </c>
      <c r="H863" s="3" t="s">
        <v>38</v>
      </c>
      <c r="I863" s="3">
        <v>20320</v>
      </c>
      <c r="J863" s="3">
        <v>20320</v>
      </c>
      <c r="K863" s="3">
        <v>0</v>
      </c>
      <c r="L863" s="3">
        <v>20400</v>
      </c>
      <c r="M863" s="3">
        <v>20400</v>
      </c>
      <c r="N863" s="3">
        <v>0</v>
      </c>
    </row>
    <row r="864" spans="1:14" ht="14.4">
      <c r="A864" s="3">
        <v>13367</v>
      </c>
      <c r="B864" s="3">
        <v>13368</v>
      </c>
      <c r="C864" s="3">
        <v>4086</v>
      </c>
      <c r="D864" s="3" t="s">
        <v>390</v>
      </c>
      <c r="E864" s="3" t="s">
        <v>570</v>
      </c>
      <c r="F864" s="3">
        <v>7850</v>
      </c>
      <c r="G864" s="3" t="s">
        <v>441</v>
      </c>
      <c r="H864" s="3" t="s">
        <v>38</v>
      </c>
      <c r="I864" s="3">
        <v>42994</v>
      </c>
      <c r="J864" s="3">
        <v>38594</v>
      </c>
      <c r="K864" s="3">
        <v>4400</v>
      </c>
      <c r="L864" s="3">
        <v>29500</v>
      </c>
      <c r="M864" s="3">
        <v>0</v>
      </c>
      <c r="N864" s="3">
        <v>0</v>
      </c>
    </row>
    <row r="865" spans="1:14" ht="14.4">
      <c r="A865" s="3">
        <v>13367</v>
      </c>
      <c r="B865" s="3">
        <v>13368</v>
      </c>
      <c r="C865" s="3">
        <v>4086</v>
      </c>
      <c r="D865" s="3" t="s">
        <v>390</v>
      </c>
      <c r="E865" s="3" t="s">
        <v>571</v>
      </c>
      <c r="F865" s="3">
        <v>8734</v>
      </c>
      <c r="G865" s="3" t="s">
        <v>402</v>
      </c>
      <c r="H865" s="3" t="s">
        <v>38</v>
      </c>
      <c r="I865" s="3">
        <v>133078</v>
      </c>
      <c r="J865" s="3">
        <v>114867</v>
      </c>
      <c r="K865" s="3">
        <v>18211</v>
      </c>
      <c r="L865" s="3">
        <v>100600</v>
      </c>
      <c r="M865" s="3">
        <v>77800</v>
      </c>
      <c r="N865" s="3">
        <v>13800</v>
      </c>
    </row>
    <row r="866" spans="1:14" ht="14.4">
      <c r="A866" s="3">
        <v>13367</v>
      </c>
      <c r="B866" s="3">
        <v>13368</v>
      </c>
      <c r="C866" s="3">
        <v>4086</v>
      </c>
      <c r="D866" s="3" t="s">
        <v>390</v>
      </c>
      <c r="E866" s="3" t="s">
        <v>572</v>
      </c>
      <c r="F866" s="3">
        <v>8879</v>
      </c>
      <c r="G866" s="3" t="s">
        <v>406</v>
      </c>
      <c r="H866" s="3" t="s">
        <v>38</v>
      </c>
      <c r="I866" s="3">
        <v>809508</v>
      </c>
      <c r="J866" s="3">
        <v>404647</v>
      </c>
      <c r="K866" s="3">
        <v>404861</v>
      </c>
      <c r="L866" s="3">
        <v>464700</v>
      </c>
      <c r="M866" s="3">
        <v>15900</v>
      </c>
      <c r="N866" s="3">
        <v>373800</v>
      </c>
    </row>
    <row r="867" spans="1:14" ht="14.4">
      <c r="A867" s="3">
        <v>13367</v>
      </c>
      <c r="B867" s="3">
        <v>13368</v>
      </c>
      <c r="C867" s="3">
        <v>4086</v>
      </c>
      <c r="D867" s="3" t="s">
        <v>390</v>
      </c>
      <c r="E867" s="3" t="s">
        <v>573</v>
      </c>
      <c r="F867" s="3">
        <v>8735</v>
      </c>
      <c r="G867" s="3" t="s">
        <v>402</v>
      </c>
      <c r="H867" s="3" t="s">
        <v>38</v>
      </c>
      <c r="I867" s="3">
        <v>205730</v>
      </c>
      <c r="J867" s="3">
        <v>170475</v>
      </c>
      <c r="K867" s="3">
        <v>35255</v>
      </c>
      <c r="L867" s="3">
        <v>0</v>
      </c>
      <c r="M867" s="3">
        <v>0</v>
      </c>
      <c r="N867" s="3">
        <v>0</v>
      </c>
    </row>
    <row r="868" spans="1:14" ht="14.4">
      <c r="A868" s="3">
        <v>13367</v>
      </c>
      <c r="B868" s="3">
        <v>13368</v>
      </c>
      <c r="C868" s="3">
        <v>4086</v>
      </c>
      <c r="D868" s="3" t="s">
        <v>390</v>
      </c>
      <c r="E868" s="3" t="s">
        <v>573</v>
      </c>
      <c r="F868" s="3">
        <v>8753</v>
      </c>
      <c r="G868" s="3" t="s">
        <v>402</v>
      </c>
      <c r="H868" s="3" t="s">
        <v>38</v>
      </c>
      <c r="I868" s="3">
        <v>29335</v>
      </c>
      <c r="J868" s="3">
        <v>22585</v>
      </c>
      <c r="K868" s="3">
        <v>6750</v>
      </c>
      <c r="L868" s="3">
        <v>10400</v>
      </c>
      <c r="M868" s="3">
        <v>3600</v>
      </c>
      <c r="N868" s="3">
        <v>6800</v>
      </c>
    </row>
    <row r="869" spans="1:14" ht="14.4">
      <c r="A869" s="3">
        <v>13367</v>
      </c>
      <c r="B869" s="3">
        <v>13368</v>
      </c>
      <c r="C869" s="3">
        <v>4086</v>
      </c>
      <c r="D869" s="3" t="s">
        <v>390</v>
      </c>
      <c r="E869" s="3" t="s">
        <v>574</v>
      </c>
      <c r="F869" s="3">
        <v>8735</v>
      </c>
      <c r="G869" s="3" t="s">
        <v>402</v>
      </c>
      <c r="H869" s="3" t="s">
        <v>38</v>
      </c>
      <c r="I869" s="3">
        <v>97138</v>
      </c>
      <c r="J869" s="3">
        <v>58338</v>
      </c>
      <c r="K869" s="3">
        <v>38800</v>
      </c>
      <c r="L869" s="3">
        <v>0</v>
      </c>
      <c r="M869" s="3">
        <v>0</v>
      </c>
      <c r="N869" s="3">
        <v>0</v>
      </c>
    </row>
    <row r="870" spans="1:14" ht="14.4">
      <c r="A870" s="3">
        <v>13367</v>
      </c>
      <c r="B870" s="3">
        <v>13368</v>
      </c>
      <c r="C870" s="3">
        <v>4086</v>
      </c>
      <c r="D870" s="3" t="s">
        <v>390</v>
      </c>
      <c r="E870" s="3" t="s">
        <v>575</v>
      </c>
      <c r="F870" s="3">
        <v>8735</v>
      </c>
      <c r="G870" s="3" t="s">
        <v>428</v>
      </c>
      <c r="H870" s="3" t="s">
        <v>38</v>
      </c>
      <c r="I870" s="3">
        <v>39320</v>
      </c>
      <c r="J870" s="3">
        <v>34695</v>
      </c>
      <c r="K870" s="3">
        <v>4625</v>
      </c>
      <c r="L870" s="3">
        <v>0</v>
      </c>
      <c r="M870" s="3">
        <v>0</v>
      </c>
      <c r="N870" s="3">
        <v>0</v>
      </c>
    </row>
    <row r="871" spans="1:14" ht="14.4">
      <c r="A871" s="3">
        <v>13367</v>
      </c>
      <c r="B871" s="3">
        <v>13368</v>
      </c>
      <c r="C871" s="3">
        <v>4086</v>
      </c>
      <c r="D871" s="3" t="s">
        <v>390</v>
      </c>
      <c r="E871" s="3" t="s">
        <v>575</v>
      </c>
      <c r="F871" s="3">
        <v>7052</v>
      </c>
      <c r="G871" s="3" t="s">
        <v>402</v>
      </c>
      <c r="H871" s="3" t="s">
        <v>38</v>
      </c>
      <c r="I871" s="3">
        <v>37827</v>
      </c>
      <c r="J871" s="3">
        <v>35427</v>
      </c>
      <c r="K871" s="3">
        <v>2400</v>
      </c>
      <c r="L871" s="3">
        <v>0</v>
      </c>
      <c r="M871" s="3">
        <v>0</v>
      </c>
      <c r="N871" s="3">
        <v>0</v>
      </c>
    </row>
    <row r="872" spans="1:14" ht="14.4">
      <c r="A872" s="3">
        <v>13367</v>
      </c>
      <c r="B872" s="3">
        <v>13368</v>
      </c>
      <c r="C872" s="3">
        <v>4086</v>
      </c>
      <c r="D872" s="3" t="s">
        <v>390</v>
      </c>
      <c r="E872" s="3" t="s">
        <v>575</v>
      </c>
      <c r="F872" s="3">
        <v>7092</v>
      </c>
      <c r="G872" s="3" t="s">
        <v>402</v>
      </c>
      <c r="H872" s="3" t="s">
        <v>38</v>
      </c>
      <c r="I872" s="3">
        <v>147925</v>
      </c>
      <c r="J872" s="3">
        <v>125840</v>
      </c>
      <c r="K872" s="3">
        <v>22085</v>
      </c>
      <c r="L872" s="3">
        <v>0</v>
      </c>
      <c r="M872" s="3">
        <v>0</v>
      </c>
      <c r="N872" s="3">
        <v>0</v>
      </c>
    </row>
    <row r="873" spans="1:14" ht="14.4">
      <c r="A873" s="3">
        <v>13367</v>
      </c>
      <c r="B873" s="3">
        <v>13368</v>
      </c>
      <c r="C873" s="3">
        <v>4086</v>
      </c>
      <c r="D873" s="3" t="s">
        <v>390</v>
      </c>
      <c r="E873" s="3" t="s">
        <v>575</v>
      </c>
      <c r="F873" s="3">
        <v>8088</v>
      </c>
      <c r="G873" s="3" t="s">
        <v>402</v>
      </c>
      <c r="H873" s="3" t="s">
        <v>38</v>
      </c>
      <c r="I873" s="3">
        <v>128750</v>
      </c>
      <c r="J873" s="3">
        <v>98250</v>
      </c>
      <c r="K873" s="3">
        <v>30500</v>
      </c>
      <c r="L873" s="3">
        <v>0</v>
      </c>
      <c r="M873" s="3">
        <v>0</v>
      </c>
      <c r="N873" s="3">
        <v>0</v>
      </c>
    </row>
    <row r="874" spans="1:14" ht="14.4">
      <c r="A874" s="3">
        <v>13367</v>
      </c>
      <c r="B874" s="3">
        <v>13368</v>
      </c>
      <c r="C874" s="3">
        <v>4086</v>
      </c>
      <c r="D874" s="3" t="s">
        <v>390</v>
      </c>
      <c r="E874" s="3" t="s">
        <v>575</v>
      </c>
      <c r="F874" s="3">
        <v>8735</v>
      </c>
      <c r="G874" s="3" t="s">
        <v>402</v>
      </c>
      <c r="H874" s="3" t="s">
        <v>38</v>
      </c>
      <c r="I874" s="3">
        <v>18252992</v>
      </c>
      <c r="J874" s="3">
        <v>13898602</v>
      </c>
      <c r="K874" s="3">
        <v>4354390</v>
      </c>
      <c r="L874" s="3">
        <v>8475500</v>
      </c>
      <c r="M874" s="3">
        <v>5545800</v>
      </c>
      <c r="N874" s="3">
        <v>1964700</v>
      </c>
    </row>
    <row r="875" spans="1:14" ht="14.4">
      <c r="A875" s="3">
        <v>13367</v>
      </c>
      <c r="B875" s="3">
        <v>13368</v>
      </c>
      <c r="C875" s="3">
        <v>4086</v>
      </c>
      <c r="D875" s="3" t="s">
        <v>390</v>
      </c>
      <c r="E875" s="3" t="s">
        <v>575</v>
      </c>
      <c r="F875" s="3">
        <v>8753</v>
      </c>
      <c r="G875" s="3" t="s">
        <v>402</v>
      </c>
      <c r="H875" s="3" t="s">
        <v>38</v>
      </c>
      <c r="I875" s="3">
        <v>66187</v>
      </c>
      <c r="J875" s="3">
        <v>38702</v>
      </c>
      <c r="K875" s="3">
        <v>27485</v>
      </c>
      <c r="L875" s="3">
        <v>0</v>
      </c>
      <c r="M875" s="3">
        <v>0</v>
      </c>
      <c r="N875" s="3">
        <v>0</v>
      </c>
    </row>
    <row r="876" spans="1:14" ht="14.4">
      <c r="A876" s="3">
        <v>13367</v>
      </c>
      <c r="B876" s="3">
        <v>13368</v>
      </c>
      <c r="C876" s="3">
        <v>4086</v>
      </c>
      <c r="D876" s="3" t="s">
        <v>390</v>
      </c>
      <c r="E876" s="3" t="s">
        <v>575</v>
      </c>
      <c r="F876" s="3">
        <v>8735</v>
      </c>
      <c r="G876" s="3" t="s">
        <v>429</v>
      </c>
      <c r="H876" s="3" t="s">
        <v>38</v>
      </c>
      <c r="I876" s="3">
        <v>84810</v>
      </c>
      <c r="J876" s="3">
        <v>78060</v>
      </c>
      <c r="K876" s="3">
        <v>6750</v>
      </c>
      <c r="L876" s="3">
        <v>38100</v>
      </c>
      <c r="M876" s="3">
        <v>31300</v>
      </c>
      <c r="N876" s="3">
        <v>6800</v>
      </c>
    </row>
    <row r="877" spans="1:14" ht="14.4">
      <c r="A877" s="3">
        <v>13367</v>
      </c>
      <c r="B877" s="3">
        <v>13368</v>
      </c>
      <c r="C877" s="3">
        <v>4086</v>
      </c>
      <c r="D877" s="3" t="s">
        <v>390</v>
      </c>
      <c r="E877" s="3" t="s">
        <v>576</v>
      </c>
      <c r="F877" s="3">
        <v>8735</v>
      </c>
      <c r="G877" s="3" t="s">
        <v>402</v>
      </c>
      <c r="H877" s="3" t="s">
        <v>38</v>
      </c>
      <c r="I877" s="3">
        <v>29790</v>
      </c>
      <c r="J877" s="3">
        <v>23440</v>
      </c>
      <c r="K877" s="3">
        <v>6350</v>
      </c>
      <c r="L877" s="3">
        <v>0</v>
      </c>
      <c r="M877" s="3">
        <v>0</v>
      </c>
      <c r="N877" s="3">
        <v>0</v>
      </c>
    </row>
    <row r="878" spans="1:14" ht="14.4">
      <c r="A878" s="3">
        <v>13367</v>
      </c>
      <c r="B878" s="3">
        <v>13368</v>
      </c>
      <c r="C878" s="3">
        <v>4086</v>
      </c>
      <c r="D878" s="3" t="s">
        <v>390</v>
      </c>
      <c r="E878" s="3" t="s">
        <v>577</v>
      </c>
      <c r="F878" s="3">
        <v>8045</v>
      </c>
      <c r="G878" s="3" t="s">
        <v>465</v>
      </c>
      <c r="H878" s="3" t="s">
        <v>38</v>
      </c>
      <c r="I878" s="3">
        <v>32000</v>
      </c>
      <c r="J878" s="3">
        <v>0</v>
      </c>
      <c r="K878" s="3">
        <v>32000</v>
      </c>
      <c r="L878" s="3">
        <v>0</v>
      </c>
      <c r="M878" s="3">
        <v>0</v>
      </c>
      <c r="N878" s="3">
        <v>0</v>
      </c>
    </row>
    <row r="879" spans="1:14" ht="14.4">
      <c r="A879" s="3">
        <v>13367</v>
      </c>
      <c r="B879" s="3">
        <v>13368</v>
      </c>
      <c r="C879" s="3">
        <v>4086</v>
      </c>
      <c r="D879" s="3" t="s">
        <v>390</v>
      </c>
      <c r="E879" s="3" t="s">
        <v>578</v>
      </c>
      <c r="F879" s="3">
        <v>8648</v>
      </c>
      <c r="G879" s="3" t="s">
        <v>496</v>
      </c>
      <c r="H879" s="3" t="s">
        <v>38</v>
      </c>
      <c r="I879" s="3">
        <v>18795</v>
      </c>
      <c r="J879" s="3">
        <v>1895</v>
      </c>
      <c r="K879" s="3">
        <v>16900</v>
      </c>
      <c r="L879" s="3">
        <v>0</v>
      </c>
      <c r="M879" s="3">
        <v>0</v>
      </c>
      <c r="N879" s="3">
        <v>0</v>
      </c>
    </row>
    <row r="880" spans="1:14" ht="14.4">
      <c r="A880" s="3">
        <v>13367</v>
      </c>
      <c r="B880" s="3">
        <v>13368</v>
      </c>
      <c r="C880" s="3">
        <v>4086</v>
      </c>
      <c r="D880" s="3" t="s">
        <v>390</v>
      </c>
      <c r="E880" s="3" t="s">
        <v>578</v>
      </c>
      <c r="F880" s="3">
        <v>8648</v>
      </c>
      <c r="G880" s="3" t="s">
        <v>402</v>
      </c>
      <c r="H880" s="3" t="s">
        <v>38</v>
      </c>
      <c r="I880" s="3">
        <v>70181</v>
      </c>
      <c r="J880" s="3">
        <v>56481</v>
      </c>
      <c r="K880" s="3">
        <v>13700</v>
      </c>
      <c r="L880" s="3">
        <v>0</v>
      </c>
      <c r="M880" s="3">
        <v>0</v>
      </c>
      <c r="N880" s="3">
        <v>0</v>
      </c>
    </row>
    <row r="881" spans="1:14" ht="14.4">
      <c r="A881" s="3">
        <v>13367</v>
      </c>
      <c r="B881" s="3">
        <v>13368</v>
      </c>
      <c r="C881" s="3">
        <v>4086</v>
      </c>
      <c r="D881" s="3" t="s">
        <v>390</v>
      </c>
      <c r="E881" s="3" t="s">
        <v>579</v>
      </c>
      <c r="F881" s="3">
        <v>7032</v>
      </c>
      <c r="G881" s="3" t="s">
        <v>402</v>
      </c>
      <c r="H881" s="3" t="s">
        <v>38</v>
      </c>
      <c r="I881" s="3">
        <v>112896</v>
      </c>
      <c r="J881" s="3">
        <v>90421</v>
      </c>
      <c r="K881" s="3">
        <v>22475</v>
      </c>
      <c r="L881" s="3">
        <v>0</v>
      </c>
      <c r="M881" s="3">
        <v>0</v>
      </c>
      <c r="N881" s="3">
        <v>0</v>
      </c>
    </row>
    <row r="882" spans="1:14" ht="14.4">
      <c r="A882" s="3">
        <v>13367</v>
      </c>
      <c r="B882" s="3">
        <v>13368</v>
      </c>
      <c r="C882" s="3">
        <v>4086</v>
      </c>
      <c r="D882" s="3" t="s">
        <v>390</v>
      </c>
      <c r="E882" s="3" t="s">
        <v>579</v>
      </c>
      <c r="F882" s="3">
        <v>8087</v>
      </c>
      <c r="G882" s="3" t="s">
        <v>402</v>
      </c>
      <c r="H882" s="3" t="s">
        <v>38</v>
      </c>
      <c r="I882" s="3">
        <v>144148</v>
      </c>
      <c r="J882" s="3">
        <v>135558</v>
      </c>
      <c r="K882" s="3">
        <v>8590</v>
      </c>
      <c r="L882" s="3">
        <v>2000</v>
      </c>
      <c r="M882" s="3">
        <v>0</v>
      </c>
      <c r="N882" s="3">
        <v>2000</v>
      </c>
    </row>
    <row r="883" spans="1:14" ht="14.4">
      <c r="A883" s="3">
        <v>13367</v>
      </c>
      <c r="B883" s="3">
        <v>13368</v>
      </c>
      <c r="C883" s="3">
        <v>4086</v>
      </c>
      <c r="D883" s="3" t="s">
        <v>390</v>
      </c>
      <c r="E883" s="3" t="s">
        <v>580</v>
      </c>
      <c r="F883" s="3">
        <v>8087</v>
      </c>
      <c r="G883" s="3" t="s">
        <v>402</v>
      </c>
      <c r="H883" s="3" t="s">
        <v>38</v>
      </c>
      <c r="I883" s="3">
        <v>25439</v>
      </c>
      <c r="J883" s="3">
        <v>21239</v>
      </c>
      <c r="K883" s="3">
        <v>4200</v>
      </c>
      <c r="L883" s="3">
        <v>0</v>
      </c>
      <c r="M883" s="3">
        <v>0</v>
      </c>
      <c r="N883" s="3">
        <v>0</v>
      </c>
    </row>
    <row r="884" spans="1:14" ht="14.4">
      <c r="A884" s="3">
        <v>13367</v>
      </c>
      <c r="B884" s="3">
        <v>13368</v>
      </c>
      <c r="C884" s="3">
        <v>4086</v>
      </c>
      <c r="D884" s="3" t="s">
        <v>390</v>
      </c>
      <c r="E884" s="3" t="s">
        <v>581</v>
      </c>
      <c r="F884" s="3">
        <v>7737</v>
      </c>
      <c r="G884" s="3" t="s">
        <v>392</v>
      </c>
      <c r="H884" s="3" t="s">
        <v>38</v>
      </c>
      <c r="I884" s="3">
        <v>606281</v>
      </c>
      <c r="J884" s="3">
        <v>365809</v>
      </c>
      <c r="K884" s="3">
        <v>240472</v>
      </c>
      <c r="L884" s="3">
        <v>77000</v>
      </c>
      <c r="M884" s="3">
        <v>0</v>
      </c>
      <c r="N884" s="3">
        <v>46500</v>
      </c>
    </row>
    <row r="885" spans="1:14" ht="14.4">
      <c r="A885" s="3">
        <v>13367</v>
      </c>
      <c r="B885" s="3">
        <v>13368</v>
      </c>
      <c r="C885" s="3">
        <v>4086</v>
      </c>
      <c r="D885" s="3" t="s">
        <v>390</v>
      </c>
      <c r="E885" s="3" t="s">
        <v>582</v>
      </c>
      <c r="F885" s="3">
        <v>7035</v>
      </c>
      <c r="G885" s="3" t="s">
        <v>441</v>
      </c>
      <c r="H885" s="3" t="s">
        <v>38</v>
      </c>
      <c r="I885" s="3">
        <v>0</v>
      </c>
      <c r="J885" s="3">
        <v>0</v>
      </c>
      <c r="K885" s="3">
        <v>0</v>
      </c>
      <c r="L885" s="3">
        <v>21000</v>
      </c>
      <c r="M885" s="3">
        <v>0</v>
      </c>
      <c r="N885" s="3">
        <v>0</v>
      </c>
    </row>
    <row r="886" spans="1:14" ht="14.4">
      <c r="A886" s="3">
        <v>13367</v>
      </c>
      <c r="B886" s="3">
        <v>13368</v>
      </c>
      <c r="C886" s="3">
        <v>4086</v>
      </c>
      <c r="D886" s="3" t="s">
        <v>390</v>
      </c>
      <c r="E886" s="3" t="s">
        <v>583</v>
      </c>
      <c r="F886" s="3">
        <v>7738</v>
      </c>
      <c r="G886" s="3" t="s">
        <v>392</v>
      </c>
      <c r="H886" s="3" t="s">
        <v>38</v>
      </c>
      <c r="I886" s="3">
        <v>0</v>
      </c>
      <c r="J886" s="3">
        <v>0</v>
      </c>
      <c r="K886" s="3">
        <v>0</v>
      </c>
      <c r="L886" s="3">
        <v>124400</v>
      </c>
      <c r="M886" s="3">
        <v>0</v>
      </c>
      <c r="N886" s="3">
        <v>0</v>
      </c>
    </row>
    <row r="887" spans="1:14" ht="14.4">
      <c r="A887" s="3">
        <v>13367</v>
      </c>
      <c r="B887" s="3">
        <v>13368</v>
      </c>
      <c r="C887" s="3">
        <v>4086</v>
      </c>
      <c r="D887" s="3" t="s">
        <v>390</v>
      </c>
      <c r="E887" s="3" t="s">
        <v>584</v>
      </c>
      <c r="F887" s="3">
        <v>7036</v>
      </c>
      <c r="G887" s="3" t="s">
        <v>406</v>
      </c>
      <c r="H887" s="3" t="s">
        <v>38</v>
      </c>
      <c r="I887" s="3">
        <v>162759</v>
      </c>
      <c r="J887" s="3">
        <v>8884</v>
      </c>
      <c r="K887" s="3">
        <v>153875</v>
      </c>
      <c r="L887" s="3">
        <v>133200</v>
      </c>
      <c r="M887" s="3">
        <v>0</v>
      </c>
      <c r="N887" s="3">
        <v>133200</v>
      </c>
    </row>
    <row r="888" spans="1:14" ht="14.4">
      <c r="A888" s="3">
        <v>13367</v>
      </c>
      <c r="B888" s="3">
        <v>13368</v>
      </c>
      <c r="C888" s="3">
        <v>4086</v>
      </c>
      <c r="D888" s="3" t="s">
        <v>390</v>
      </c>
      <c r="E888" s="3" t="s">
        <v>584</v>
      </c>
      <c r="F888" s="3">
        <v>7036</v>
      </c>
      <c r="G888" s="3" t="s">
        <v>435</v>
      </c>
      <c r="H888" s="3" t="s">
        <v>38</v>
      </c>
      <c r="I888" s="3">
        <v>941007</v>
      </c>
      <c r="J888" s="3">
        <v>272321</v>
      </c>
      <c r="K888" s="3">
        <v>668686</v>
      </c>
      <c r="L888" s="3">
        <v>15200</v>
      </c>
      <c r="M888" s="3">
        <v>0</v>
      </c>
      <c r="N888" s="3">
        <v>5500</v>
      </c>
    </row>
    <row r="889" spans="1:14" ht="14.4">
      <c r="A889" s="3">
        <v>13367</v>
      </c>
      <c r="B889" s="3">
        <v>13368</v>
      </c>
      <c r="C889" s="3">
        <v>4086</v>
      </c>
      <c r="D889" s="3" t="s">
        <v>390</v>
      </c>
      <c r="E889" s="3" t="s">
        <v>584</v>
      </c>
      <c r="F889" s="3">
        <v>7306</v>
      </c>
      <c r="G889" s="3" t="s">
        <v>435</v>
      </c>
      <c r="H889" s="3" t="s">
        <v>38</v>
      </c>
      <c r="I889" s="3">
        <v>13000</v>
      </c>
      <c r="J889" s="3">
        <v>0</v>
      </c>
      <c r="K889" s="3">
        <v>13000</v>
      </c>
      <c r="L889" s="3">
        <v>21600</v>
      </c>
      <c r="M889" s="3">
        <v>0</v>
      </c>
      <c r="N889" s="3">
        <v>9900</v>
      </c>
    </row>
    <row r="890" spans="1:14" ht="14.4">
      <c r="A890" s="3">
        <v>13367</v>
      </c>
      <c r="B890" s="3">
        <v>13368</v>
      </c>
      <c r="C890" s="3">
        <v>4086</v>
      </c>
      <c r="D890" s="3" t="s">
        <v>390</v>
      </c>
      <c r="E890" s="3" t="s">
        <v>585</v>
      </c>
      <c r="F890" s="3">
        <v>8221</v>
      </c>
      <c r="G890" s="3" t="s">
        <v>394</v>
      </c>
      <c r="H890" s="3" t="s">
        <v>38</v>
      </c>
      <c r="I890" s="3">
        <v>0</v>
      </c>
      <c r="J890" s="3">
        <v>0</v>
      </c>
      <c r="K890" s="3">
        <v>0</v>
      </c>
      <c r="L890" s="3">
        <v>34700</v>
      </c>
      <c r="M890" s="3">
        <v>0</v>
      </c>
      <c r="N890" s="3">
        <v>0</v>
      </c>
    </row>
    <row r="891" spans="1:14" ht="14.4">
      <c r="A891" s="3">
        <v>13367</v>
      </c>
      <c r="B891" s="3">
        <v>13368</v>
      </c>
      <c r="C891" s="3">
        <v>4086</v>
      </c>
      <c r="D891" s="3" t="s">
        <v>390</v>
      </c>
      <c r="E891" s="3" t="s">
        <v>586</v>
      </c>
      <c r="F891" s="3">
        <v>8008</v>
      </c>
      <c r="G891" s="3" t="s">
        <v>402</v>
      </c>
      <c r="H891" s="3" t="s">
        <v>38</v>
      </c>
      <c r="I891" s="3">
        <v>14231</v>
      </c>
      <c r="J891" s="3">
        <v>14231</v>
      </c>
      <c r="K891" s="3">
        <v>0</v>
      </c>
      <c r="L891" s="3">
        <v>0</v>
      </c>
      <c r="M891" s="3">
        <v>0</v>
      </c>
      <c r="N891" s="3">
        <v>0</v>
      </c>
    </row>
    <row r="892" spans="1:14" ht="14.4">
      <c r="A892" s="3">
        <v>13367</v>
      </c>
      <c r="B892" s="3">
        <v>13368</v>
      </c>
      <c r="C892" s="3">
        <v>4086</v>
      </c>
      <c r="D892" s="3" t="s">
        <v>390</v>
      </c>
      <c r="E892" s="3" t="s">
        <v>587</v>
      </c>
      <c r="F892" s="3">
        <v>8087</v>
      </c>
      <c r="G892" s="3" t="s">
        <v>402</v>
      </c>
      <c r="H892" s="3" t="s">
        <v>38</v>
      </c>
      <c r="I892" s="3">
        <v>4381131</v>
      </c>
      <c r="J892" s="3">
        <v>3751992</v>
      </c>
      <c r="K892" s="3">
        <v>629139</v>
      </c>
      <c r="L892" s="3">
        <v>1549000</v>
      </c>
      <c r="M892" s="3">
        <v>1365300</v>
      </c>
      <c r="N892" s="3">
        <v>161100</v>
      </c>
    </row>
    <row r="893" spans="1:14" ht="14.4">
      <c r="A893" s="3">
        <v>13367</v>
      </c>
      <c r="B893" s="3">
        <v>13368</v>
      </c>
      <c r="C893" s="3">
        <v>4086</v>
      </c>
      <c r="D893" s="3" t="s">
        <v>390</v>
      </c>
      <c r="E893" s="3" t="s">
        <v>588</v>
      </c>
      <c r="F893" s="3">
        <v>8087</v>
      </c>
      <c r="G893" s="3" t="s">
        <v>402</v>
      </c>
      <c r="H893" s="3" t="s">
        <v>38</v>
      </c>
      <c r="I893" s="3">
        <v>52286</v>
      </c>
      <c r="J893" s="3">
        <v>49186</v>
      </c>
      <c r="K893" s="3">
        <v>3100</v>
      </c>
      <c r="L893" s="3">
        <v>29500</v>
      </c>
      <c r="M893" s="3">
        <v>24200</v>
      </c>
      <c r="N893" s="3">
        <v>3100</v>
      </c>
    </row>
    <row r="894" spans="1:14" ht="14.4">
      <c r="A894" s="3">
        <v>13367</v>
      </c>
      <c r="B894" s="3">
        <v>13368</v>
      </c>
      <c r="C894" s="3">
        <v>4086</v>
      </c>
      <c r="D894" s="3" t="s">
        <v>390</v>
      </c>
      <c r="E894" s="3" t="s">
        <v>589</v>
      </c>
      <c r="F894" s="3">
        <v>8087</v>
      </c>
      <c r="G894" s="3" t="s">
        <v>402</v>
      </c>
      <c r="H894" s="3" t="s">
        <v>38</v>
      </c>
      <c r="I894" s="3">
        <v>2447489</v>
      </c>
      <c r="J894" s="3">
        <v>2117458</v>
      </c>
      <c r="K894" s="3">
        <v>330031</v>
      </c>
      <c r="L894" s="3">
        <v>1242500</v>
      </c>
      <c r="M894" s="3">
        <v>988600</v>
      </c>
      <c r="N894" s="3">
        <v>176700</v>
      </c>
    </row>
    <row r="895" spans="1:14" ht="14.4">
      <c r="A895" s="3">
        <v>13367</v>
      </c>
      <c r="B895" s="3">
        <v>13368</v>
      </c>
      <c r="C895" s="3">
        <v>4086</v>
      </c>
      <c r="D895" s="3" t="s">
        <v>390</v>
      </c>
      <c r="E895" s="3" t="s">
        <v>590</v>
      </c>
      <c r="F895" s="3">
        <v>7424</v>
      </c>
      <c r="G895" s="3" t="s">
        <v>429</v>
      </c>
      <c r="H895" s="3" t="s">
        <v>38</v>
      </c>
      <c r="I895" s="3">
        <v>31515</v>
      </c>
      <c r="J895" s="3">
        <v>0</v>
      </c>
      <c r="K895" s="3">
        <v>31515</v>
      </c>
      <c r="L895" s="3">
        <v>18600</v>
      </c>
      <c r="M895" s="3">
        <v>0</v>
      </c>
      <c r="N895" s="3">
        <v>18600</v>
      </c>
    </row>
    <row r="896" spans="1:14" ht="14.4">
      <c r="A896" s="3">
        <v>13367</v>
      </c>
      <c r="B896" s="3">
        <v>13368</v>
      </c>
      <c r="C896" s="3">
        <v>4086</v>
      </c>
      <c r="D896" s="3" t="s">
        <v>390</v>
      </c>
      <c r="E896" s="3" t="s">
        <v>202</v>
      </c>
      <c r="F896" s="3">
        <v>7643</v>
      </c>
      <c r="G896" s="3" t="s">
        <v>76</v>
      </c>
      <c r="H896" s="3" t="s">
        <v>38</v>
      </c>
      <c r="I896" s="3">
        <v>6798366</v>
      </c>
      <c r="J896" s="3">
        <v>2690309</v>
      </c>
      <c r="K896" s="3">
        <v>4108057</v>
      </c>
      <c r="L896" s="3">
        <v>3323900</v>
      </c>
      <c r="M896" s="3">
        <v>960300</v>
      </c>
      <c r="N896" s="3">
        <v>1895900</v>
      </c>
    </row>
    <row r="897" spans="1:14" ht="14.4">
      <c r="A897" s="3">
        <v>13367</v>
      </c>
      <c r="B897" s="3">
        <v>13368</v>
      </c>
      <c r="C897" s="3">
        <v>4086</v>
      </c>
      <c r="D897" s="3" t="s">
        <v>390</v>
      </c>
      <c r="E897" s="3" t="s">
        <v>591</v>
      </c>
      <c r="F897" s="3">
        <v>7739</v>
      </c>
      <c r="G897" s="3" t="s">
        <v>392</v>
      </c>
      <c r="H897" s="3" t="s">
        <v>38</v>
      </c>
      <c r="I897" s="3">
        <v>544195</v>
      </c>
      <c r="J897" s="3">
        <v>421344</v>
      </c>
      <c r="K897" s="3">
        <v>122851</v>
      </c>
      <c r="L897" s="3">
        <v>22500</v>
      </c>
      <c r="M897" s="3">
        <v>0</v>
      </c>
      <c r="N897" s="3">
        <v>700</v>
      </c>
    </row>
    <row r="898" spans="1:14" ht="14.4">
      <c r="A898" s="3">
        <v>13367</v>
      </c>
      <c r="B898" s="3">
        <v>13368</v>
      </c>
      <c r="C898" s="3">
        <v>4086</v>
      </c>
      <c r="D898" s="3" t="s">
        <v>390</v>
      </c>
      <c r="E898" s="3" t="s">
        <v>592</v>
      </c>
      <c r="F898" s="3">
        <v>7039</v>
      </c>
      <c r="G898" s="3" t="s">
        <v>428</v>
      </c>
      <c r="H898" s="3" t="s">
        <v>38</v>
      </c>
      <c r="I898" s="3">
        <v>40223</v>
      </c>
      <c r="J898" s="3">
        <v>3193</v>
      </c>
      <c r="K898" s="3">
        <v>37030</v>
      </c>
      <c r="L898" s="3">
        <v>194700</v>
      </c>
      <c r="M898" s="3">
        <v>200</v>
      </c>
      <c r="N898" s="3">
        <v>19800</v>
      </c>
    </row>
    <row r="899" spans="1:14" ht="14.4">
      <c r="A899" s="3">
        <v>13367</v>
      </c>
      <c r="B899" s="3">
        <v>13368</v>
      </c>
      <c r="C899" s="3">
        <v>4086</v>
      </c>
      <c r="D899" s="3" t="s">
        <v>390</v>
      </c>
      <c r="E899" s="3" t="s">
        <v>593</v>
      </c>
      <c r="F899" s="3">
        <v>7644</v>
      </c>
      <c r="G899" s="3" t="s">
        <v>76</v>
      </c>
      <c r="H899" s="3" t="s">
        <v>38</v>
      </c>
      <c r="I899" s="3">
        <v>11181</v>
      </c>
      <c r="J899" s="3">
        <v>11181</v>
      </c>
      <c r="K899" s="3">
        <v>0</v>
      </c>
      <c r="L899" s="3">
        <v>0</v>
      </c>
      <c r="M899" s="3">
        <v>0</v>
      </c>
      <c r="N899" s="3">
        <v>0</v>
      </c>
    </row>
    <row r="900" spans="1:14" ht="14.4">
      <c r="A900" s="3">
        <v>13367</v>
      </c>
      <c r="B900" s="3">
        <v>13368</v>
      </c>
      <c r="C900" s="3">
        <v>4086</v>
      </c>
      <c r="D900" s="3" t="s">
        <v>390</v>
      </c>
      <c r="E900" s="3" t="s">
        <v>594</v>
      </c>
      <c r="F900" s="3">
        <v>8008</v>
      </c>
      <c r="G900" s="3" t="s">
        <v>402</v>
      </c>
      <c r="H900" s="3" t="s">
        <v>38</v>
      </c>
      <c r="I900" s="3">
        <v>337054</v>
      </c>
      <c r="J900" s="3">
        <v>267404</v>
      </c>
      <c r="K900" s="3">
        <v>69650</v>
      </c>
      <c r="L900" s="3">
        <v>15500</v>
      </c>
      <c r="M900" s="3">
        <v>15500</v>
      </c>
      <c r="N900" s="3">
        <v>0</v>
      </c>
    </row>
    <row r="901" spans="1:14" ht="14.4">
      <c r="A901" s="3">
        <v>13367</v>
      </c>
      <c r="B901" s="3">
        <v>13368</v>
      </c>
      <c r="C901" s="3">
        <v>4086</v>
      </c>
      <c r="D901" s="3" t="s">
        <v>390</v>
      </c>
      <c r="E901" s="3" t="s">
        <v>208</v>
      </c>
      <c r="F901" s="3">
        <v>8008</v>
      </c>
      <c r="G901" s="3" t="s">
        <v>402</v>
      </c>
      <c r="H901" s="3" t="s">
        <v>38</v>
      </c>
      <c r="I901" s="3">
        <v>118061</v>
      </c>
      <c r="J901" s="3">
        <v>102761</v>
      </c>
      <c r="K901" s="3">
        <v>15300</v>
      </c>
      <c r="L901" s="3">
        <v>19700</v>
      </c>
      <c r="M901" s="3">
        <v>19700</v>
      </c>
      <c r="N901" s="3">
        <v>0</v>
      </c>
    </row>
    <row r="902" spans="1:14" ht="14.4">
      <c r="A902" s="3">
        <v>13367</v>
      </c>
      <c r="B902" s="3">
        <v>13368</v>
      </c>
      <c r="C902" s="3">
        <v>4086</v>
      </c>
      <c r="D902" s="3" t="s">
        <v>390</v>
      </c>
      <c r="E902" s="3" t="s">
        <v>595</v>
      </c>
      <c r="F902" s="3">
        <v>7066</v>
      </c>
      <c r="G902" s="3" t="s">
        <v>402</v>
      </c>
      <c r="H902" s="3" t="s">
        <v>38</v>
      </c>
      <c r="I902" s="3">
        <v>98988</v>
      </c>
      <c r="J902" s="3">
        <v>82628</v>
      </c>
      <c r="K902" s="3">
        <v>16360</v>
      </c>
      <c r="L902" s="3">
        <v>0</v>
      </c>
      <c r="M902" s="3">
        <v>0</v>
      </c>
      <c r="N902" s="3">
        <v>0</v>
      </c>
    </row>
    <row r="903" spans="1:14" ht="14.4">
      <c r="A903" s="3">
        <v>13367</v>
      </c>
      <c r="B903" s="3">
        <v>13368</v>
      </c>
      <c r="C903" s="3">
        <v>4086</v>
      </c>
      <c r="D903" s="3" t="s">
        <v>390</v>
      </c>
      <c r="E903" s="3" t="s">
        <v>595</v>
      </c>
      <c r="F903" s="3">
        <v>7407</v>
      </c>
      <c r="G903" s="3" t="s">
        <v>402</v>
      </c>
      <c r="H903" s="3" t="s">
        <v>38</v>
      </c>
      <c r="I903" s="3">
        <v>30098</v>
      </c>
      <c r="J903" s="3">
        <v>25598</v>
      </c>
      <c r="K903" s="3">
        <v>4500</v>
      </c>
      <c r="L903" s="3">
        <v>14000</v>
      </c>
      <c r="M903" s="3">
        <v>9500</v>
      </c>
      <c r="N903" s="3">
        <v>4500</v>
      </c>
    </row>
    <row r="904" spans="1:14" ht="14.4">
      <c r="A904" s="3">
        <v>13367</v>
      </c>
      <c r="B904" s="3">
        <v>13368</v>
      </c>
      <c r="C904" s="3">
        <v>4086</v>
      </c>
      <c r="D904" s="3" t="s">
        <v>390</v>
      </c>
      <c r="E904" s="3" t="s">
        <v>595</v>
      </c>
      <c r="F904" s="3">
        <v>8008</v>
      </c>
      <c r="G904" s="3" t="s">
        <v>402</v>
      </c>
      <c r="H904" s="3" t="s">
        <v>38</v>
      </c>
      <c r="I904" s="3">
        <v>5838193</v>
      </c>
      <c r="J904" s="3">
        <v>4737389</v>
      </c>
      <c r="K904" s="3">
        <v>1100804</v>
      </c>
      <c r="L904" s="3">
        <v>1774500</v>
      </c>
      <c r="M904" s="3">
        <v>1105800</v>
      </c>
      <c r="N904" s="3">
        <v>484700</v>
      </c>
    </row>
    <row r="905" spans="1:14" ht="14.4">
      <c r="A905" s="3">
        <v>13367</v>
      </c>
      <c r="B905" s="3">
        <v>13368</v>
      </c>
      <c r="C905" s="3">
        <v>4086</v>
      </c>
      <c r="D905" s="3" t="s">
        <v>390</v>
      </c>
      <c r="E905" s="3" t="s">
        <v>595</v>
      </c>
      <c r="F905" s="3">
        <v>8724</v>
      </c>
      <c r="G905" s="3" t="s">
        <v>402</v>
      </c>
      <c r="H905" s="3" t="s">
        <v>38</v>
      </c>
      <c r="I905" s="3">
        <v>37081</v>
      </c>
      <c r="J905" s="3">
        <v>35081</v>
      </c>
      <c r="K905" s="3">
        <v>2000</v>
      </c>
      <c r="L905" s="3">
        <v>0</v>
      </c>
      <c r="M905" s="3">
        <v>0</v>
      </c>
      <c r="N905" s="3">
        <v>0</v>
      </c>
    </row>
    <row r="906" spans="1:14" ht="14.4">
      <c r="A906" s="3">
        <v>13367</v>
      </c>
      <c r="B906" s="3">
        <v>13368</v>
      </c>
      <c r="C906" s="3">
        <v>4086</v>
      </c>
      <c r="D906" s="3" t="s">
        <v>390</v>
      </c>
      <c r="E906" s="3" t="s">
        <v>596</v>
      </c>
      <c r="F906" s="3">
        <v>8008</v>
      </c>
      <c r="G906" s="3" t="s">
        <v>402</v>
      </c>
      <c r="H906" s="3" t="s">
        <v>38</v>
      </c>
      <c r="I906" s="3">
        <v>112098</v>
      </c>
      <c r="J906" s="3">
        <v>105698</v>
      </c>
      <c r="K906" s="3">
        <v>6400</v>
      </c>
      <c r="L906" s="3">
        <v>0</v>
      </c>
      <c r="M906" s="3">
        <v>0</v>
      </c>
      <c r="N906" s="3">
        <v>0</v>
      </c>
    </row>
    <row r="907" spans="1:14" ht="14.4">
      <c r="A907" s="3">
        <v>13367</v>
      </c>
      <c r="B907" s="3">
        <v>13368</v>
      </c>
      <c r="C907" s="3">
        <v>4086</v>
      </c>
      <c r="D907" s="3" t="s">
        <v>390</v>
      </c>
      <c r="E907" s="3" t="s">
        <v>597</v>
      </c>
      <c r="F907" s="3">
        <v>8008</v>
      </c>
      <c r="G907" s="3" t="s">
        <v>402</v>
      </c>
      <c r="H907" s="3" t="s">
        <v>38</v>
      </c>
      <c r="I907" s="3">
        <v>414951</v>
      </c>
      <c r="J907" s="3">
        <v>341424</v>
      </c>
      <c r="K907" s="3">
        <v>73527</v>
      </c>
      <c r="L907" s="3">
        <v>67400</v>
      </c>
      <c r="M907" s="3">
        <v>45500</v>
      </c>
      <c r="N907" s="3">
        <v>21900</v>
      </c>
    </row>
    <row r="908" spans="1:14" ht="14.4">
      <c r="A908" s="3">
        <v>13367</v>
      </c>
      <c r="B908" s="3">
        <v>13368</v>
      </c>
      <c r="C908" s="3">
        <v>4086</v>
      </c>
      <c r="D908" s="3" t="s">
        <v>390</v>
      </c>
      <c r="E908" s="3" t="s">
        <v>598</v>
      </c>
      <c r="F908" s="3">
        <v>8008</v>
      </c>
      <c r="G908" s="3" t="s">
        <v>402</v>
      </c>
      <c r="H908" s="3" t="s">
        <v>38</v>
      </c>
      <c r="I908" s="3">
        <v>136208</v>
      </c>
      <c r="J908" s="3">
        <v>97158</v>
      </c>
      <c r="K908" s="3">
        <v>39050</v>
      </c>
      <c r="L908" s="3">
        <v>0</v>
      </c>
      <c r="M908" s="3">
        <v>0</v>
      </c>
      <c r="N908" s="3">
        <v>0</v>
      </c>
    </row>
    <row r="909" spans="1:14" ht="14.4">
      <c r="A909" s="3">
        <v>13367</v>
      </c>
      <c r="B909" s="3">
        <v>13368</v>
      </c>
      <c r="C909" s="3">
        <v>4086</v>
      </c>
      <c r="D909" s="3" t="s">
        <v>390</v>
      </c>
      <c r="E909" s="3" t="s">
        <v>599</v>
      </c>
      <c r="F909" s="3">
        <v>7740</v>
      </c>
      <c r="G909" s="3" t="s">
        <v>392</v>
      </c>
      <c r="H909" s="3" t="s">
        <v>38</v>
      </c>
      <c r="I909" s="3">
        <v>8662949</v>
      </c>
      <c r="J909" s="3">
        <v>7397999</v>
      </c>
      <c r="K909" s="3">
        <v>1264950</v>
      </c>
      <c r="L909" s="3">
        <v>4063500</v>
      </c>
      <c r="M909" s="3">
        <v>3102400</v>
      </c>
      <c r="N909" s="3">
        <v>557100</v>
      </c>
    </row>
    <row r="910" spans="1:14" ht="14.4">
      <c r="A910" s="3">
        <v>13367</v>
      </c>
      <c r="B910" s="3">
        <v>13368</v>
      </c>
      <c r="C910" s="3">
        <v>4086</v>
      </c>
      <c r="D910" s="3" t="s">
        <v>390</v>
      </c>
      <c r="E910" s="3" t="s">
        <v>599</v>
      </c>
      <c r="F910" s="3">
        <v>7774</v>
      </c>
      <c r="G910" s="3" t="s">
        <v>392</v>
      </c>
      <c r="H910" s="3" t="s">
        <v>38</v>
      </c>
      <c r="I910" s="3">
        <v>54352</v>
      </c>
      <c r="J910" s="3">
        <v>51102</v>
      </c>
      <c r="K910" s="3">
        <v>3250</v>
      </c>
      <c r="L910" s="3">
        <v>0</v>
      </c>
      <c r="M910" s="3">
        <v>0</v>
      </c>
      <c r="N910" s="3">
        <v>0</v>
      </c>
    </row>
    <row r="911" spans="1:14" ht="14.4">
      <c r="A911" s="3">
        <v>13367</v>
      </c>
      <c r="B911" s="3">
        <v>13368</v>
      </c>
      <c r="C911" s="3">
        <v>4086</v>
      </c>
      <c r="D911" s="3" t="s">
        <v>390</v>
      </c>
      <c r="E911" s="3" t="s">
        <v>600</v>
      </c>
      <c r="F911" s="3">
        <v>8403</v>
      </c>
      <c r="G911" s="3" t="s">
        <v>394</v>
      </c>
      <c r="H911" s="3" t="s">
        <v>38</v>
      </c>
      <c r="I911" s="3">
        <v>7345697</v>
      </c>
      <c r="J911" s="3">
        <v>7219994</v>
      </c>
      <c r="K911" s="3">
        <v>125703</v>
      </c>
      <c r="L911" s="3">
        <v>3912800</v>
      </c>
      <c r="M911" s="3">
        <v>3778900</v>
      </c>
      <c r="N911" s="3">
        <v>98700</v>
      </c>
    </row>
    <row r="912" spans="1:14" ht="14.4">
      <c r="A912" s="3">
        <v>13367</v>
      </c>
      <c r="B912" s="3">
        <v>13368</v>
      </c>
      <c r="C912" s="3">
        <v>4086</v>
      </c>
      <c r="D912" s="3" t="s">
        <v>390</v>
      </c>
      <c r="E912" s="3" t="s">
        <v>601</v>
      </c>
      <c r="F912" s="3">
        <v>7071</v>
      </c>
      <c r="G912" s="3" t="s">
        <v>76</v>
      </c>
      <c r="H912" s="3" t="s">
        <v>38</v>
      </c>
      <c r="I912" s="3">
        <v>1109963</v>
      </c>
      <c r="J912" s="3">
        <v>570468</v>
      </c>
      <c r="K912" s="3">
        <v>539495</v>
      </c>
      <c r="L912" s="3">
        <v>522800</v>
      </c>
      <c r="M912" s="3">
        <v>318200</v>
      </c>
      <c r="N912" s="3">
        <v>126700</v>
      </c>
    </row>
    <row r="913" spans="1:14" ht="14.4">
      <c r="A913" s="3">
        <v>13367</v>
      </c>
      <c r="B913" s="3">
        <v>13368</v>
      </c>
      <c r="C913" s="3">
        <v>4086</v>
      </c>
      <c r="D913" s="3" t="s">
        <v>390</v>
      </c>
      <c r="E913" s="3" t="s">
        <v>602</v>
      </c>
      <c r="F913" s="3">
        <v>8050</v>
      </c>
      <c r="G913" s="3" t="s">
        <v>402</v>
      </c>
      <c r="H913" s="3" t="s">
        <v>38</v>
      </c>
      <c r="I913" s="3">
        <v>91216</v>
      </c>
      <c r="J913" s="3">
        <v>74386</v>
      </c>
      <c r="K913" s="3">
        <v>16830</v>
      </c>
      <c r="L913" s="3">
        <v>0</v>
      </c>
      <c r="M913" s="3">
        <v>0</v>
      </c>
      <c r="N913" s="3">
        <v>0</v>
      </c>
    </row>
    <row r="914" spans="1:14" ht="14.4">
      <c r="A914" s="3">
        <v>13367</v>
      </c>
      <c r="B914" s="3">
        <v>13368</v>
      </c>
      <c r="C914" s="3">
        <v>4086</v>
      </c>
      <c r="D914" s="3" t="s">
        <v>390</v>
      </c>
      <c r="E914" s="3" t="s">
        <v>603</v>
      </c>
      <c r="F914" s="3">
        <v>8050</v>
      </c>
      <c r="G914" s="3" t="s">
        <v>402</v>
      </c>
      <c r="H914" s="3" t="s">
        <v>38</v>
      </c>
      <c r="I914" s="3">
        <v>140835</v>
      </c>
      <c r="J914" s="3">
        <v>137235</v>
      </c>
      <c r="K914" s="3">
        <v>3600</v>
      </c>
      <c r="L914" s="3">
        <v>0</v>
      </c>
      <c r="M914" s="3">
        <v>0</v>
      </c>
      <c r="N914" s="3">
        <v>0</v>
      </c>
    </row>
    <row r="915" spans="1:14" ht="14.4">
      <c r="A915" s="3">
        <v>13367</v>
      </c>
      <c r="B915" s="3">
        <v>13368</v>
      </c>
      <c r="C915" s="3">
        <v>4086</v>
      </c>
      <c r="D915" s="3" t="s">
        <v>390</v>
      </c>
      <c r="E915" s="3" t="s">
        <v>604</v>
      </c>
      <c r="F915" s="3">
        <v>7642</v>
      </c>
      <c r="G915" s="3" t="s">
        <v>76</v>
      </c>
      <c r="H915" s="3" t="s">
        <v>38</v>
      </c>
      <c r="I915" s="3">
        <v>99512</v>
      </c>
      <c r="J915" s="3">
        <v>96487</v>
      </c>
      <c r="K915" s="3">
        <v>3025</v>
      </c>
      <c r="L915" s="3">
        <v>79300</v>
      </c>
      <c r="M915" s="3">
        <v>76300</v>
      </c>
      <c r="N915" s="3">
        <v>3000</v>
      </c>
    </row>
    <row r="916" spans="1:14" ht="14.4">
      <c r="A916" s="3">
        <v>13367</v>
      </c>
      <c r="B916" s="3">
        <v>13368</v>
      </c>
      <c r="C916" s="3">
        <v>4086</v>
      </c>
      <c r="D916" s="3" t="s">
        <v>390</v>
      </c>
      <c r="E916" s="3" t="s">
        <v>604</v>
      </c>
      <c r="F916" s="3">
        <v>8005</v>
      </c>
      <c r="G916" s="3" t="s">
        <v>402</v>
      </c>
      <c r="H916" s="3" t="s">
        <v>38</v>
      </c>
      <c r="I916" s="3">
        <v>170855</v>
      </c>
      <c r="J916" s="3">
        <v>168655</v>
      </c>
      <c r="K916" s="3">
        <v>2200</v>
      </c>
      <c r="L916" s="3">
        <v>0</v>
      </c>
      <c r="M916" s="3">
        <v>0</v>
      </c>
      <c r="N916" s="3">
        <v>0</v>
      </c>
    </row>
    <row r="917" spans="1:14" ht="14.4">
      <c r="A917" s="3">
        <v>13367</v>
      </c>
      <c r="B917" s="3">
        <v>13368</v>
      </c>
      <c r="C917" s="3">
        <v>4086</v>
      </c>
      <c r="D917" s="3" t="s">
        <v>390</v>
      </c>
      <c r="E917" s="3" t="s">
        <v>604</v>
      </c>
      <c r="F917" s="3">
        <v>8050</v>
      </c>
      <c r="G917" s="3" t="s">
        <v>402</v>
      </c>
      <c r="H917" s="3" t="s">
        <v>38</v>
      </c>
      <c r="I917" s="3">
        <v>7946577</v>
      </c>
      <c r="J917" s="3">
        <v>6421307</v>
      </c>
      <c r="K917" s="3">
        <v>1525270</v>
      </c>
      <c r="L917" s="3">
        <v>3656800</v>
      </c>
      <c r="M917" s="3">
        <v>2403400</v>
      </c>
      <c r="N917" s="3">
        <v>881600</v>
      </c>
    </row>
    <row r="918" spans="1:14" ht="14.4">
      <c r="A918" s="3">
        <v>13367</v>
      </c>
      <c r="B918" s="3">
        <v>13368</v>
      </c>
      <c r="C918" s="3">
        <v>4086</v>
      </c>
      <c r="D918" s="3" t="s">
        <v>390</v>
      </c>
      <c r="E918" s="3" t="s">
        <v>604</v>
      </c>
      <c r="F918" s="3">
        <v>8060</v>
      </c>
      <c r="G918" s="3" t="s">
        <v>402</v>
      </c>
      <c r="H918" s="3" t="s">
        <v>38</v>
      </c>
      <c r="I918" s="3">
        <v>83123</v>
      </c>
      <c r="J918" s="3">
        <v>70978</v>
      </c>
      <c r="K918" s="3">
        <v>12145</v>
      </c>
      <c r="L918" s="3">
        <v>0</v>
      </c>
      <c r="M918" s="3">
        <v>0</v>
      </c>
      <c r="N918" s="3">
        <v>0</v>
      </c>
    </row>
    <row r="919" spans="1:14" ht="14.4">
      <c r="A919" s="3">
        <v>13367</v>
      </c>
      <c r="B919" s="3">
        <v>13368</v>
      </c>
      <c r="C919" s="3">
        <v>4086</v>
      </c>
      <c r="D919" s="3" t="s">
        <v>390</v>
      </c>
      <c r="E919" s="3" t="s">
        <v>605</v>
      </c>
      <c r="F919" s="3">
        <v>7726</v>
      </c>
      <c r="G919" s="3" t="s">
        <v>392</v>
      </c>
      <c r="H919" s="3" t="s">
        <v>38</v>
      </c>
      <c r="I919" s="3">
        <v>224464</v>
      </c>
      <c r="J919" s="3">
        <v>25470</v>
      </c>
      <c r="K919" s="3">
        <v>198994</v>
      </c>
      <c r="L919" s="3">
        <v>165500</v>
      </c>
      <c r="M919" s="3">
        <v>18900</v>
      </c>
      <c r="N919" s="3">
        <v>47100</v>
      </c>
    </row>
    <row r="920" spans="1:14" ht="14.4">
      <c r="A920" s="3">
        <v>13367</v>
      </c>
      <c r="B920" s="3">
        <v>13368</v>
      </c>
      <c r="C920" s="3">
        <v>4086</v>
      </c>
      <c r="D920" s="3" t="s">
        <v>390</v>
      </c>
      <c r="E920" s="3" t="s">
        <v>606</v>
      </c>
      <c r="F920" s="3">
        <v>8730</v>
      </c>
      <c r="G920" s="3" t="s">
        <v>392</v>
      </c>
      <c r="H920" s="3" t="s">
        <v>38</v>
      </c>
      <c r="I920" s="3">
        <v>61916</v>
      </c>
      <c r="J920" s="3">
        <v>6650</v>
      </c>
      <c r="K920" s="3">
        <v>55266</v>
      </c>
      <c r="L920" s="3">
        <v>55300</v>
      </c>
      <c r="M920" s="3">
        <v>0</v>
      </c>
      <c r="N920" s="3">
        <v>55300</v>
      </c>
    </row>
    <row r="921" spans="1:14" ht="14.4">
      <c r="A921" s="3">
        <v>13367</v>
      </c>
      <c r="B921" s="3">
        <v>13368</v>
      </c>
      <c r="C921" s="3">
        <v>4086</v>
      </c>
      <c r="D921" s="3" t="s">
        <v>390</v>
      </c>
      <c r="E921" s="3" t="s">
        <v>606</v>
      </c>
      <c r="F921" s="3">
        <v>8735</v>
      </c>
      <c r="G921" s="3" t="s">
        <v>392</v>
      </c>
      <c r="H921" s="3" t="s">
        <v>38</v>
      </c>
      <c r="I921" s="3">
        <v>46748</v>
      </c>
      <c r="J921" s="3">
        <v>37687</v>
      </c>
      <c r="K921" s="3">
        <v>9061</v>
      </c>
      <c r="L921" s="3">
        <v>0</v>
      </c>
      <c r="M921" s="3">
        <v>0</v>
      </c>
      <c r="N921" s="3">
        <v>0</v>
      </c>
    </row>
    <row r="922" spans="1:14" ht="14.4">
      <c r="A922" s="3">
        <v>13367</v>
      </c>
      <c r="B922" s="3">
        <v>13368</v>
      </c>
      <c r="C922" s="3">
        <v>4086</v>
      </c>
      <c r="D922" s="3" t="s">
        <v>390</v>
      </c>
      <c r="E922" s="3" t="s">
        <v>606</v>
      </c>
      <c r="F922" s="3">
        <v>8736</v>
      </c>
      <c r="G922" s="3" t="s">
        <v>392</v>
      </c>
      <c r="H922" s="3" t="s">
        <v>38</v>
      </c>
      <c r="I922" s="3">
        <v>8862192</v>
      </c>
      <c r="J922" s="3">
        <v>6658514</v>
      </c>
      <c r="K922" s="3">
        <v>2203678</v>
      </c>
      <c r="L922" s="3">
        <v>3131800</v>
      </c>
      <c r="M922" s="3">
        <v>2447000</v>
      </c>
      <c r="N922" s="3">
        <v>486500</v>
      </c>
    </row>
    <row r="923" spans="1:14" ht="14.4">
      <c r="A923" s="3">
        <v>13367</v>
      </c>
      <c r="B923" s="3">
        <v>13368</v>
      </c>
      <c r="C923" s="3">
        <v>4086</v>
      </c>
      <c r="D923" s="3" t="s">
        <v>390</v>
      </c>
      <c r="E923" s="3" t="s">
        <v>607</v>
      </c>
      <c r="F923" s="3">
        <v>8736</v>
      </c>
      <c r="G923" s="3" t="s">
        <v>392</v>
      </c>
      <c r="H923" s="3" t="s">
        <v>38</v>
      </c>
      <c r="I923" s="3">
        <v>82685</v>
      </c>
      <c r="J923" s="3">
        <v>74985</v>
      </c>
      <c r="K923" s="3">
        <v>7700</v>
      </c>
      <c r="L923" s="3">
        <v>0</v>
      </c>
      <c r="M923" s="3">
        <v>0</v>
      </c>
      <c r="N923" s="3">
        <v>0</v>
      </c>
    </row>
    <row r="924" spans="1:14" ht="14.4">
      <c r="A924" s="3">
        <v>13367</v>
      </c>
      <c r="B924" s="3">
        <v>13368</v>
      </c>
      <c r="C924" s="3">
        <v>4086</v>
      </c>
      <c r="D924" s="3" t="s">
        <v>390</v>
      </c>
      <c r="E924" s="3" t="s">
        <v>215</v>
      </c>
      <c r="F924" s="3">
        <v>10001</v>
      </c>
      <c r="G924" s="3" t="s">
        <v>32</v>
      </c>
      <c r="H924" s="3" t="s">
        <v>21</v>
      </c>
      <c r="I924" s="3">
        <v>0</v>
      </c>
      <c r="J924" s="3">
        <v>0</v>
      </c>
      <c r="K924" s="3">
        <v>0</v>
      </c>
      <c r="L924" s="3">
        <v>13100</v>
      </c>
      <c r="M924" s="3">
        <v>0</v>
      </c>
      <c r="N924" s="3">
        <v>0</v>
      </c>
    </row>
    <row r="925" spans="1:14" ht="14.4">
      <c r="A925" s="3">
        <v>13367</v>
      </c>
      <c r="B925" s="3">
        <v>13368</v>
      </c>
      <c r="C925" s="3">
        <v>4086</v>
      </c>
      <c r="D925" s="3" t="s">
        <v>390</v>
      </c>
      <c r="E925" s="3" t="s">
        <v>608</v>
      </c>
      <c r="F925" s="3">
        <v>8738</v>
      </c>
      <c r="G925" s="3" t="s">
        <v>402</v>
      </c>
      <c r="H925" s="3" t="s">
        <v>38</v>
      </c>
      <c r="I925" s="3">
        <v>7979551</v>
      </c>
      <c r="J925" s="3">
        <v>6379839</v>
      </c>
      <c r="K925" s="3">
        <v>1599712</v>
      </c>
      <c r="L925" s="3">
        <v>1630200</v>
      </c>
      <c r="M925" s="3">
        <v>1387100</v>
      </c>
      <c r="N925" s="3">
        <v>201800</v>
      </c>
    </row>
    <row r="926" spans="1:14" ht="14.4">
      <c r="A926" s="3">
        <v>13367</v>
      </c>
      <c r="B926" s="3">
        <v>13368</v>
      </c>
      <c r="C926" s="3">
        <v>4086</v>
      </c>
      <c r="D926" s="3" t="s">
        <v>390</v>
      </c>
      <c r="E926" s="3" t="s">
        <v>608</v>
      </c>
      <c r="F926" s="3">
        <v>8844</v>
      </c>
      <c r="G926" s="3" t="s">
        <v>402</v>
      </c>
      <c r="H926" s="3" t="s">
        <v>38</v>
      </c>
      <c r="I926" s="3">
        <v>225236</v>
      </c>
      <c r="J926" s="3">
        <v>201186</v>
      </c>
      <c r="K926" s="3">
        <v>24050</v>
      </c>
      <c r="L926" s="3">
        <v>0</v>
      </c>
      <c r="M926" s="3">
        <v>0</v>
      </c>
      <c r="N926" s="3">
        <v>0</v>
      </c>
    </row>
    <row r="927" spans="1:14" ht="14.4">
      <c r="A927" s="3">
        <v>13367</v>
      </c>
      <c r="B927" s="3">
        <v>13368</v>
      </c>
      <c r="C927" s="3">
        <v>4086</v>
      </c>
      <c r="D927" s="3" t="s">
        <v>390</v>
      </c>
      <c r="E927" s="3" t="s">
        <v>609</v>
      </c>
      <c r="F927" s="3">
        <v>8052</v>
      </c>
      <c r="G927" s="3" t="s">
        <v>443</v>
      </c>
      <c r="H927" s="3" t="s">
        <v>38</v>
      </c>
      <c r="I927" s="3">
        <v>99517</v>
      </c>
      <c r="J927" s="3">
        <v>97317</v>
      </c>
      <c r="K927" s="3">
        <v>2200</v>
      </c>
      <c r="L927" s="3">
        <v>0</v>
      </c>
      <c r="M927" s="3">
        <v>0</v>
      </c>
      <c r="N927" s="3">
        <v>0</v>
      </c>
    </row>
    <row r="928" spans="1:14" ht="14.4">
      <c r="A928" s="3">
        <v>13367</v>
      </c>
      <c r="B928" s="3">
        <v>13368</v>
      </c>
      <c r="C928" s="3">
        <v>4086</v>
      </c>
      <c r="D928" s="3" t="s">
        <v>390</v>
      </c>
      <c r="E928" s="3" t="s">
        <v>610</v>
      </c>
      <c r="F928" s="3">
        <v>7040</v>
      </c>
      <c r="G928" s="3" t="s">
        <v>428</v>
      </c>
      <c r="H928" s="3" t="s">
        <v>38</v>
      </c>
      <c r="I928" s="3">
        <v>0</v>
      </c>
      <c r="J928" s="3">
        <v>0</v>
      </c>
      <c r="K928" s="3">
        <v>0</v>
      </c>
      <c r="L928" s="3">
        <v>232000</v>
      </c>
      <c r="M928" s="3">
        <v>0</v>
      </c>
      <c r="N928" s="3">
        <v>0</v>
      </c>
    </row>
    <row r="929" spans="1:14" ht="14.4">
      <c r="A929" s="3">
        <v>13367</v>
      </c>
      <c r="B929" s="3">
        <v>13368</v>
      </c>
      <c r="C929" s="3">
        <v>4086</v>
      </c>
      <c r="D929" s="3" t="s">
        <v>390</v>
      </c>
      <c r="E929" s="3" t="s">
        <v>611</v>
      </c>
      <c r="F929" s="3">
        <v>8402</v>
      </c>
      <c r="G929" s="3" t="s">
        <v>394</v>
      </c>
      <c r="H929" s="3" t="s">
        <v>38</v>
      </c>
      <c r="I929" s="3">
        <v>4045084</v>
      </c>
      <c r="J929" s="3">
        <v>2931793</v>
      </c>
      <c r="K929" s="3">
        <v>1113291</v>
      </c>
      <c r="L929" s="3">
        <v>1393100</v>
      </c>
      <c r="M929" s="3">
        <v>714000</v>
      </c>
      <c r="N929" s="3">
        <v>606300</v>
      </c>
    </row>
    <row r="930" spans="1:14" ht="14.4">
      <c r="A930" s="3">
        <v>13367</v>
      </c>
      <c r="B930" s="3">
        <v>13368</v>
      </c>
      <c r="C930" s="3">
        <v>4086</v>
      </c>
      <c r="D930" s="3" t="s">
        <v>390</v>
      </c>
      <c r="E930" s="3" t="s">
        <v>611</v>
      </c>
      <c r="F930" s="3">
        <v>8406</v>
      </c>
      <c r="G930" s="3" t="s">
        <v>394</v>
      </c>
      <c r="H930" s="3" t="s">
        <v>38</v>
      </c>
      <c r="I930" s="3">
        <v>221413</v>
      </c>
      <c r="J930" s="3">
        <v>50309</v>
      </c>
      <c r="K930" s="3">
        <v>171104</v>
      </c>
      <c r="L930" s="3">
        <v>208200</v>
      </c>
      <c r="M930" s="3">
        <v>47900</v>
      </c>
      <c r="N930" s="3">
        <v>160300</v>
      </c>
    </row>
    <row r="931" spans="1:14" ht="14.4">
      <c r="A931" s="3">
        <v>13367</v>
      </c>
      <c r="B931" s="3">
        <v>13368</v>
      </c>
      <c r="C931" s="3">
        <v>4086</v>
      </c>
      <c r="D931" s="3" t="s">
        <v>390</v>
      </c>
      <c r="E931" s="3" t="s">
        <v>611</v>
      </c>
      <c r="F931" s="3">
        <v>9402</v>
      </c>
      <c r="G931" s="3" t="s">
        <v>394</v>
      </c>
      <c r="H931" s="3" t="s">
        <v>38</v>
      </c>
      <c r="I931" s="3">
        <v>2850</v>
      </c>
      <c r="J931" s="3">
        <v>0</v>
      </c>
      <c r="K931" s="3">
        <v>2850</v>
      </c>
      <c r="L931" s="3">
        <v>0</v>
      </c>
      <c r="M931" s="3">
        <v>0</v>
      </c>
      <c r="N931" s="3">
        <v>0</v>
      </c>
    </row>
    <row r="932" spans="1:14" ht="14.4">
      <c r="A932" s="3">
        <v>13367</v>
      </c>
      <c r="B932" s="3">
        <v>13368</v>
      </c>
      <c r="C932" s="3">
        <v>4086</v>
      </c>
      <c r="D932" s="3" t="s">
        <v>390</v>
      </c>
      <c r="E932" s="3" t="s">
        <v>612</v>
      </c>
      <c r="F932" s="3">
        <v>8402</v>
      </c>
      <c r="G932" s="3" t="s">
        <v>394</v>
      </c>
      <c r="H932" s="3" t="s">
        <v>38</v>
      </c>
      <c r="I932" s="3">
        <v>2741799</v>
      </c>
      <c r="J932" s="3">
        <v>2367927</v>
      </c>
      <c r="K932" s="3">
        <v>373872</v>
      </c>
      <c r="L932" s="3">
        <v>742600</v>
      </c>
      <c r="M932" s="3">
        <v>482800</v>
      </c>
      <c r="N932" s="3">
        <v>132800</v>
      </c>
    </row>
    <row r="933" spans="1:14" ht="14.4">
      <c r="A933" s="3">
        <v>13367</v>
      </c>
      <c r="B933" s="3">
        <v>13368</v>
      </c>
      <c r="C933" s="3">
        <v>4086</v>
      </c>
      <c r="D933" s="3" t="s">
        <v>390</v>
      </c>
      <c r="E933" s="3" t="s">
        <v>613</v>
      </c>
      <c r="F933" s="3">
        <v>8223</v>
      </c>
      <c r="G933" s="3" t="s">
        <v>404</v>
      </c>
      <c r="H933" s="3" t="s">
        <v>38</v>
      </c>
      <c r="I933" s="3">
        <v>1235730</v>
      </c>
      <c r="J933" s="3">
        <v>940561</v>
      </c>
      <c r="K933" s="3">
        <v>295169</v>
      </c>
      <c r="L933" s="3">
        <v>743800</v>
      </c>
      <c r="M933" s="3">
        <v>528500</v>
      </c>
      <c r="N933" s="3">
        <v>203000</v>
      </c>
    </row>
    <row r="934" spans="1:14" ht="14.4">
      <c r="A934" s="3">
        <v>13367</v>
      </c>
      <c r="B934" s="3">
        <v>13368</v>
      </c>
      <c r="C934" s="3">
        <v>4086</v>
      </c>
      <c r="D934" s="3" t="s">
        <v>390</v>
      </c>
      <c r="E934" s="3" t="s">
        <v>614</v>
      </c>
      <c r="F934" s="3">
        <v>8836</v>
      </c>
      <c r="G934" s="3" t="s">
        <v>413</v>
      </c>
      <c r="H934" s="3" t="s">
        <v>38</v>
      </c>
      <c r="I934" s="3">
        <v>0</v>
      </c>
      <c r="J934" s="3">
        <v>0</v>
      </c>
      <c r="K934" s="3">
        <v>0</v>
      </c>
      <c r="L934" s="3">
        <v>5000</v>
      </c>
      <c r="M934" s="3">
        <v>0</v>
      </c>
      <c r="N934" s="3">
        <v>0</v>
      </c>
    </row>
    <row r="935" spans="1:14" ht="14.4">
      <c r="A935" s="3">
        <v>13367</v>
      </c>
      <c r="B935" s="3">
        <v>13368</v>
      </c>
      <c r="C935" s="3">
        <v>4086</v>
      </c>
      <c r="D935" s="3" t="s">
        <v>390</v>
      </c>
      <c r="E935" s="3" t="s">
        <v>615</v>
      </c>
      <c r="F935" s="3">
        <v>7747</v>
      </c>
      <c r="G935" s="3" t="s">
        <v>406</v>
      </c>
      <c r="H935" s="3" t="s">
        <v>38</v>
      </c>
      <c r="I935" s="3">
        <v>5000</v>
      </c>
      <c r="J935" s="3">
        <v>0</v>
      </c>
      <c r="K935" s="3">
        <v>5000</v>
      </c>
      <c r="L935" s="3">
        <v>0</v>
      </c>
      <c r="M935" s="3">
        <v>0</v>
      </c>
      <c r="N935" s="3">
        <v>0</v>
      </c>
    </row>
    <row r="936" spans="1:14" ht="14.4">
      <c r="A936" s="3">
        <v>13367</v>
      </c>
      <c r="B936" s="3">
        <v>13368</v>
      </c>
      <c r="C936" s="3">
        <v>4086</v>
      </c>
      <c r="D936" s="3" t="s">
        <v>390</v>
      </c>
      <c r="E936" s="3" t="s">
        <v>615</v>
      </c>
      <c r="F936" s="3">
        <v>7747</v>
      </c>
      <c r="G936" s="3" t="s">
        <v>392</v>
      </c>
      <c r="H936" s="3" t="s">
        <v>38</v>
      </c>
      <c r="I936" s="3">
        <v>41576</v>
      </c>
      <c r="J936" s="3">
        <v>41576</v>
      </c>
      <c r="K936" s="3">
        <v>0</v>
      </c>
      <c r="L936" s="3">
        <v>0</v>
      </c>
      <c r="M936" s="3">
        <v>0</v>
      </c>
      <c r="N936" s="3">
        <v>0</v>
      </c>
    </row>
    <row r="937" spans="1:14" ht="14.4">
      <c r="A937" s="3">
        <v>13367</v>
      </c>
      <c r="B937" s="3">
        <v>13368</v>
      </c>
      <c r="C937" s="3">
        <v>4086</v>
      </c>
      <c r="D937" s="3" t="s">
        <v>390</v>
      </c>
      <c r="E937" s="3" t="s">
        <v>616</v>
      </c>
      <c r="F937" s="3">
        <v>8330</v>
      </c>
      <c r="G937" s="3" t="s">
        <v>394</v>
      </c>
      <c r="H937" s="3" t="s">
        <v>38</v>
      </c>
      <c r="I937" s="3">
        <v>152868</v>
      </c>
      <c r="J937" s="3">
        <v>77620</v>
      </c>
      <c r="K937" s="3">
        <v>75248</v>
      </c>
      <c r="L937" s="3">
        <v>62600</v>
      </c>
      <c r="M937" s="3">
        <v>30600</v>
      </c>
      <c r="N937" s="3">
        <v>2500</v>
      </c>
    </row>
    <row r="938" spans="1:14" ht="14.4">
      <c r="A938" s="3">
        <v>13367</v>
      </c>
      <c r="B938" s="3">
        <v>13368</v>
      </c>
      <c r="C938" s="3">
        <v>4086</v>
      </c>
      <c r="D938" s="3" t="s">
        <v>390</v>
      </c>
      <c r="E938" s="3" t="s">
        <v>617</v>
      </c>
      <c r="F938" s="3">
        <v>7607</v>
      </c>
      <c r="G938" s="3" t="s">
        <v>76</v>
      </c>
      <c r="H938" s="3" t="s">
        <v>38</v>
      </c>
      <c r="I938" s="3">
        <v>14950</v>
      </c>
      <c r="J938" s="3">
        <v>0</v>
      </c>
      <c r="K938" s="3">
        <v>14950</v>
      </c>
      <c r="L938" s="3">
        <v>22000</v>
      </c>
      <c r="M938" s="3">
        <v>0</v>
      </c>
      <c r="N938" s="3">
        <v>12600</v>
      </c>
    </row>
    <row r="939" spans="1:14" ht="14.4">
      <c r="A939" s="3">
        <v>13367</v>
      </c>
      <c r="B939" s="3">
        <v>13368</v>
      </c>
      <c r="C939" s="3">
        <v>4086</v>
      </c>
      <c r="D939" s="3" t="s">
        <v>390</v>
      </c>
      <c r="E939" s="3" t="s">
        <v>618</v>
      </c>
      <c r="F939" s="3">
        <v>8232</v>
      </c>
      <c r="G939" s="3" t="s">
        <v>394</v>
      </c>
      <c r="H939" s="3" t="s">
        <v>38</v>
      </c>
      <c r="I939" s="3">
        <v>122967</v>
      </c>
      <c r="J939" s="3">
        <v>0</v>
      </c>
      <c r="K939" s="3">
        <v>122967</v>
      </c>
      <c r="L939" s="3">
        <v>0</v>
      </c>
      <c r="M939" s="3">
        <v>0</v>
      </c>
      <c r="N939" s="3">
        <v>0</v>
      </c>
    </row>
    <row r="940" spans="1:14" ht="14.4">
      <c r="A940" s="3">
        <v>13367</v>
      </c>
      <c r="B940" s="3">
        <v>13368</v>
      </c>
      <c r="C940" s="3">
        <v>4086</v>
      </c>
      <c r="D940" s="3" t="s">
        <v>390</v>
      </c>
      <c r="E940" s="3" t="s">
        <v>619</v>
      </c>
      <c r="F940" s="3">
        <v>7945</v>
      </c>
      <c r="G940" s="3" t="s">
        <v>441</v>
      </c>
      <c r="H940" s="3" t="s">
        <v>38</v>
      </c>
      <c r="I940" s="3">
        <v>2025</v>
      </c>
      <c r="J940" s="3">
        <v>0</v>
      </c>
      <c r="K940" s="3">
        <v>2025</v>
      </c>
      <c r="L940" s="3">
        <v>5100</v>
      </c>
      <c r="M940" s="3">
        <v>0</v>
      </c>
      <c r="N940" s="3">
        <v>2100</v>
      </c>
    </row>
    <row r="941" spans="1:14" ht="14.4">
      <c r="A941" s="3">
        <v>13367</v>
      </c>
      <c r="B941" s="3">
        <v>13368</v>
      </c>
      <c r="C941" s="3">
        <v>4086</v>
      </c>
      <c r="D941" s="3" t="s">
        <v>390</v>
      </c>
      <c r="E941" s="3" t="s">
        <v>620</v>
      </c>
      <c r="F941" s="3">
        <v>8840</v>
      </c>
      <c r="G941" s="3" t="s">
        <v>406</v>
      </c>
      <c r="H941" s="3" t="s">
        <v>38</v>
      </c>
      <c r="I941" s="3">
        <v>18517</v>
      </c>
      <c r="J941" s="3">
        <v>0</v>
      </c>
      <c r="K941" s="3">
        <v>18517</v>
      </c>
      <c r="L941" s="3">
        <v>44100</v>
      </c>
      <c r="M941" s="3">
        <v>0</v>
      </c>
      <c r="N941" s="3">
        <v>0</v>
      </c>
    </row>
    <row r="942" spans="1:14" ht="14.4">
      <c r="A942" s="3">
        <v>13367</v>
      </c>
      <c r="B942" s="3">
        <v>13368</v>
      </c>
      <c r="C942" s="3">
        <v>4086</v>
      </c>
      <c r="D942" s="3" t="s">
        <v>390</v>
      </c>
      <c r="E942" s="3" t="s">
        <v>621</v>
      </c>
      <c r="F942" s="3">
        <v>8210</v>
      </c>
      <c r="G942" s="3" t="s">
        <v>404</v>
      </c>
      <c r="H942" s="3" t="s">
        <v>38</v>
      </c>
      <c r="I942" s="3">
        <v>76461</v>
      </c>
      <c r="J942" s="3">
        <v>73511</v>
      </c>
      <c r="K942" s="3">
        <v>2950</v>
      </c>
      <c r="L942" s="3">
        <v>0</v>
      </c>
      <c r="M942" s="3">
        <v>0</v>
      </c>
      <c r="N942" s="3">
        <v>0</v>
      </c>
    </row>
    <row r="943" spans="1:14" ht="14.4">
      <c r="A943" s="3">
        <v>13367</v>
      </c>
      <c r="B943" s="3">
        <v>13368</v>
      </c>
      <c r="C943" s="3">
        <v>4086</v>
      </c>
      <c r="D943" s="3" t="s">
        <v>390</v>
      </c>
      <c r="E943" s="3" t="s">
        <v>406</v>
      </c>
      <c r="F943" s="3">
        <v>8846</v>
      </c>
      <c r="G943" s="3" t="s">
        <v>406</v>
      </c>
      <c r="H943" s="3" t="s">
        <v>38</v>
      </c>
      <c r="I943" s="3">
        <v>14500</v>
      </c>
      <c r="J943" s="3">
        <v>0</v>
      </c>
      <c r="K943" s="3">
        <v>14500</v>
      </c>
      <c r="L943" s="3">
        <v>32400</v>
      </c>
      <c r="M943" s="3">
        <v>0</v>
      </c>
      <c r="N943" s="3">
        <v>0</v>
      </c>
    </row>
    <row r="944" spans="1:14" ht="14.4">
      <c r="A944" s="3">
        <v>13367</v>
      </c>
      <c r="B944" s="3">
        <v>13368</v>
      </c>
      <c r="C944" s="3">
        <v>4086</v>
      </c>
      <c r="D944" s="3" t="s">
        <v>390</v>
      </c>
      <c r="E944" s="3" t="s">
        <v>226</v>
      </c>
      <c r="F944" s="3">
        <v>7748</v>
      </c>
      <c r="G944" s="3" t="s">
        <v>392</v>
      </c>
      <c r="H944" s="3" t="s">
        <v>38</v>
      </c>
      <c r="I944" s="3">
        <v>209625</v>
      </c>
      <c r="J944" s="3">
        <v>198353</v>
      </c>
      <c r="K944" s="3">
        <v>11272</v>
      </c>
      <c r="L944" s="3">
        <v>41400</v>
      </c>
      <c r="M944" s="3">
        <v>36400</v>
      </c>
      <c r="N944" s="3">
        <v>0</v>
      </c>
    </row>
    <row r="945" spans="1:14" ht="14.4">
      <c r="A945" s="3">
        <v>13367</v>
      </c>
      <c r="B945" s="3">
        <v>13368</v>
      </c>
      <c r="C945" s="3">
        <v>4086</v>
      </c>
      <c r="D945" s="3" t="s">
        <v>390</v>
      </c>
      <c r="E945" s="3" t="s">
        <v>622</v>
      </c>
      <c r="F945" s="3">
        <v>7432</v>
      </c>
      <c r="G945" s="3" t="s">
        <v>76</v>
      </c>
      <c r="H945" s="3" t="s">
        <v>38</v>
      </c>
      <c r="I945" s="3">
        <v>124099</v>
      </c>
      <c r="J945" s="3">
        <v>49649</v>
      </c>
      <c r="K945" s="3">
        <v>74450</v>
      </c>
      <c r="L945" s="3">
        <v>0</v>
      </c>
      <c r="M945" s="3">
        <v>0</v>
      </c>
      <c r="N945" s="3">
        <v>0</v>
      </c>
    </row>
    <row r="946" spans="1:14" ht="14.4">
      <c r="A946" s="3">
        <v>13367</v>
      </c>
      <c r="B946" s="3">
        <v>13368</v>
      </c>
      <c r="C946" s="3">
        <v>4086</v>
      </c>
      <c r="D946" s="3" t="s">
        <v>390</v>
      </c>
      <c r="E946" s="3" t="s">
        <v>623</v>
      </c>
      <c r="F946" s="3">
        <v>7748</v>
      </c>
      <c r="G946" s="3" t="s">
        <v>392</v>
      </c>
      <c r="H946" s="3" t="s">
        <v>38</v>
      </c>
      <c r="I946" s="3">
        <v>103994</v>
      </c>
      <c r="J946" s="3">
        <v>43403</v>
      </c>
      <c r="K946" s="3">
        <v>60591</v>
      </c>
      <c r="L946" s="3">
        <v>0</v>
      </c>
      <c r="M946" s="3">
        <v>0</v>
      </c>
      <c r="N946" s="3">
        <v>0</v>
      </c>
    </row>
    <row r="947" spans="1:14" ht="14.4">
      <c r="A947" s="3">
        <v>13367</v>
      </c>
      <c r="B947" s="3">
        <v>13368</v>
      </c>
      <c r="C947" s="3">
        <v>4086</v>
      </c>
      <c r="D947" s="3" t="s">
        <v>390</v>
      </c>
      <c r="E947" s="3" t="s">
        <v>624</v>
      </c>
      <c r="F947" s="3">
        <v>7041</v>
      </c>
      <c r="G947" s="3" t="s">
        <v>428</v>
      </c>
      <c r="H947" s="3" t="s">
        <v>38</v>
      </c>
      <c r="I947" s="3">
        <v>12792</v>
      </c>
      <c r="J947" s="3">
        <v>3392</v>
      </c>
      <c r="K947" s="3">
        <v>9400</v>
      </c>
      <c r="L947" s="3">
        <v>13500</v>
      </c>
      <c r="M947" s="3">
        <v>0</v>
      </c>
      <c r="N947" s="3">
        <v>0</v>
      </c>
    </row>
    <row r="948" spans="1:14" ht="14.4">
      <c r="A948" s="3">
        <v>13367</v>
      </c>
      <c r="B948" s="3">
        <v>13368</v>
      </c>
      <c r="C948" s="3">
        <v>4086</v>
      </c>
      <c r="D948" s="3" t="s">
        <v>390</v>
      </c>
      <c r="E948" s="3" t="s">
        <v>625</v>
      </c>
      <c r="F948" s="3">
        <v>7946</v>
      </c>
      <c r="G948" s="3" t="s">
        <v>413</v>
      </c>
      <c r="H948" s="3" t="s">
        <v>38</v>
      </c>
      <c r="I948" s="3">
        <v>279827</v>
      </c>
      <c r="J948" s="3">
        <v>42374</v>
      </c>
      <c r="K948" s="3">
        <v>237453</v>
      </c>
      <c r="L948" s="3">
        <v>0</v>
      </c>
      <c r="M948" s="3">
        <v>0</v>
      </c>
      <c r="N948" s="3">
        <v>0</v>
      </c>
    </row>
    <row r="949" spans="1:14" ht="14.4">
      <c r="A949" s="3">
        <v>13367</v>
      </c>
      <c r="B949" s="3">
        <v>13368</v>
      </c>
      <c r="C949" s="3">
        <v>4086</v>
      </c>
      <c r="D949" s="3" t="s">
        <v>390</v>
      </c>
      <c r="E949" s="3" t="s">
        <v>626</v>
      </c>
      <c r="F949" s="3">
        <v>8345</v>
      </c>
      <c r="G949" s="3" t="s">
        <v>452</v>
      </c>
      <c r="H949" s="3" t="s">
        <v>38</v>
      </c>
      <c r="I949" s="3">
        <v>57440</v>
      </c>
      <c r="J949" s="3">
        <v>45071</v>
      </c>
      <c r="K949" s="3">
        <v>12369</v>
      </c>
      <c r="L949" s="3">
        <v>0</v>
      </c>
      <c r="M949" s="3">
        <v>0</v>
      </c>
      <c r="N949" s="3">
        <v>0</v>
      </c>
    </row>
    <row r="950" spans="1:14" ht="14.4">
      <c r="A950" s="3">
        <v>13367</v>
      </c>
      <c r="B950" s="3">
        <v>13368</v>
      </c>
      <c r="C950" s="3">
        <v>4086</v>
      </c>
      <c r="D950" s="3" t="s">
        <v>390</v>
      </c>
      <c r="E950" s="3" t="s">
        <v>627</v>
      </c>
      <c r="F950" s="3">
        <v>7740</v>
      </c>
      <c r="G950" s="3" t="s">
        <v>392</v>
      </c>
      <c r="H950" s="3" t="s">
        <v>38</v>
      </c>
      <c r="I950" s="3">
        <v>58700</v>
      </c>
      <c r="J950" s="3">
        <v>57100</v>
      </c>
      <c r="K950" s="3">
        <v>1600</v>
      </c>
      <c r="L950" s="3">
        <v>0</v>
      </c>
      <c r="M950" s="3">
        <v>0</v>
      </c>
      <c r="N950" s="3">
        <v>0</v>
      </c>
    </row>
    <row r="951" spans="1:14" ht="14.4">
      <c r="A951" s="3">
        <v>13367</v>
      </c>
      <c r="B951" s="3">
        <v>13368</v>
      </c>
      <c r="C951" s="3">
        <v>4086</v>
      </c>
      <c r="D951" s="3" t="s">
        <v>390</v>
      </c>
      <c r="E951" s="3" t="s">
        <v>627</v>
      </c>
      <c r="F951" s="3">
        <v>7750</v>
      </c>
      <c r="G951" s="3" t="s">
        <v>392</v>
      </c>
      <c r="H951" s="3" t="s">
        <v>38</v>
      </c>
      <c r="I951" s="3">
        <v>9990590</v>
      </c>
      <c r="J951" s="3">
        <v>8329058</v>
      </c>
      <c r="K951" s="3">
        <v>1661532</v>
      </c>
      <c r="L951" s="3">
        <v>618600</v>
      </c>
      <c r="M951" s="3">
        <v>461800</v>
      </c>
      <c r="N951" s="3">
        <v>137600</v>
      </c>
    </row>
    <row r="952" spans="1:14" ht="14.4">
      <c r="A952" s="3">
        <v>13367</v>
      </c>
      <c r="B952" s="3">
        <v>13368</v>
      </c>
      <c r="C952" s="3">
        <v>4086</v>
      </c>
      <c r="D952" s="3" t="s">
        <v>390</v>
      </c>
      <c r="E952" s="3" t="s">
        <v>628</v>
      </c>
      <c r="F952" s="3">
        <v>7750</v>
      </c>
      <c r="G952" s="3" t="s">
        <v>392</v>
      </c>
      <c r="H952" s="3" t="s">
        <v>38</v>
      </c>
      <c r="I952" s="3">
        <v>64601</v>
      </c>
      <c r="J952" s="3">
        <v>61301</v>
      </c>
      <c r="K952" s="3">
        <v>3300</v>
      </c>
      <c r="L952" s="3">
        <v>74300</v>
      </c>
      <c r="M952" s="3">
        <v>61400</v>
      </c>
      <c r="N952" s="3">
        <v>3300</v>
      </c>
    </row>
    <row r="953" spans="1:14" ht="14.4">
      <c r="A953" s="3">
        <v>13367</v>
      </c>
      <c r="B953" s="3">
        <v>13368</v>
      </c>
      <c r="C953" s="3">
        <v>4086</v>
      </c>
      <c r="D953" s="3" t="s">
        <v>390</v>
      </c>
      <c r="E953" s="3" t="s">
        <v>229</v>
      </c>
      <c r="F953" s="3">
        <v>8831</v>
      </c>
      <c r="G953" s="3" t="s">
        <v>406</v>
      </c>
      <c r="H953" s="3" t="s">
        <v>38</v>
      </c>
      <c r="I953" s="3">
        <v>247825</v>
      </c>
      <c r="J953" s="3">
        <v>234175</v>
      </c>
      <c r="K953" s="3">
        <v>13650</v>
      </c>
      <c r="L953" s="3">
        <v>4200</v>
      </c>
      <c r="M953" s="3">
        <v>0</v>
      </c>
      <c r="N953" s="3">
        <v>0</v>
      </c>
    </row>
    <row r="954" spans="1:14" ht="14.4">
      <c r="A954" s="3">
        <v>13367</v>
      </c>
      <c r="B954" s="3">
        <v>13368</v>
      </c>
      <c r="C954" s="3">
        <v>4086</v>
      </c>
      <c r="D954" s="3" t="s">
        <v>390</v>
      </c>
      <c r="E954" s="3" t="s">
        <v>629</v>
      </c>
      <c r="F954" s="3">
        <v>8831</v>
      </c>
      <c r="G954" s="3" t="s">
        <v>406</v>
      </c>
      <c r="H954" s="3" t="s">
        <v>38</v>
      </c>
      <c r="I954" s="3">
        <v>0</v>
      </c>
      <c r="J954" s="3">
        <v>0</v>
      </c>
      <c r="K954" s="3">
        <v>0</v>
      </c>
      <c r="L954" s="3">
        <v>360200</v>
      </c>
      <c r="M954" s="3">
        <v>0</v>
      </c>
      <c r="N954" s="3">
        <v>0</v>
      </c>
    </row>
    <row r="955" spans="1:14" ht="14.4">
      <c r="A955" s="3">
        <v>13367</v>
      </c>
      <c r="B955" s="3">
        <v>13368</v>
      </c>
      <c r="C955" s="3">
        <v>4086</v>
      </c>
      <c r="D955" s="3" t="s">
        <v>390</v>
      </c>
      <c r="E955" s="3" t="s">
        <v>630</v>
      </c>
      <c r="F955" s="3">
        <v>7043</v>
      </c>
      <c r="G955" s="3" t="s">
        <v>428</v>
      </c>
      <c r="H955" s="3" t="s">
        <v>38</v>
      </c>
      <c r="I955" s="3">
        <v>0</v>
      </c>
      <c r="J955" s="3">
        <v>0</v>
      </c>
      <c r="K955" s="3">
        <v>0</v>
      </c>
      <c r="L955" s="3">
        <v>36600</v>
      </c>
      <c r="M955" s="3">
        <v>0</v>
      </c>
      <c r="N955" s="3">
        <v>0</v>
      </c>
    </row>
    <row r="956" spans="1:14" ht="14.4">
      <c r="A956" s="3">
        <v>13367</v>
      </c>
      <c r="B956" s="3">
        <v>13368</v>
      </c>
      <c r="C956" s="3">
        <v>4086</v>
      </c>
      <c r="D956" s="3" t="s">
        <v>390</v>
      </c>
      <c r="E956" s="3" t="s">
        <v>630</v>
      </c>
      <c r="F956" s="3">
        <v>7424</v>
      </c>
      <c r="G956" s="3" t="s">
        <v>428</v>
      </c>
      <c r="H956" s="3" t="s">
        <v>38</v>
      </c>
      <c r="I956" s="3">
        <v>8629</v>
      </c>
      <c r="J956" s="3">
        <v>0</v>
      </c>
      <c r="K956" s="3">
        <v>8629</v>
      </c>
      <c r="L956" s="3">
        <v>21200</v>
      </c>
      <c r="M956" s="3">
        <v>0</v>
      </c>
      <c r="N956" s="3">
        <v>5400</v>
      </c>
    </row>
    <row r="957" spans="1:14" ht="14.4">
      <c r="A957" s="3">
        <v>13367</v>
      </c>
      <c r="B957" s="3">
        <v>13368</v>
      </c>
      <c r="C957" s="3">
        <v>4086</v>
      </c>
      <c r="D957" s="3" t="s">
        <v>390</v>
      </c>
      <c r="E957" s="3" t="s">
        <v>631</v>
      </c>
      <c r="F957" s="3">
        <v>8735</v>
      </c>
      <c r="G957" s="3" t="s">
        <v>402</v>
      </c>
      <c r="H957" s="3" t="s">
        <v>38</v>
      </c>
      <c r="I957" s="3">
        <v>228538</v>
      </c>
      <c r="J957" s="3">
        <v>208658</v>
      </c>
      <c r="K957" s="3">
        <v>19880</v>
      </c>
      <c r="L957" s="3">
        <v>0</v>
      </c>
      <c r="M957" s="3">
        <v>0</v>
      </c>
      <c r="N957" s="3">
        <v>0</v>
      </c>
    </row>
    <row r="958" spans="1:14" ht="14.4">
      <c r="A958" s="3">
        <v>13367</v>
      </c>
      <c r="B958" s="3">
        <v>13368</v>
      </c>
      <c r="C958" s="3">
        <v>4086</v>
      </c>
      <c r="D958" s="3" t="s">
        <v>390</v>
      </c>
      <c r="E958" s="3" t="s">
        <v>632</v>
      </c>
      <c r="F958" s="3">
        <v>7074</v>
      </c>
      <c r="G958" s="3" t="s">
        <v>76</v>
      </c>
      <c r="H958" s="3" t="s">
        <v>38</v>
      </c>
      <c r="I958" s="3">
        <v>17932421</v>
      </c>
      <c r="J958" s="3">
        <v>3536271</v>
      </c>
      <c r="K958" s="3">
        <v>14396150</v>
      </c>
      <c r="L958" s="3">
        <v>2448700</v>
      </c>
      <c r="M958" s="3">
        <v>354700</v>
      </c>
      <c r="N958" s="3">
        <v>1851300</v>
      </c>
    </row>
    <row r="959" spans="1:14" ht="14.4">
      <c r="A959" s="3">
        <v>13367</v>
      </c>
      <c r="B959" s="3">
        <v>13368</v>
      </c>
      <c r="C959" s="3">
        <v>4086</v>
      </c>
      <c r="D959" s="3" t="s">
        <v>390</v>
      </c>
      <c r="E959" s="3" t="s">
        <v>632</v>
      </c>
      <c r="F959" s="3">
        <v>7643</v>
      </c>
      <c r="G959" s="3" t="s">
        <v>76</v>
      </c>
      <c r="H959" s="3" t="s">
        <v>38</v>
      </c>
      <c r="I959" s="3">
        <v>20250</v>
      </c>
      <c r="J959" s="3">
        <v>0</v>
      </c>
      <c r="K959" s="3">
        <v>20250</v>
      </c>
      <c r="L959" s="3">
        <v>0</v>
      </c>
      <c r="M959" s="3">
        <v>0</v>
      </c>
      <c r="N959" s="3">
        <v>0</v>
      </c>
    </row>
    <row r="960" spans="1:14" ht="14.4">
      <c r="A960" s="3">
        <v>13367</v>
      </c>
      <c r="B960" s="3">
        <v>13368</v>
      </c>
      <c r="C960" s="3">
        <v>4086</v>
      </c>
      <c r="D960" s="3" t="s">
        <v>390</v>
      </c>
      <c r="E960" s="3" t="s">
        <v>633</v>
      </c>
      <c r="F960" s="3">
        <v>7751</v>
      </c>
      <c r="G960" s="3" t="s">
        <v>392</v>
      </c>
      <c r="H960" s="3" t="s">
        <v>38</v>
      </c>
      <c r="I960" s="3">
        <v>3899</v>
      </c>
      <c r="J960" s="3">
        <v>1724</v>
      </c>
      <c r="K960" s="3">
        <v>2175</v>
      </c>
      <c r="L960" s="3">
        <v>90900</v>
      </c>
      <c r="M960" s="3">
        <v>0</v>
      </c>
      <c r="N960" s="3">
        <v>0</v>
      </c>
    </row>
    <row r="961" spans="1:14" ht="14.4">
      <c r="A961" s="3">
        <v>13367</v>
      </c>
      <c r="B961" s="3">
        <v>13368</v>
      </c>
      <c r="C961" s="3">
        <v>4086</v>
      </c>
      <c r="D961" s="3" t="s">
        <v>390</v>
      </c>
      <c r="E961" s="3" t="s">
        <v>634</v>
      </c>
      <c r="F961" s="3">
        <v>7960</v>
      </c>
      <c r="G961" s="3" t="s">
        <v>441</v>
      </c>
      <c r="H961" s="3" t="s">
        <v>38</v>
      </c>
      <c r="I961" s="3">
        <v>190243</v>
      </c>
      <c r="J961" s="3">
        <v>177743</v>
      </c>
      <c r="K961" s="3">
        <v>12500</v>
      </c>
      <c r="L961" s="3">
        <v>40000</v>
      </c>
      <c r="M961" s="3">
        <v>27500</v>
      </c>
      <c r="N961" s="3">
        <v>12500</v>
      </c>
    </row>
    <row r="962" spans="1:14" ht="14.4">
      <c r="A962" s="3">
        <v>13367</v>
      </c>
      <c r="B962" s="3">
        <v>13368</v>
      </c>
      <c r="C962" s="3">
        <v>4086</v>
      </c>
      <c r="D962" s="3" t="s">
        <v>390</v>
      </c>
      <c r="E962" s="3" t="s">
        <v>635</v>
      </c>
      <c r="F962" s="3">
        <v>7046</v>
      </c>
      <c r="G962" s="3" t="s">
        <v>441</v>
      </c>
      <c r="H962" s="3" t="s">
        <v>38</v>
      </c>
      <c r="I962" s="3">
        <v>98694</v>
      </c>
      <c r="J962" s="3">
        <v>46694</v>
      </c>
      <c r="K962" s="3">
        <v>52000</v>
      </c>
      <c r="L962" s="3">
        <v>0</v>
      </c>
      <c r="M962" s="3">
        <v>0</v>
      </c>
      <c r="N962" s="3">
        <v>0</v>
      </c>
    </row>
    <row r="963" spans="1:14" ht="14.4">
      <c r="A963" s="3">
        <v>13367</v>
      </c>
      <c r="B963" s="3">
        <v>13368</v>
      </c>
      <c r="C963" s="3">
        <v>4086</v>
      </c>
      <c r="D963" s="3" t="s">
        <v>390</v>
      </c>
      <c r="E963" s="3" t="s">
        <v>636</v>
      </c>
      <c r="F963" s="3">
        <v>7092</v>
      </c>
      <c r="G963" s="3" t="s">
        <v>435</v>
      </c>
      <c r="H963" s="3" t="s">
        <v>38</v>
      </c>
      <c r="I963" s="3">
        <v>34452</v>
      </c>
      <c r="J963" s="3">
        <v>24452</v>
      </c>
      <c r="K963" s="3">
        <v>10000</v>
      </c>
      <c r="L963" s="3">
        <v>171100</v>
      </c>
      <c r="M963" s="3">
        <v>7900</v>
      </c>
      <c r="N963" s="3">
        <v>10000</v>
      </c>
    </row>
    <row r="964" spans="1:14" ht="14.4">
      <c r="A964" s="3">
        <v>13367</v>
      </c>
      <c r="B964" s="3">
        <v>13368</v>
      </c>
      <c r="C964" s="3">
        <v>4086</v>
      </c>
      <c r="D964" s="3" t="s">
        <v>390</v>
      </c>
      <c r="E964" s="3" t="s">
        <v>637</v>
      </c>
      <c r="F964" s="3">
        <v>8054</v>
      </c>
      <c r="G964" s="3" t="s">
        <v>443</v>
      </c>
      <c r="H964" s="3" t="s">
        <v>38</v>
      </c>
      <c r="I964" s="3">
        <v>0</v>
      </c>
      <c r="J964" s="3">
        <v>0</v>
      </c>
      <c r="K964" s="3">
        <v>0</v>
      </c>
      <c r="L964" s="3">
        <v>4600</v>
      </c>
      <c r="M964" s="3">
        <v>0</v>
      </c>
      <c r="N964" s="3">
        <v>0</v>
      </c>
    </row>
    <row r="965" spans="1:14" ht="14.4">
      <c r="A965" s="3">
        <v>13367</v>
      </c>
      <c r="B965" s="3">
        <v>13368</v>
      </c>
      <c r="C965" s="3">
        <v>4086</v>
      </c>
      <c r="D965" s="3" t="s">
        <v>390</v>
      </c>
      <c r="E965" s="3" t="s">
        <v>638</v>
      </c>
      <c r="F965" s="3">
        <v>8087</v>
      </c>
      <c r="G965" s="3" t="s">
        <v>402</v>
      </c>
      <c r="H965" s="3" t="s">
        <v>38</v>
      </c>
      <c r="I965" s="3">
        <v>402085</v>
      </c>
      <c r="J965" s="3">
        <v>394385</v>
      </c>
      <c r="K965" s="3">
        <v>7700</v>
      </c>
      <c r="L965" s="3">
        <v>0</v>
      </c>
      <c r="M965" s="3">
        <v>0</v>
      </c>
      <c r="N965" s="3">
        <v>0</v>
      </c>
    </row>
    <row r="966" spans="1:14" ht="14.4">
      <c r="A966" s="3">
        <v>13367</v>
      </c>
      <c r="B966" s="3">
        <v>13368</v>
      </c>
      <c r="C966" s="3">
        <v>4086</v>
      </c>
      <c r="D966" s="3" t="s">
        <v>390</v>
      </c>
      <c r="E966" s="3" t="s">
        <v>639</v>
      </c>
      <c r="F966" s="3">
        <v>8008</v>
      </c>
      <c r="G966" s="3" t="s">
        <v>402</v>
      </c>
      <c r="H966" s="3" t="s">
        <v>38</v>
      </c>
      <c r="I966" s="3">
        <v>133269</v>
      </c>
      <c r="J966" s="3">
        <v>45269</v>
      </c>
      <c r="K966" s="3">
        <v>88000</v>
      </c>
      <c r="L966" s="3">
        <v>0</v>
      </c>
      <c r="M966" s="3">
        <v>0</v>
      </c>
      <c r="N966" s="3">
        <v>0</v>
      </c>
    </row>
    <row r="967" spans="1:14" ht="14.4">
      <c r="A967" s="3">
        <v>13367</v>
      </c>
      <c r="B967" s="3">
        <v>13368</v>
      </c>
      <c r="C967" s="3">
        <v>4086</v>
      </c>
      <c r="D967" s="3" t="s">
        <v>390</v>
      </c>
      <c r="E967" s="3" t="s">
        <v>640</v>
      </c>
      <c r="F967" s="3">
        <v>7047</v>
      </c>
      <c r="G967" s="3" t="s">
        <v>37</v>
      </c>
      <c r="H967" s="3" t="s">
        <v>38</v>
      </c>
      <c r="I967" s="3">
        <v>89032</v>
      </c>
      <c r="J967" s="3">
        <v>71382</v>
      </c>
      <c r="K967" s="3">
        <v>17650</v>
      </c>
      <c r="L967" s="3">
        <v>89100</v>
      </c>
      <c r="M967" s="3">
        <v>71400</v>
      </c>
      <c r="N967" s="3">
        <v>17700</v>
      </c>
    </row>
    <row r="968" spans="1:14" ht="14.4">
      <c r="A968" s="3">
        <v>13367</v>
      </c>
      <c r="B968" s="3">
        <v>13368</v>
      </c>
      <c r="C968" s="3">
        <v>4086</v>
      </c>
      <c r="D968" s="3" t="s">
        <v>390</v>
      </c>
      <c r="E968" s="3" t="s">
        <v>641</v>
      </c>
      <c r="F968" s="3">
        <v>7060</v>
      </c>
      <c r="G968" s="3" t="s">
        <v>435</v>
      </c>
      <c r="H968" s="3" t="s">
        <v>38</v>
      </c>
      <c r="I968" s="3">
        <v>0</v>
      </c>
      <c r="J968" s="3">
        <v>0</v>
      </c>
      <c r="K968" s="3">
        <v>0</v>
      </c>
      <c r="L968" s="3">
        <v>5000</v>
      </c>
      <c r="M968" s="3">
        <v>0</v>
      </c>
      <c r="N968" s="3">
        <v>0</v>
      </c>
    </row>
    <row r="969" spans="1:14" ht="14.4">
      <c r="A969" s="3">
        <v>13367</v>
      </c>
      <c r="B969" s="3">
        <v>13368</v>
      </c>
      <c r="C969" s="3">
        <v>4086</v>
      </c>
      <c r="D969" s="3" t="s">
        <v>390</v>
      </c>
      <c r="E969" s="3" t="s">
        <v>642</v>
      </c>
      <c r="F969" s="3">
        <v>8260</v>
      </c>
      <c r="G969" s="3" t="s">
        <v>404</v>
      </c>
      <c r="H969" s="3" t="s">
        <v>38</v>
      </c>
      <c r="I969" s="3">
        <v>110338</v>
      </c>
      <c r="J969" s="3">
        <v>104388</v>
      </c>
      <c r="K969" s="3">
        <v>5950</v>
      </c>
      <c r="L969" s="3">
        <v>0</v>
      </c>
      <c r="M969" s="3">
        <v>0</v>
      </c>
      <c r="N969" s="3">
        <v>0</v>
      </c>
    </row>
    <row r="970" spans="1:14" ht="14.4">
      <c r="A970" s="3">
        <v>13367</v>
      </c>
      <c r="B970" s="3">
        <v>13368</v>
      </c>
      <c r="C970" s="3">
        <v>4086</v>
      </c>
      <c r="D970" s="3" t="s">
        <v>390</v>
      </c>
      <c r="E970" s="3" t="s">
        <v>643</v>
      </c>
      <c r="F970" s="3">
        <v>8008</v>
      </c>
      <c r="G970" s="3" t="s">
        <v>402</v>
      </c>
      <c r="H970" s="3" t="s">
        <v>38</v>
      </c>
      <c r="I970" s="3">
        <v>1307993</v>
      </c>
      <c r="J970" s="3">
        <v>359566</v>
      </c>
      <c r="K970" s="3">
        <v>948427</v>
      </c>
      <c r="L970" s="3">
        <v>18100</v>
      </c>
      <c r="M970" s="3">
        <v>0</v>
      </c>
      <c r="N970" s="3">
        <v>8400</v>
      </c>
    </row>
    <row r="971" spans="1:14" ht="14.4">
      <c r="A971" s="3">
        <v>13367</v>
      </c>
      <c r="B971" s="3">
        <v>13368</v>
      </c>
      <c r="C971" s="3">
        <v>4086</v>
      </c>
      <c r="D971" s="3" t="s">
        <v>390</v>
      </c>
      <c r="E971" s="3" t="s">
        <v>644</v>
      </c>
      <c r="F971" s="3">
        <v>7748</v>
      </c>
      <c r="G971" s="3" t="s">
        <v>392</v>
      </c>
      <c r="H971" s="3" t="s">
        <v>38</v>
      </c>
      <c r="I971" s="3">
        <v>22625</v>
      </c>
      <c r="J971" s="3">
        <v>0</v>
      </c>
      <c r="K971" s="3">
        <v>22625</v>
      </c>
      <c r="L971" s="3">
        <v>0</v>
      </c>
      <c r="M971" s="3">
        <v>0</v>
      </c>
      <c r="N971" s="3">
        <v>0</v>
      </c>
    </row>
    <row r="972" spans="1:14" ht="14.4">
      <c r="A972" s="3">
        <v>13367</v>
      </c>
      <c r="B972" s="3">
        <v>13368</v>
      </c>
      <c r="C972" s="3">
        <v>4086</v>
      </c>
      <c r="D972" s="3" t="s">
        <v>390</v>
      </c>
      <c r="E972" s="3" t="s">
        <v>645</v>
      </c>
      <c r="F972" s="3">
        <v>8260</v>
      </c>
      <c r="G972" s="3" t="s">
        <v>404</v>
      </c>
      <c r="H972" s="3" t="s">
        <v>38</v>
      </c>
      <c r="I972" s="3">
        <v>927208</v>
      </c>
      <c r="J972" s="3">
        <v>826620</v>
      </c>
      <c r="K972" s="3">
        <v>100588</v>
      </c>
      <c r="L972" s="3">
        <v>25600</v>
      </c>
      <c r="M972" s="3">
        <v>24800</v>
      </c>
      <c r="N972" s="3">
        <v>0</v>
      </c>
    </row>
    <row r="973" spans="1:14" ht="14.4">
      <c r="A973" s="3">
        <v>13367</v>
      </c>
      <c r="B973" s="3">
        <v>13368</v>
      </c>
      <c r="C973" s="3">
        <v>4086</v>
      </c>
      <c r="D973" s="3" t="s">
        <v>390</v>
      </c>
      <c r="E973" s="3" t="s">
        <v>646</v>
      </c>
      <c r="F973" s="3">
        <v>7719</v>
      </c>
      <c r="G973" s="3" t="s">
        <v>392</v>
      </c>
      <c r="H973" s="3" t="s">
        <v>38</v>
      </c>
      <c r="I973" s="3">
        <v>32695</v>
      </c>
      <c r="J973" s="3">
        <v>0</v>
      </c>
      <c r="K973" s="3">
        <v>32695</v>
      </c>
      <c r="L973" s="3">
        <v>0</v>
      </c>
      <c r="M973" s="3">
        <v>0</v>
      </c>
      <c r="N973" s="3">
        <v>0</v>
      </c>
    </row>
    <row r="974" spans="1:14" ht="14.4">
      <c r="A974" s="3">
        <v>13367</v>
      </c>
      <c r="B974" s="3">
        <v>13368</v>
      </c>
      <c r="C974" s="3">
        <v>4086</v>
      </c>
      <c r="D974" s="3" t="s">
        <v>390</v>
      </c>
      <c r="E974" s="3" t="s">
        <v>646</v>
      </c>
      <c r="F974" s="3">
        <v>7753</v>
      </c>
      <c r="G974" s="3" t="s">
        <v>392</v>
      </c>
      <c r="H974" s="3" t="s">
        <v>38</v>
      </c>
      <c r="I974" s="3">
        <v>6624730</v>
      </c>
      <c r="J974" s="3">
        <v>4138160</v>
      </c>
      <c r="K974" s="3">
        <v>2486570</v>
      </c>
      <c r="L974" s="3">
        <v>1600100</v>
      </c>
      <c r="M974" s="3">
        <v>629000</v>
      </c>
      <c r="N974" s="3">
        <v>771300</v>
      </c>
    </row>
    <row r="975" spans="1:14" ht="14.4">
      <c r="A975" s="3">
        <v>13367</v>
      </c>
      <c r="B975" s="3">
        <v>13368</v>
      </c>
      <c r="C975" s="3">
        <v>4086</v>
      </c>
      <c r="D975" s="3" t="s">
        <v>390</v>
      </c>
      <c r="E975" s="3" t="s">
        <v>646</v>
      </c>
      <c r="F975" s="3">
        <v>7754</v>
      </c>
      <c r="G975" s="3" t="s">
        <v>392</v>
      </c>
      <c r="H975" s="3" t="s">
        <v>38</v>
      </c>
      <c r="I975" s="3">
        <v>36500</v>
      </c>
      <c r="J975" s="3">
        <v>0</v>
      </c>
      <c r="K975" s="3">
        <v>36500</v>
      </c>
      <c r="L975" s="3">
        <v>60900</v>
      </c>
      <c r="M975" s="3">
        <v>0</v>
      </c>
      <c r="N975" s="3">
        <v>36500</v>
      </c>
    </row>
    <row r="976" spans="1:14" ht="14.4">
      <c r="A976" s="3">
        <v>13367</v>
      </c>
      <c r="B976" s="3">
        <v>13368</v>
      </c>
      <c r="C976" s="3">
        <v>4086</v>
      </c>
      <c r="D976" s="3" t="s">
        <v>390</v>
      </c>
      <c r="E976" s="3" t="s">
        <v>646</v>
      </c>
      <c r="F976" s="3">
        <v>8753</v>
      </c>
      <c r="G976" s="3" t="s">
        <v>402</v>
      </c>
      <c r="H976" s="3" t="s">
        <v>38</v>
      </c>
      <c r="I976" s="3">
        <v>32525</v>
      </c>
      <c r="J976" s="3">
        <v>0</v>
      </c>
      <c r="K976" s="3">
        <v>32525</v>
      </c>
      <c r="L976" s="3">
        <v>0</v>
      </c>
      <c r="M976" s="3">
        <v>0</v>
      </c>
      <c r="N976" s="3">
        <v>0</v>
      </c>
    </row>
    <row r="977" spans="1:14" ht="14.4">
      <c r="A977" s="3">
        <v>13367</v>
      </c>
      <c r="B977" s="3">
        <v>13368</v>
      </c>
      <c r="C977" s="3">
        <v>4086</v>
      </c>
      <c r="D977" s="3" t="s">
        <v>390</v>
      </c>
      <c r="E977" s="3" t="s">
        <v>647</v>
      </c>
      <c r="F977" s="3">
        <v>7753</v>
      </c>
      <c r="G977" s="3" t="s">
        <v>392</v>
      </c>
      <c r="H977" s="3" t="s">
        <v>38</v>
      </c>
      <c r="I977" s="3">
        <v>44902</v>
      </c>
      <c r="J977" s="3">
        <v>18288</v>
      </c>
      <c r="K977" s="3">
        <v>26614</v>
      </c>
      <c r="L977" s="3">
        <v>47200</v>
      </c>
      <c r="M977" s="3">
        <v>18300</v>
      </c>
      <c r="N977" s="3">
        <v>26700</v>
      </c>
    </row>
    <row r="978" spans="1:14" ht="14.4">
      <c r="A978" s="3">
        <v>13367</v>
      </c>
      <c r="B978" s="3">
        <v>13368</v>
      </c>
      <c r="C978" s="3">
        <v>4086</v>
      </c>
      <c r="D978" s="3" t="s">
        <v>390</v>
      </c>
      <c r="E978" s="3" t="s">
        <v>648</v>
      </c>
      <c r="F978" s="3">
        <v>18901</v>
      </c>
      <c r="G978" s="3" t="s">
        <v>649</v>
      </c>
      <c r="H978" s="3" t="s">
        <v>650</v>
      </c>
      <c r="I978" s="3">
        <v>0</v>
      </c>
      <c r="J978" s="3">
        <v>0</v>
      </c>
      <c r="K978" s="3">
        <v>0</v>
      </c>
      <c r="L978" s="3">
        <v>16500</v>
      </c>
      <c r="M978" s="3">
        <v>0</v>
      </c>
      <c r="N978" s="3">
        <v>0</v>
      </c>
    </row>
    <row r="979" spans="1:14" ht="14.4">
      <c r="A979" s="3">
        <v>13367</v>
      </c>
      <c r="B979" s="3">
        <v>13368</v>
      </c>
      <c r="C979" s="3">
        <v>4086</v>
      </c>
      <c r="D979" s="3" t="s">
        <v>390</v>
      </c>
      <c r="E979" s="3" t="s">
        <v>651</v>
      </c>
      <c r="F979" s="3">
        <v>8901</v>
      </c>
      <c r="G979" s="3" t="s">
        <v>406</v>
      </c>
      <c r="H979" s="3" t="s">
        <v>38</v>
      </c>
      <c r="I979" s="3">
        <v>762160</v>
      </c>
      <c r="J979" s="3">
        <v>256095</v>
      </c>
      <c r="K979" s="3">
        <v>506065</v>
      </c>
      <c r="L979" s="3">
        <v>0</v>
      </c>
      <c r="M979" s="3">
        <v>0</v>
      </c>
      <c r="N979" s="3">
        <v>0</v>
      </c>
    </row>
    <row r="980" spans="1:14" ht="14.4">
      <c r="A980" s="3">
        <v>13367</v>
      </c>
      <c r="B980" s="3">
        <v>13368</v>
      </c>
      <c r="C980" s="3">
        <v>4086</v>
      </c>
      <c r="D980" s="3" t="s">
        <v>390</v>
      </c>
      <c r="E980" s="3" t="s">
        <v>652</v>
      </c>
      <c r="F980" s="3">
        <v>8224</v>
      </c>
      <c r="G980" s="3" t="s">
        <v>443</v>
      </c>
      <c r="H980" s="3" t="s">
        <v>38</v>
      </c>
      <c r="I980" s="3">
        <v>255366</v>
      </c>
      <c r="J980" s="3">
        <v>173863</v>
      </c>
      <c r="K980" s="3">
        <v>81503</v>
      </c>
      <c r="L980" s="3">
        <v>166500</v>
      </c>
      <c r="M980" s="3">
        <v>150800</v>
      </c>
      <c r="N980" s="3">
        <v>5000</v>
      </c>
    </row>
    <row r="981" spans="1:14" ht="14.4">
      <c r="A981" s="3">
        <v>13367</v>
      </c>
      <c r="B981" s="3">
        <v>13368</v>
      </c>
      <c r="C981" s="3">
        <v>4086</v>
      </c>
      <c r="D981" s="3" t="s">
        <v>390</v>
      </c>
      <c r="E981" s="3" t="s">
        <v>653</v>
      </c>
      <c r="F981" s="3">
        <v>8735</v>
      </c>
      <c r="G981" s="3" t="s">
        <v>402</v>
      </c>
      <c r="H981" s="3" t="s">
        <v>38</v>
      </c>
      <c r="I981" s="3">
        <v>32539</v>
      </c>
      <c r="J981" s="3">
        <v>21039</v>
      </c>
      <c r="K981" s="3">
        <v>11500</v>
      </c>
      <c r="L981" s="3">
        <v>0</v>
      </c>
      <c r="M981" s="3">
        <v>0</v>
      </c>
      <c r="N981" s="3">
        <v>0</v>
      </c>
    </row>
    <row r="982" spans="1:14" ht="14.4">
      <c r="A982" s="3">
        <v>13367</v>
      </c>
      <c r="B982" s="3">
        <v>13368</v>
      </c>
      <c r="C982" s="3">
        <v>4086</v>
      </c>
      <c r="D982" s="3" t="s">
        <v>390</v>
      </c>
      <c r="E982" s="3" t="s">
        <v>653</v>
      </c>
      <c r="F982" s="3">
        <v>8736</v>
      </c>
      <c r="G982" s="3" t="s">
        <v>402</v>
      </c>
      <c r="H982" s="3" t="s">
        <v>38</v>
      </c>
      <c r="I982" s="3">
        <v>128395</v>
      </c>
      <c r="J982" s="3">
        <v>125195</v>
      </c>
      <c r="K982" s="3">
        <v>3200</v>
      </c>
      <c r="L982" s="3">
        <v>0</v>
      </c>
      <c r="M982" s="3">
        <v>0</v>
      </c>
      <c r="N982" s="3">
        <v>0</v>
      </c>
    </row>
    <row r="983" spans="1:14" ht="14.4">
      <c r="A983" s="3">
        <v>13367</v>
      </c>
      <c r="B983" s="3">
        <v>13368</v>
      </c>
      <c r="C983" s="3">
        <v>4086</v>
      </c>
      <c r="D983" s="3" t="s">
        <v>390</v>
      </c>
      <c r="E983" s="3" t="s">
        <v>32</v>
      </c>
      <c r="F983" s="3">
        <v>10001</v>
      </c>
      <c r="G983" s="3" t="s">
        <v>32</v>
      </c>
      <c r="H983" s="3" t="s">
        <v>21</v>
      </c>
      <c r="I983" s="3">
        <v>26000</v>
      </c>
      <c r="J983" s="3">
        <v>0</v>
      </c>
      <c r="K983" s="3">
        <v>26000</v>
      </c>
      <c r="L983" s="3">
        <v>0</v>
      </c>
      <c r="M983" s="3">
        <v>0</v>
      </c>
      <c r="N983" s="3">
        <v>0</v>
      </c>
    </row>
    <row r="984" spans="1:14" ht="14.4">
      <c r="A984" s="3">
        <v>13367</v>
      </c>
      <c r="B984" s="3">
        <v>13368</v>
      </c>
      <c r="C984" s="3">
        <v>4086</v>
      </c>
      <c r="D984" s="3" t="s">
        <v>390</v>
      </c>
      <c r="E984" s="3" t="s">
        <v>32</v>
      </c>
      <c r="F984" s="3">
        <v>10003</v>
      </c>
      <c r="G984" s="3" t="s">
        <v>32</v>
      </c>
      <c r="H984" s="3" t="s">
        <v>21</v>
      </c>
      <c r="I984" s="3">
        <v>10000</v>
      </c>
      <c r="J984" s="3">
        <v>0</v>
      </c>
      <c r="K984" s="3">
        <v>10000</v>
      </c>
      <c r="L984" s="3">
        <v>0</v>
      </c>
      <c r="M984" s="3">
        <v>0</v>
      </c>
      <c r="N984" s="3">
        <v>0</v>
      </c>
    </row>
    <row r="985" spans="1:14" ht="14.4">
      <c r="A985" s="3">
        <v>13367</v>
      </c>
      <c r="B985" s="3">
        <v>13368</v>
      </c>
      <c r="C985" s="3">
        <v>4086</v>
      </c>
      <c r="D985" s="3" t="s">
        <v>390</v>
      </c>
      <c r="E985" s="3" t="s">
        <v>32</v>
      </c>
      <c r="F985" s="3">
        <v>10007</v>
      </c>
      <c r="G985" s="3" t="s">
        <v>32</v>
      </c>
      <c r="H985" s="3" t="s">
        <v>21</v>
      </c>
      <c r="I985" s="3">
        <v>7500</v>
      </c>
      <c r="J985" s="3">
        <v>0</v>
      </c>
      <c r="K985" s="3">
        <v>7500</v>
      </c>
      <c r="L985" s="3">
        <v>0</v>
      </c>
      <c r="M985" s="3">
        <v>0</v>
      </c>
      <c r="N985" s="3">
        <v>0</v>
      </c>
    </row>
    <row r="986" spans="1:14" ht="14.4">
      <c r="A986" s="3">
        <v>13367</v>
      </c>
      <c r="B986" s="3">
        <v>13368</v>
      </c>
      <c r="C986" s="3">
        <v>4086</v>
      </c>
      <c r="D986" s="3" t="s">
        <v>390</v>
      </c>
      <c r="E986" s="3" t="s">
        <v>32</v>
      </c>
      <c r="F986" s="3">
        <v>10010</v>
      </c>
      <c r="G986" s="3" t="s">
        <v>32</v>
      </c>
      <c r="H986" s="3" t="s">
        <v>21</v>
      </c>
      <c r="I986" s="3">
        <v>0</v>
      </c>
      <c r="J986" s="3">
        <v>0</v>
      </c>
      <c r="K986" s="3">
        <v>0</v>
      </c>
      <c r="L986" s="3">
        <v>4800</v>
      </c>
      <c r="M986" s="3">
        <v>0</v>
      </c>
      <c r="N986" s="3">
        <v>0</v>
      </c>
    </row>
    <row r="987" spans="1:14" ht="14.4">
      <c r="A987" s="3">
        <v>13367</v>
      </c>
      <c r="B987" s="3">
        <v>13368</v>
      </c>
      <c r="C987" s="3">
        <v>4086</v>
      </c>
      <c r="D987" s="3" t="s">
        <v>390</v>
      </c>
      <c r="E987" s="3" t="s">
        <v>32</v>
      </c>
      <c r="F987" s="3">
        <v>10011</v>
      </c>
      <c r="G987" s="3" t="s">
        <v>32</v>
      </c>
      <c r="H987" s="3" t="s">
        <v>21</v>
      </c>
      <c r="I987" s="3">
        <v>0</v>
      </c>
      <c r="J987" s="3">
        <v>0</v>
      </c>
      <c r="K987" s="3">
        <v>0</v>
      </c>
      <c r="L987" s="3">
        <v>16800</v>
      </c>
      <c r="M987" s="3">
        <v>0</v>
      </c>
      <c r="N987" s="3">
        <v>0</v>
      </c>
    </row>
    <row r="988" spans="1:14" ht="14.4">
      <c r="A988" s="3">
        <v>13367</v>
      </c>
      <c r="B988" s="3">
        <v>13368</v>
      </c>
      <c r="C988" s="3">
        <v>4086</v>
      </c>
      <c r="D988" s="3" t="s">
        <v>390</v>
      </c>
      <c r="E988" s="3" t="s">
        <v>32</v>
      </c>
      <c r="F988" s="3">
        <v>10013</v>
      </c>
      <c r="G988" s="3" t="s">
        <v>32</v>
      </c>
      <c r="H988" s="3" t="s">
        <v>21</v>
      </c>
      <c r="I988" s="3">
        <v>0</v>
      </c>
      <c r="J988" s="3">
        <v>0</v>
      </c>
      <c r="K988" s="3">
        <v>0</v>
      </c>
      <c r="L988" s="3">
        <v>119000</v>
      </c>
      <c r="M988" s="3">
        <v>0</v>
      </c>
      <c r="N988" s="3">
        <v>0</v>
      </c>
    </row>
    <row r="989" spans="1:14" ht="14.4">
      <c r="A989" s="3">
        <v>13367</v>
      </c>
      <c r="B989" s="3">
        <v>13368</v>
      </c>
      <c r="C989" s="3">
        <v>4086</v>
      </c>
      <c r="D989" s="3" t="s">
        <v>390</v>
      </c>
      <c r="E989" s="3" t="s">
        <v>32</v>
      </c>
      <c r="F989" s="3">
        <v>10014</v>
      </c>
      <c r="G989" s="3" t="s">
        <v>32</v>
      </c>
      <c r="H989" s="3" t="s">
        <v>21</v>
      </c>
      <c r="I989" s="3">
        <v>0</v>
      </c>
      <c r="J989" s="3">
        <v>0</v>
      </c>
      <c r="K989" s="3">
        <v>0</v>
      </c>
      <c r="L989" s="3">
        <v>16500</v>
      </c>
      <c r="M989" s="3">
        <v>0</v>
      </c>
      <c r="N989" s="3">
        <v>0</v>
      </c>
    </row>
    <row r="990" spans="1:14" ht="14.4">
      <c r="A990" s="3">
        <v>13367</v>
      </c>
      <c r="B990" s="3">
        <v>13368</v>
      </c>
      <c r="C990" s="3">
        <v>4086</v>
      </c>
      <c r="D990" s="3" t="s">
        <v>390</v>
      </c>
      <c r="E990" s="3" t="s">
        <v>32</v>
      </c>
      <c r="F990" s="3">
        <v>11215</v>
      </c>
      <c r="G990" s="3" t="s">
        <v>32</v>
      </c>
      <c r="H990" s="3" t="s">
        <v>21</v>
      </c>
      <c r="I990" s="3">
        <v>10000</v>
      </c>
      <c r="J990" s="3">
        <v>0</v>
      </c>
      <c r="K990" s="3">
        <v>10000</v>
      </c>
      <c r="L990" s="3">
        <v>0</v>
      </c>
      <c r="M990" s="3">
        <v>0</v>
      </c>
      <c r="N990" s="3">
        <v>0</v>
      </c>
    </row>
    <row r="991" spans="1:14" ht="14.4">
      <c r="A991" s="3">
        <v>13367</v>
      </c>
      <c r="B991" s="3">
        <v>13368</v>
      </c>
      <c r="C991" s="3">
        <v>4086</v>
      </c>
      <c r="D991" s="3" t="s">
        <v>390</v>
      </c>
      <c r="E991" s="3" t="s">
        <v>654</v>
      </c>
      <c r="F991" s="3">
        <v>7114</v>
      </c>
      <c r="G991" s="3" t="s">
        <v>76</v>
      </c>
      <c r="H991" s="3" t="s">
        <v>38</v>
      </c>
      <c r="I991" s="3">
        <v>29210</v>
      </c>
      <c r="J991" s="3">
        <v>0</v>
      </c>
      <c r="K991" s="3">
        <v>29210</v>
      </c>
      <c r="L991" s="3">
        <v>0</v>
      </c>
      <c r="M991" s="3">
        <v>0</v>
      </c>
      <c r="N991" s="3">
        <v>0</v>
      </c>
    </row>
    <row r="992" spans="1:14" ht="14.4">
      <c r="A992" s="3">
        <v>13367</v>
      </c>
      <c r="B992" s="3">
        <v>13368</v>
      </c>
      <c r="C992" s="3">
        <v>4086</v>
      </c>
      <c r="D992" s="3" t="s">
        <v>390</v>
      </c>
      <c r="E992" s="3" t="s">
        <v>654</v>
      </c>
      <c r="F992" s="3">
        <v>7102</v>
      </c>
      <c r="G992" s="3" t="s">
        <v>428</v>
      </c>
      <c r="H992" s="3" t="s">
        <v>38</v>
      </c>
      <c r="I992" s="3">
        <v>54484</v>
      </c>
      <c r="J992" s="3">
        <v>52894</v>
      </c>
      <c r="K992" s="3">
        <v>1590</v>
      </c>
      <c r="L992" s="3">
        <v>153200</v>
      </c>
      <c r="M992" s="3">
        <v>0</v>
      </c>
      <c r="N992" s="3">
        <v>1600</v>
      </c>
    </row>
    <row r="993" spans="1:14" ht="14.4">
      <c r="A993" s="3">
        <v>13367</v>
      </c>
      <c r="B993" s="3">
        <v>13368</v>
      </c>
      <c r="C993" s="3">
        <v>4086</v>
      </c>
      <c r="D993" s="3" t="s">
        <v>390</v>
      </c>
      <c r="E993" s="3" t="s">
        <v>654</v>
      </c>
      <c r="F993" s="3">
        <v>7103</v>
      </c>
      <c r="G993" s="3" t="s">
        <v>428</v>
      </c>
      <c r="H993" s="3" t="s">
        <v>38</v>
      </c>
      <c r="I993" s="3">
        <v>109643</v>
      </c>
      <c r="J993" s="3">
        <v>109643</v>
      </c>
      <c r="K993" s="3">
        <v>0</v>
      </c>
      <c r="L993" s="3">
        <v>1600</v>
      </c>
      <c r="M993" s="3">
        <v>1600</v>
      </c>
      <c r="N993" s="3">
        <v>0</v>
      </c>
    </row>
    <row r="994" spans="1:14" ht="14.4">
      <c r="A994" s="3">
        <v>13367</v>
      </c>
      <c r="B994" s="3">
        <v>13368</v>
      </c>
      <c r="C994" s="3">
        <v>4086</v>
      </c>
      <c r="D994" s="3" t="s">
        <v>390</v>
      </c>
      <c r="E994" s="3" t="s">
        <v>654</v>
      </c>
      <c r="F994" s="3">
        <v>7104</v>
      </c>
      <c r="G994" s="3" t="s">
        <v>428</v>
      </c>
      <c r="H994" s="3" t="s">
        <v>38</v>
      </c>
      <c r="I994" s="3">
        <v>368389</v>
      </c>
      <c r="J994" s="3">
        <v>155504</v>
      </c>
      <c r="K994" s="3">
        <v>212885</v>
      </c>
      <c r="L994" s="3">
        <v>70300</v>
      </c>
      <c r="M994" s="3">
        <v>33300</v>
      </c>
      <c r="N994" s="3">
        <v>0</v>
      </c>
    </row>
    <row r="995" spans="1:14" ht="14.4">
      <c r="A995" s="3">
        <v>13367</v>
      </c>
      <c r="B995" s="3">
        <v>13368</v>
      </c>
      <c r="C995" s="3">
        <v>4086</v>
      </c>
      <c r="D995" s="3" t="s">
        <v>390</v>
      </c>
      <c r="E995" s="3" t="s">
        <v>654</v>
      </c>
      <c r="F995" s="3">
        <v>7105</v>
      </c>
      <c r="G995" s="3" t="s">
        <v>428</v>
      </c>
      <c r="H995" s="3" t="s">
        <v>38</v>
      </c>
      <c r="I995" s="3">
        <v>7562657</v>
      </c>
      <c r="J995" s="3">
        <v>2603691</v>
      </c>
      <c r="K995" s="3">
        <v>4958966</v>
      </c>
      <c r="L995" s="3">
        <v>2843300</v>
      </c>
      <c r="M995" s="3">
        <v>483400</v>
      </c>
      <c r="N995" s="3">
        <v>2201800</v>
      </c>
    </row>
    <row r="996" spans="1:14" ht="14.4">
      <c r="A996" s="3">
        <v>13367</v>
      </c>
      <c r="B996" s="3">
        <v>13368</v>
      </c>
      <c r="C996" s="3">
        <v>4086</v>
      </c>
      <c r="D996" s="3" t="s">
        <v>390</v>
      </c>
      <c r="E996" s="3" t="s">
        <v>654</v>
      </c>
      <c r="F996" s="3">
        <v>7106</v>
      </c>
      <c r="G996" s="3" t="s">
        <v>428</v>
      </c>
      <c r="H996" s="3" t="s">
        <v>38</v>
      </c>
      <c r="I996" s="3">
        <v>119097</v>
      </c>
      <c r="J996" s="3">
        <v>106853</v>
      </c>
      <c r="K996" s="3">
        <v>12244</v>
      </c>
      <c r="L996" s="3">
        <v>42200</v>
      </c>
      <c r="M996" s="3">
        <v>42200</v>
      </c>
      <c r="N996" s="3">
        <v>0</v>
      </c>
    </row>
    <row r="997" spans="1:14" ht="14.4">
      <c r="A997" s="3">
        <v>13367</v>
      </c>
      <c r="B997" s="3">
        <v>13368</v>
      </c>
      <c r="C997" s="3">
        <v>4086</v>
      </c>
      <c r="D997" s="3" t="s">
        <v>390</v>
      </c>
      <c r="E997" s="3" t="s">
        <v>654</v>
      </c>
      <c r="F997" s="3">
        <v>7107</v>
      </c>
      <c r="G997" s="3" t="s">
        <v>428</v>
      </c>
      <c r="H997" s="3" t="s">
        <v>38</v>
      </c>
      <c r="I997" s="3">
        <v>542584</v>
      </c>
      <c r="J997" s="3">
        <v>354634</v>
      </c>
      <c r="K997" s="3">
        <v>187950</v>
      </c>
      <c r="L997" s="3">
        <v>117200</v>
      </c>
      <c r="M997" s="3">
        <v>60300</v>
      </c>
      <c r="N997" s="3">
        <v>34000</v>
      </c>
    </row>
    <row r="998" spans="1:14" ht="14.4">
      <c r="A998" s="3">
        <v>13367</v>
      </c>
      <c r="B998" s="3">
        <v>13368</v>
      </c>
      <c r="C998" s="3">
        <v>4086</v>
      </c>
      <c r="D998" s="3" t="s">
        <v>390</v>
      </c>
      <c r="E998" s="3" t="s">
        <v>654</v>
      </c>
      <c r="F998" s="3">
        <v>7108</v>
      </c>
      <c r="G998" s="3" t="s">
        <v>428</v>
      </c>
      <c r="H998" s="3" t="s">
        <v>38</v>
      </c>
      <c r="I998" s="3">
        <v>93839</v>
      </c>
      <c r="J998" s="3">
        <v>93839</v>
      </c>
      <c r="K998" s="3">
        <v>0</v>
      </c>
      <c r="L998" s="3">
        <v>44300</v>
      </c>
      <c r="M998" s="3">
        <v>44300</v>
      </c>
      <c r="N998" s="3">
        <v>0</v>
      </c>
    </row>
    <row r="999" spans="1:14" ht="14.4">
      <c r="A999" s="3">
        <v>13367</v>
      </c>
      <c r="B999" s="3">
        <v>13368</v>
      </c>
      <c r="C999" s="3">
        <v>4086</v>
      </c>
      <c r="D999" s="3" t="s">
        <v>390</v>
      </c>
      <c r="E999" s="3" t="s">
        <v>654</v>
      </c>
      <c r="F999" s="3">
        <v>7112</v>
      </c>
      <c r="G999" s="3" t="s">
        <v>428</v>
      </c>
      <c r="H999" s="3" t="s">
        <v>38</v>
      </c>
      <c r="I999" s="3">
        <v>178188</v>
      </c>
      <c r="J999" s="3">
        <v>130288</v>
      </c>
      <c r="K999" s="3">
        <v>47900</v>
      </c>
      <c r="L999" s="3">
        <v>34000</v>
      </c>
      <c r="M999" s="3">
        <v>34000</v>
      </c>
      <c r="N999" s="3">
        <v>0</v>
      </c>
    </row>
    <row r="1000" spans="1:14" ht="14.4">
      <c r="A1000" s="3">
        <v>13367</v>
      </c>
      <c r="B1000" s="3">
        <v>13368</v>
      </c>
      <c r="C1000" s="3">
        <v>4086</v>
      </c>
      <c r="D1000" s="3" t="s">
        <v>390</v>
      </c>
      <c r="E1000" s="3" t="s">
        <v>654</v>
      </c>
      <c r="F1000" s="3">
        <v>7114</v>
      </c>
      <c r="G1000" s="3" t="s">
        <v>428</v>
      </c>
      <c r="H1000" s="3" t="s">
        <v>38</v>
      </c>
      <c r="I1000" s="3">
        <v>4991471</v>
      </c>
      <c r="J1000" s="3">
        <v>1281648</v>
      </c>
      <c r="K1000" s="3">
        <v>3709823</v>
      </c>
      <c r="L1000" s="3">
        <v>1691000</v>
      </c>
      <c r="M1000" s="3">
        <v>682800</v>
      </c>
      <c r="N1000" s="3">
        <v>1008200</v>
      </c>
    </row>
    <row r="1001" spans="1:14" ht="14.4">
      <c r="A1001" s="3">
        <v>13367</v>
      </c>
      <c r="B1001" s="3">
        <v>13368</v>
      </c>
      <c r="C1001" s="3">
        <v>4086</v>
      </c>
      <c r="D1001" s="3" t="s">
        <v>390</v>
      </c>
      <c r="E1001" s="3" t="s">
        <v>654</v>
      </c>
      <c r="F1001" s="3">
        <v>8882</v>
      </c>
      <c r="G1001" s="3" t="s">
        <v>428</v>
      </c>
      <c r="H1001" s="3" t="s">
        <v>38</v>
      </c>
      <c r="I1001" s="3">
        <v>149964</v>
      </c>
      <c r="J1001" s="3">
        <v>53465</v>
      </c>
      <c r="K1001" s="3">
        <v>96499</v>
      </c>
      <c r="L1001" s="3">
        <v>0</v>
      </c>
      <c r="M1001" s="3">
        <v>0</v>
      </c>
      <c r="N1001" s="3">
        <v>0</v>
      </c>
    </row>
    <row r="1002" spans="1:14" ht="14.4">
      <c r="A1002" s="3">
        <v>13367</v>
      </c>
      <c r="B1002" s="3">
        <v>13368</v>
      </c>
      <c r="C1002" s="3">
        <v>4086</v>
      </c>
      <c r="D1002" s="3" t="s">
        <v>390</v>
      </c>
      <c r="E1002" s="3" t="s">
        <v>654</v>
      </c>
      <c r="F1002" s="3">
        <v>7105</v>
      </c>
      <c r="G1002" s="3" t="s">
        <v>37</v>
      </c>
      <c r="H1002" s="3" t="s">
        <v>38</v>
      </c>
      <c r="I1002" s="3">
        <v>26900</v>
      </c>
      <c r="J1002" s="3">
        <v>0</v>
      </c>
      <c r="K1002" s="3">
        <v>26900</v>
      </c>
      <c r="L1002" s="3">
        <v>0</v>
      </c>
      <c r="M1002" s="3">
        <v>0</v>
      </c>
      <c r="N1002" s="3">
        <v>0</v>
      </c>
    </row>
    <row r="1003" spans="1:14" ht="14.4">
      <c r="A1003" s="3">
        <v>13367</v>
      </c>
      <c r="B1003" s="3">
        <v>13368</v>
      </c>
      <c r="C1003" s="3">
        <v>4086</v>
      </c>
      <c r="D1003" s="3" t="s">
        <v>390</v>
      </c>
      <c r="E1003" s="3" t="s">
        <v>654</v>
      </c>
      <c r="F1003" s="3">
        <v>7114</v>
      </c>
      <c r="G1003" s="3" t="s">
        <v>37</v>
      </c>
      <c r="H1003" s="3" t="s">
        <v>38</v>
      </c>
      <c r="I1003" s="3">
        <v>123695</v>
      </c>
      <c r="J1003" s="3">
        <v>0</v>
      </c>
      <c r="K1003" s="3">
        <v>123695</v>
      </c>
      <c r="L1003" s="3">
        <v>0</v>
      </c>
      <c r="M1003" s="3">
        <v>0</v>
      </c>
      <c r="N1003" s="3">
        <v>0</v>
      </c>
    </row>
    <row r="1004" spans="1:14" ht="14.4">
      <c r="A1004" s="3">
        <v>13367</v>
      </c>
      <c r="B1004" s="3">
        <v>13368</v>
      </c>
      <c r="C1004" s="3">
        <v>4086</v>
      </c>
      <c r="D1004" s="3" t="s">
        <v>390</v>
      </c>
      <c r="E1004" s="3" t="s">
        <v>655</v>
      </c>
      <c r="F1004" s="3">
        <v>8345</v>
      </c>
      <c r="G1004" s="3" t="s">
        <v>452</v>
      </c>
      <c r="H1004" s="3" t="s">
        <v>38</v>
      </c>
      <c r="I1004" s="3">
        <v>1030196</v>
      </c>
      <c r="J1004" s="3">
        <v>978656</v>
      </c>
      <c r="K1004" s="3">
        <v>51540</v>
      </c>
      <c r="L1004" s="3">
        <v>0</v>
      </c>
      <c r="M1004" s="3">
        <v>0</v>
      </c>
      <c r="N1004" s="3">
        <v>0</v>
      </c>
    </row>
    <row r="1005" spans="1:14" ht="14.4">
      <c r="A1005" s="3">
        <v>13367</v>
      </c>
      <c r="B1005" s="3">
        <v>13368</v>
      </c>
      <c r="C1005" s="3">
        <v>4086</v>
      </c>
      <c r="D1005" s="3" t="s">
        <v>390</v>
      </c>
      <c r="E1005" s="3" t="s">
        <v>656</v>
      </c>
      <c r="F1005" s="3">
        <v>7860</v>
      </c>
      <c r="G1005" s="3" t="s">
        <v>462</v>
      </c>
      <c r="H1005" s="3" t="s">
        <v>38</v>
      </c>
      <c r="I1005" s="3">
        <v>16065</v>
      </c>
      <c r="J1005" s="3">
        <v>6065</v>
      </c>
      <c r="K1005" s="3">
        <v>10000</v>
      </c>
      <c r="L1005" s="3">
        <v>10000</v>
      </c>
      <c r="M1005" s="3">
        <v>0</v>
      </c>
      <c r="N1005" s="3">
        <v>10000</v>
      </c>
    </row>
    <row r="1006" spans="1:14" ht="14.4">
      <c r="A1006" s="3">
        <v>13367</v>
      </c>
      <c r="B1006" s="3">
        <v>13368</v>
      </c>
      <c r="C1006" s="3">
        <v>4086</v>
      </c>
      <c r="D1006" s="3" t="s">
        <v>390</v>
      </c>
      <c r="E1006" s="3" t="s">
        <v>657</v>
      </c>
      <c r="F1006" s="3">
        <v>8739</v>
      </c>
      <c r="G1006" s="3" t="s">
        <v>402</v>
      </c>
      <c r="H1006" s="3" t="s">
        <v>38</v>
      </c>
      <c r="I1006" s="3">
        <v>1530</v>
      </c>
      <c r="J1006" s="3">
        <v>0</v>
      </c>
      <c r="K1006" s="3">
        <v>1530</v>
      </c>
      <c r="L1006" s="3">
        <v>0</v>
      </c>
      <c r="M1006" s="3">
        <v>0</v>
      </c>
      <c r="N1006" s="3">
        <v>0</v>
      </c>
    </row>
    <row r="1007" spans="1:14" ht="14.4">
      <c r="A1007" s="3">
        <v>13367</v>
      </c>
      <c r="B1007" s="3">
        <v>13368</v>
      </c>
      <c r="C1007" s="3">
        <v>4086</v>
      </c>
      <c r="D1007" s="3" t="s">
        <v>390</v>
      </c>
      <c r="E1007" s="3" t="s">
        <v>658</v>
      </c>
      <c r="F1007" s="3">
        <v>8735</v>
      </c>
      <c r="G1007" s="3" t="s">
        <v>402</v>
      </c>
      <c r="H1007" s="3" t="s">
        <v>38</v>
      </c>
      <c r="I1007" s="3">
        <v>241372</v>
      </c>
      <c r="J1007" s="3">
        <v>201508</v>
      </c>
      <c r="K1007" s="3">
        <v>39864</v>
      </c>
      <c r="L1007" s="3">
        <v>0</v>
      </c>
      <c r="M1007" s="3">
        <v>0</v>
      </c>
      <c r="N1007" s="3">
        <v>0</v>
      </c>
    </row>
    <row r="1008" spans="1:14" ht="14.4">
      <c r="A1008" s="3">
        <v>13367</v>
      </c>
      <c r="B1008" s="3">
        <v>13368</v>
      </c>
      <c r="C1008" s="3">
        <v>4086</v>
      </c>
      <c r="D1008" s="3" t="s">
        <v>390</v>
      </c>
      <c r="E1008" s="3" t="s">
        <v>658</v>
      </c>
      <c r="F1008" s="3">
        <v>8739</v>
      </c>
      <c r="G1008" s="3" t="s">
        <v>402</v>
      </c>
      <c r="H1008" s="3" t="s">
        <v>38</v>
      </c>
      <c r="I1008" s="3">
        <v>1689223</v>
      </c>
      <c r="J1008" s="3">
        <v>1258828</v>
      </c>
      <c r="K1008" s="3">
        <v>430395</v>
      </c>
      <c r="L1008" s="3">
        <v>347300</v>
      </c>
      <c r="M1008" s="3">
        <v>191100</v>
      </c>
      <c r="N1008" s="3">
        <v>83700</v>
      </c>
    </row>
    <row r="1009" spans="1:14" ht="14.4">
      <c r="A1009" s="3">
        <v>13367</v>
      </c>
      <c r="B1009" s="3">
        <v>13368</v>
      </c>
      <c r="C1009" s="3">
        <v>4086</v>
      </c>
      <c r="D1009" s="3" t="s">
        <v>390</v>
      </c>
      <c r="E1009" s="3" t="s">
        <v>659</v>
      </c>
      <c r="F1009" s="3">
        <v>7031</v>
      </c>
      <c r="G1009" s="3" t="s">
        <v>76</v>
      </c>
      <c r="H1009" s="3" t="s">
        <v>38</v>
      </c>
      <c r="I1009" s="3">
        <v>289316</v>
      </c>
      <c r="J1009" s="3">
        <v>72574</v>
      </c>
      <c r="K1009" s="3">
        <v>216742</v>
      </c>
      <c r="L1009" s="3">
        <v>195200</v>
      </c>
      <c r="M1009" s="3">
        <v>19500</v>
      </c>
      <c r="N1009" s="3">
        <v>158500</v>
      </c>
    </row>
    <row r="1010" spans="1:14" ht="14.4">
      <c r="A1010" s="3">
        <v>13367</v>
      </c>
      <c r="B1010" s="3">
        <v>13368</v>
      </c>
      <c r="C1010" s="3">
        <v>4086</v>
      </c>
      <c r="D1010" s="3" t="s">
        <v>390</v>
      </c>
      <c r="E1010" s="3" t="s">
        <v>660</v>
      </c>
      <c r="F1010" s="3">
        <v>8008</v>
      </c>
      <c r="G1010" s="3" t="s">
        <v>402</v>
      </c>
      <c r="H1010" s="3" t="s">
        <v>38</v>
      </c>
      <c r="I1010" s="3">
        <v>345027</v>
      </c>
      <c r="J1010" s="3">
        <v>341627</v>
      </c>
      <c r="K1010" s="3">
        <v>3400</v>
      </c>
      <c r="L1010" s="3">
        <v>0</v>
      </c>
      <c r="M1010" s="3">
        <v>0</v>
      </c>
      <c r="N1010" s="3">
        <v>0</v>
      </c>
    </row>
    <row r="1011" spans="1:14" ht="14.4">
      <c r="A1011" s="3">
        <v>13367</v>
      </c>
      <c r="B1011" s="3">
        <v>13368</v>
      </c>
      <c r="C1011" s="3">
        <v>4086</v>
      </c>
      <c r="D1011" s="3" t="s">
        <v>390</v>
      </c>
      <c r="E1011" s="3" t="s">
        <v>661</v>
      </c>
      <c r="F1011" s="3">
        <v>8008</v>
      </c>
      <c r="G1011" s="3" t="s">
        <v>402</v>
      </c>
      <c r="H1011" s="3" t="s">
        <v>38</v>
      </c>
      <c r="I1011" s="3">
        <v>319576</v>
      </c>
      <c r="J1011" s="3">
        <v>297247</v>
      </c>
      <c r="K1011" s="3">
        <v>22329</v>
      </c>
      <c r="L1011" s="3">
        <v>174800</v>
      </c>
      <c r="M1011" s="3">
        <v>161500</v>
      </c>
      <c r="N1011" s="3">
        <v>4700</v>
      </c>
    </row>
    <row r="1012" spans="1:14" ht="14.4">
      <c r="A1012" s="3">
        <v>13367</v>
      </c>
      <c r="B1012" s="3">
        <v>13368</v>
      </c>
      <c r="C1012" s="3">
        <v>4086</v>
      </c>
      <c r="D1012" s="3" t="s">
        <v>390</v>
      </c>
      <c r="E1012" s="3" t="s">
        <v>662</v>
      </c>
      <c r="F1012" s="3">
        <v>7047</v>
      </c>
      <c r="G1012" s="3" t="s">
        <v>76</v>
      </c>
      <c r="H1012" s="3" t="s">
        <v>38</v>
      </c>
      <c r="I1012" s="3">
        <v>30790</v>
      </c>
      <c r="J1012" s="3">
        <v>0</v>
      </c>
      <c r="K1012" s="3">
        <v>30790</v>
      </c>
      <c r="L1012" s="3">
        <v>0</v>
      </c>
      <c r="M1012" s="3">
        <v>0</v>
      </c>
      <c r="N1012" s="3">
        <v>0</v>
      </c>
    </row>
    <row r="1013" spans="1:14" ht="14.4">
      <c r="A1013" s="3">
        <v>13367</v>
      </c>
      <c r="B1013" s="3">
        <v>13368</v>
      </c>
      <c r="C1013" s="3">
        <v>4086</v>
      </c>
      <c r="D1013" s="3" t="s">
        <v>390</v>
      </c>
      <c r="E1013" s="3" t="s">
        <v>662</v>
      </c>
      <c r="F1013" s="3">
        <v>7047</v>
      </c>
      <c r="G1013" s="3" t="s">
        <v>37</v>
      </c>
      <c r="H1013" s="3" t="s">
        <v>38</v>
      </c>
      <c r="I1013" s="3">
        <v>1174024</v>
      </c>
      <c r="J1013" s="3">
        <v>861239</v>
      </c>
      <c r="K1013" s="3">
        <v>312785</v>
      </c>
      <c r="L1013" s="3">
        <v>647800</v>
      </c>
      <c r="M1013" s="3">
        <v>559100</v>
      </c>
      <c r="N1013" s="3">
        <v>35000</v>
      </c>
    </row>
    <row r="1014" spans="1:14" ht="14.4">
      <c r="A1014" s="3">
        <v>13367</v>
      </c>
      <c r="B1014" s="3">
        <v>13368</v>
      </c>
      <c r="C1014" s="3">
        <v>4086</v>
      </c>
      <c r="D1014" s="3" t="s">
        <v>390</v>
      </c>
      <c r="E1014" s="3" t="s">
        <v>663</v>
      </c>
      <c r="F1014" s="3">
        <v>8902</v>
      </c>
      <c r="G1014" s="3" t="s">
        <v>406</v>
      </c>
      <c r="H1014" s="3" t="s">
        <v>38</v>
      </c>
      <c r="I1014" s="3">
        <v>20092</v>
      </c>
      <c r="J1014" s="3">
        <v>12342</v>
      </c>
      <c r="K1014" s="3">
        <v>7750</v>
      </c>
      <c r="L1014" s="3">
        <v>21100</v>
      </c>
      <c r="M1014" s="3">
        <v>0</v>
      </c>
      <c r="N1014" s="3">
        <v>0</v>
      </c>
    </row>
    <row r="1015" spans="1:14" ht="14.4">
      <c r="A1015" s="3">
        <v>13367</v>
      </c>
      <c r="B1015" s="3">
        <v>13368</v>
      </c>
      <c r="C1015" s="3">
        <v>4086</v>
      </c>
      <c r="D1015" s="3" t="s">
        <v>390</v>
      </c>
      <c r="E1015" s="3" t="s">
        <v>664</v>
      </c>
      <c r="F1015" s="3">
        <v>8204</v>
      </c>
      <c r="G1015" s="3" t="s">
        <v>404</v>
      </c>
      <c r="H1015" s="3" t="s">
        <v>38</v>
      </c>
      <c r="I1015" s="3">
        <v>26968</v>
      </c>
      <c r="J1015" s="3">
        <v>19818</v>
      </c>
      <c r="K1015" s="3">
        <v>7150</v>
      </c>
      <c r="L1015" s="3">
        <v>0</v>
      </c>
      <c r="M1015" s="3">
        <v>0</v>
      </c>
      <c r="N1015" s="3">
        <v>0</v>
      </c>
    </row>
    <row r="1016" spans="1:14" ht="14.4">
      <c r="A1016" s="3">
        <v>13367</v>
      </c>
      <c r="B1016" s="3">
        <v>13368</v>
      </c>
      <c r="C1016" s="3">
        <v>4086</v>
      </c>
      <c r="D1016" s="3" t="s">
        <v>390</v>
      </c>
      <c r="E1016" s="3" t="s">
        <v>665</v>
      </c>
      <c r="F1016" s="3">
        <v>7734</v>
      </c>
      <c r="G1016" s="3" t="s">
        <v>392</v>
      </c>
      <c r="H1016" s="3" t="s">
        <v>38</v>
      </c>
      <c r="I1016" s="3">
        <v>10121</v>
      </c>
      <c r="J1016" s="3">
        <v>10121</v>
      </c>
      <c r="K1016" s="3">
        <v>0</v>
      </c>
      <c r="L1016" s="3">
        <v>2100</v>
      </c>
      <c r="M1016" s="3">
        <v>2100</v>
      </c>
      <c r="N1016" s="3">
        <v>0</v>
      </c>
    </row>
    <row r="1017" spans="1:14" ht="14.4">
      <c r="A1017" s="3">
        <v>13367</v>
      </c>
      <c r="B1017" s="3">
        <v>13368</v>
      </c>
      <c r="C1017" s="3">
        <v>4086</v>
      </c>
      <c r="D1017" s="3" t="s">
        <v>390</v>
      </c>
      <c r="E1017" s="3" t="s">
        <v>666</v>
      </c>
      <c r="F1017" s="3">
        <v>7060</v>
      </c>
      <c r="G1017" s="3" t="s">
        <v>435</v>
      </c>
      <c r="H1017" s="3" t="s">
        <v>38</v>
      </c>
      <c r="I1017" s="3">
        <v>2200</v>
      </c>
      <c r="J1017" s="3">
        <v>0</v>
      </c>
      <c r="K1017" s="3">
        <v>2200</v>
      </c>
      <c r="L1017" s="3">
        <v>0</v>
      </c>
      <c r="M1017" s="3">
        <v>0</v>
      </c>
      <c r="N1017" s="3">
        <v>0</v>
      </c>
    </row>
    <row r="1018" spans="1:14" ht="14.4">
      <c r="A1018" s="3">
        <v>13367</v>
      </c>
      <c r="B1018" s="3">
        <v>13368</v>
      </c>
      <c r="C1018" s="3">
        <v>4086</v>
      </c>
      <c r="D1018" s="3" t="s">
        <v>390</v>
      </c>
      <c r="E1018" s="3" t="s">
        <v>667</v>
      </c>
      <c r="F1018" s="3">
        <v>8260</v>
      </c>
      <c r="G1018" s="3" t="s">
        <v>404</v>
      </c>
      <c r="H1018" s="3" t="s">
        <v>38</v>
      </c>
      <c r="I1018" s="3">
        <v>1181343</v>
      </c>
      <c r="J1018" s="3">
        <v>863907</v>
      </c>
      <c r="K1018" s="3">
        <v>317436</v>
      </c>
      <c r="L1018" s="3">
        <v>478800</v>
      </c>
      <c r="M1018" s="3">
        <v>359600</v>
      </c>
      <c r="N1018" s="3">
        <v>114600</v>
      </c>
    </row>
    <row r="1019" spans="1:14" ht="14.4">
      <c r="A1019" s="3">
        <v>13367</v>
      </c>
      <c r="B1019" s="3">
        <v>13368</v>
      </c>
      <c r="C1019" s="3">
        <v>4086</v>
      </c>
      <c r="D1019" s="3" t="s">
        <v>390</v>
      </c>
      <c r="E1019" s="3" t="s">
        <v>668</v>
      </c>
      <c r="F1019" s="3">
        <v>8225</v>
      </c>
      <c r="G1019" s="3" t="s">
        <v>394</v>
      </c>
      <c r="H1019" s="3" t="s">
        <v>38</v>
      </c>
      <c r="I1019" s="3">
        <v>3055008</v>
      </c>
      <c r="J1019" s="3">
        <v>2873201</v>
      </c>
      <c r="K1019" s="3">
        <v>181807</v>
      </c>
      <c r="L1019" s="3">
        <v>26900</v>
      </c>
      <c r="M1019" s="3">
        <v>12900</v>
      </c>
      <c r="N1019" s="3">
        <v>14000</v>
      </c>
    </row>
    <row r="1020" spans="1:14" ht="14.4">
      <c r="A1020" s="3">
        <v>13367</v>
      </c>
      <c r="B1020" s="3">
        <v>13368</v>
      </c>
      <c r="C1020" s="3">
        <v>4086</v>
      </c>
      <c r="D1020" s="3" t="s">
        <v>390</v>
      </c>
      <c r="E1020" s="3" t="s">
        <v>669</v>
      </c>
      <c r="F1020" s="3">
        <v>7648</v>
      </c>
      <c r="G1020" s="3" t="s">
        <v>76</v>
      </c>
      <c r="H1020" s="3" t="s">
        <v>38</v>
      </c>
      <c r="I1020" s="3">
        <v>52482</v>
      </c>
      <c r="J1020" s="3">
        <v>45167</v>
      </c>
      <c r="K1020" s="3">
        <v>7315</v>
      </c>
      <c r="L1020" s="3">
        <v>0</v>
      </c>
      <c r="M1020" s="3">
        <v>0</v>
      </c>
      <c r="N1020" s="3">
        <v>0</v>
      </c>
    </row>
    <row r="1021" spans="1:14" ht="14.4">
      <c r="A1021" s="3">
        <v>13367</v>
      </c>
      <c r="B1021" s="3">
        <v>13368</v>
      </c>
      <c r="C1021" s="3">
        <v>4086</v>
      </c>
      <c r="D1021" s="3" t="s">
        <v>390</v>
      </c>
      <c r="E1021" s="3" t="s">
        <v>670</v>
      </c>
      <c r="F1021" s="3">
        <v>7110</v>
      </c>
      <c r="G1021" s="3" t="s">
        <v>428</v>
      </c>
      <c r="H1021" s="3" t="s">
        <v>38</v>
      </c>
      <c r="I1021" s="3">
        <v>12279</v>
      </c>
      <c r="J1021" s="3">
        <v>4979</v>
      </c>
      <c r="K1021" s="3">
        <v>7300</v>
      </c>
      <c r="L1021" s="3">
        <v>0</v>
      </c>
      <c r="M1021" s="3">
        <v>0</v>
      </c>
      <c r="N1021" s="3">
        <v>0</v>
      </c>
    </row>
    <row r="1022" spans="1:14" ht="14.4">
      <c r="A1022" s="3">
        <v>13367</v>
      </c>
      <c r="B1022" s="3">
        <v>13368</v>
      </c>
      <c r="C1022" s="3">
        <v>4086</v>
      </c>
      <c r="D1022" s="3" t="s">
        <v>390</v>
      </c>
      <c r="E1022" s="3" t="s">
        <v>257</v>
      </c>
      <c r="F1022" s="3">
        <v>10960</v>
      </c>
      <c r="G1022" s="3" t="s">
        <v>85</v>
      </c>
      <c r="H1022" s="3" t="s">
        <v>21</v>
      </c>
      <c r="I1022" s="3">
        <v>0</v>
      </c>
      <c r="J1022" s="3">
        <v>0</v>
      </c>
      <c r="K1022" s="3">
        <v>0</v>
      </c>
      <c r="L1022" s="3">
        <v>31200</v>
      </c>
      <c r="M1022" s="3">
        <v>0</v>
      </c>
      <c r="N1022" s="3">
        <v>0</v>
      </c>
    </row>
    <row r="1023" spans="1:14" ht="14.4">
      <c r="A1023" s="3">
        <v>13367</v>
      </c>
      <c r="B1023" s="3">
        <v>13368</v>
      </c>
      <c r="C1023" s="3">
        <v>4086</v>
      </c>
      <c r="D1023" s="3" t="s">
        <v>390</v>
      </c>
      <c r="E1023" s="3" t="s">
        <v>671</v>
      </c>
      <c r="F1023" s="3">
        <v>7438</v>
      </c>
      <c r="G1023" s="3" t="s">
        <v>441</v>
      </c>
      <c r="H1023" s="3" t="s">
        <v>38</v>
      </c>
      <c r="I1023" s="3">
        <v>569513</v>
      </c>
      <c r="J1023" s="3">
        <v>556713</v>
      </c>
      <c r="K1023" s="3">
        <v>12800</v>
      </c>
      <c r="L1023" s="3">
        <v>469300</v>
      </c>
      <c r="M1023" s="3">
        <v>446700</v>
      </c>
      <c r="N1023" s="3">
        <v>1300</v>
      </c>
    </row>
    <row r="1024" spans="1:14" ht="14.4">
      <c r="A1024" s="3">
        <v>13367</v>
      </c>
      <c r="B1024" s="3">
        <v>13368</v>
      </c>
      <c r="C1024" s="3">
        <v>4086</v>
      </c>
      <c r="D1024" s="3" t="s">
        <v>390</v>
      </c>
      <c r="E1024" s="3" t="s">
        <v>672</v>
      </c>
      <c r="F1024" s="3">
        <v>7755</v>
      </c>
      <c r="G1024" s="3" t="s">
        <v>392</v>
      </c>
      <c r="H1024" s="3" t="s">
        <v>38</v>
      </c>
      <c r="I1024" s="3">
        <v>43320</v>
      </c>
      <c r="J1024" s="3">
        <v>0</v>
      </c>
      <c r="K1024" s="3">
        <v>43320</v>
      </c>
      <c r="L1024" s="3">
        <v>43400</v>
      </c>
      <c r="M1024" s="3">
        <v>0</v>
      </c>
      <c r="N1024" s="3">
        <v>43400</v>
      </c>
    </row>
    <row r="1025" spans="1:14" ht="14.4">
      <c r="A1025" s="3">
        <v>13367</v>
      </c>
      <c r="B1025" s="3">
        <v>13368</v>
      </c>
      <c r="C1025" s="3">
        <v>4086</v>
      </c>
      <c r="D1025" s="3" t="s">
        <v>390</v>
      </c>
      <c r="E1025" s="3" t="s">
        <v>402</v>
      </c>
      <c r="F1025" s="3">
        <v>8226</v>
      </c>
      <c r="G1025" s="3" t="s">
        <v>404</v>
      </c>
      <c r="H1025" s="3" t="s">
        <v>38</v>
      </c>
      <c r="I1025" s="3">
        <v>67344</v>
      </c>
      <c r="J1025" s="3">
        <v>65294</v>
      </c>
      <c r="K1025" s="3">
        <v>2050</v>
      </c>
      <c r="L1025" s="3">
        <v>0</v>
      </c>
      <c r="M1025" s="3">
        <v>0</v>
      </c>
      <c r="N1025" s="3">
        <v>0</v>
      </c>
    </row>
    <row r="1026" spans="1:14" ht="14.4">
      <c r="A1026" s="3">
        <v>13367</v>
      </c>
      <c r="B1026" s="3">
        <v>13368</v>
      </c>
      <c r="C1026" s="3">
        <v>4086</v>
      </c>
      <c r="D1026" s="3" t="s">
        <v>390</v>
      </c>
      <c r="E1026" s="3" t="s">
        <v>402</v>
      </c>
      <c r="F1026" s="3">
        <v>7712</v>
      </c>
      <c r="G1026" s="3" t="s">
        <v>392</v>
      </c>
      <c r="H1026" s="3" t="s">
        <v>38</v>
      </c>
      <c r="I1026" s="3">
        <v>1225510</v>
      </c>
      <c r="J1026" s="3">
        <v>82661</v>
      </c>
      <c r="K1026" s="3">
        <v>1142849</v>
      </c>
      <c r="L1026" s="3">
        <v>9300</v>
      </c>
      <c r="M1026" s="3">
        <v>0</v>
      </c>
      <c r="N1026" s="3">
        <v>0</v>
      </c>
    </row>
    <row r="1027" spans="1:14" ht="14.4">
      <c r="A1027" s="3">
        <v>13367</v>
      </c>
      <c r="B1027" s="3">
        <v>13368</v>
      </c>
      <c r="C1027" s="3">
        <v>4086</v>
      </c>
      <c r="D1027" s="3" t="s">
        <v>390</v>
      </c>
      <c r="E1027" s="3" t="s">
        <v>402</v>
      </c>
      <c r="F1027" s="3">
        <v>8753</v>
      </c>
      <c r="G1027" s="3" t="s">
        <v>402</v>
      </c>
      <c r="H1027" s="3" t="s">
        <v>38</v>
      </c>
      <c r="I1027" s="3">
        <v>21706</v>
      </c>
      <c r="J1027" s="3">
        <v>466</v>
      </c>
      <c r="K1027" s="3">
        <v>21240</v>
      </c>
      <c r="L1027" s="3">
        <v>0</v>
      </c>
      <c r="M1027" s="3">
        <v>0</v>
      </c>
      <c r="N1027" s="3">
        <v>0</v>
      </c>
    </row>
    <row r="1028" spans="1:14" ht="14.4">
      <c r="A1028" s="3">
        <v>13367</v>
      </c>
      <c r="B1028" s="3">
        <v>13368</v>
      </c>
      <c r="C1028" s="3">
        <v>4086</v>
      </c>
      <c r="D1028" s="3" t="s">
        <v>390</v>
      </c>
      <c r="E1028" s="3" t="s">
        <v>673</v>
      </c>
      <c r="F1028" s="3">
        <v>8226</v>
      </c>
      <c r="G1028" s="3" t="s">
        <v>394</v>
      </c>
      <c r="H1028" s="3" t="s">
        <v>38</v>
      </c>
      <c r="I1028" s="3">
        <v>90064</v>
      </c>
      <c r="J1028" s="3">
        <v>73170</v>
      </c>
      <c r="K1028" s="3">
        <v>16894</v>
      </c>
      <c r="L1028" s="3">
        <v>12200</v>
      </c>
      <c r="M1028" s="3">
        <v>0</v>
      </c>
      <c r="N1028" s="3">
        <v>12200</v>
      </c>
    </row>
    <row r="1029" spans="1:14" ht="14.4">
      <c r="A1029" s="3">
        <v>13367</v>
      </c>
      <c r="B1029" s="3">
        <v>13368</v>
      </c>
      <c r="C1029" s="3">
        <v>4086</v>
      </c>
      <c r="D1029" s="3" t="s">
        <v>390</v>
      </c>
      <c r="E1029" s="3" t="s">
        <v>673</v>
      </c>
      <c r="F1029" s="3">
        <v>8226</v>
      </c>
      <c r="G1029" s="3" t="s">
        <v>404</v>
      </c>
      <c r="H1029" s="3" t="s">
        <v>38</v>
      </c>
      <c r="I1029" s="3">
        <v>11479888</v>
      </c>
      <c r="J1029" s="3">
        <v>7954229</v>
      </c>
      <c r="K1029" s="3">
        <v>3525659</v>
      </c>
      <c r="L1029" s="3">
        <v>4861100</v>
      </c>
      <c r="M1029" s="3">
        <v>2681000</v>
      </c>
      <c r="N1029" s="3">
        <v>1740500</v>
      </c>
    </row>
    <row r="1030" spans="1:14" ht="14.4">
      <c r="A1030" s="3">
        <v>13367</v>
      </c>
      <c r="B1030" s="3">
        <v>13368</v>
      </c>
      <c r="C1030" s="3">
        <v>4086</v>
      </c>
      <c r="D1030" s="3" t="s">
        <v>390</v>
      </c>
      <c r="E1030" s="3" t="s">
        <v>673</v>
      </c>
      <c r="F1030" s="3">
        <v>8226</v>
      </c>
      <c r="G1030" s="3" t="s">
        <v>452</v>
      </c>
      <c r="H1030" s="3" t="s">
        <v>38</v>
      </c>
      <c r="I1030" s="3">
        <v>22019</v>
      </c>
      <c r="J1030" s="3">
        <v>5121</v>
      </c>
      <c r="K1030" s="3">
        <v>16898</v>
      </c>
      <c r="L1030" s="3">
        <v>14000</v>
      </c>
      <c r="M1030" s="3">
        <v>0</v>
      </c>
      <c r="N1030" s="3">
        <v>14000</v>
      </c>
    </row>
    <row r="1031" spans="1:14" ht="14.4">
      <c r="A1031" s="3">
        <v>13367</v>
      </c>
      <c r="B1031" s="3">
        <v>13368</v>
      </c>
      <c r="C1031" s="3">
        <v>4086</v>
      </c>
      <c r="D1031" s="3" t="s">
        <v>390</v>
      </c>
      <c r="E1031" s="3" t="s">
        <v>674</v>
      </c>
      <c r="F1031" s="3">
        <v>8701</v>
      </c>
      <c r="G1031" s="3" t="s">
        <v>402</v>
      </c>
      <c r="H1031" s="3" t="s">
        <v>38</v>
      </c>
      <c r="I1031" s="3">
        <v>26400</v>
      </c>
      <c r="J1031" s="3">
        <v>26400</v>
      </c>
      <c r="K1031" s="3">
        <v>0</v>
      </c>
      <c r="L1031" s="3">
        <v>0</v>
      </c>
      <c r="M1031" s="3">
        <v>0</v>
      </c>
      <c r="N1031" s="3">
        <v>0</v>
      </c>
    </row>
    <row r="1032" spans="1:14" ht="14.4">
      <c r="A1032" s="3">
        <v>13367</v>
      </c>
      <c r="B1032" s="3">
        <v>13368</v>
      </c>
      <c r="C1032" s="3">
        <v>4086</v>
      </c>
      <c r="D1032" s="3" t="s">
        <v>390</v>
      </c>
      <c r="E1032" s="3" t="s">
        <v>674</v>
      </c>
      <c r="F1032" s="3">
        <v>8740</v>
      </c>
      <c r="G1032" s="3" t="s">
        <v>402</v>
      </c>
      <c r="H1032" s="3" t="s">
        <v>38</v>
      </c>
      <c r="I1032" s="3">
        <v>2031556</v>
      </c>
      <c r="J1032" s="3">
        <v>1705476</v>
      </c>
      <c r="K1032" s="3">
        <v>326080</v>
      </c>
      <c r="L1032" s="3">
        <v>920700</v>
      </c>
      <c r="M1032" s="3">
        <v>714500</v>
      </c>
      <c r="N1032" s="3">
        <v>171700</v>
      </c>
    </row>
    <row r="1033" spans="1:14" ht="14.4">
      <c r="A1033" s="3">
        <v>13367</v>
      </c>
      <c r="B1033" s="3">
        <v>13368</v>
      </c>
      <c r="C1033" s="3">
        <v>4086</v>
      </c>
      <c r="D1033" s="3" t="s">
        <v>390</v>
      </c>
      <c r="E1033" s="3" t="s">
        <v>675</v>
      </c>
      <c r="F1033" s="3">
        <v>7756</v>
      </c>
      <c r="G1033" s="3" t="s">
        <v>392</v>
      </c>
      <c r="H1033" s="3" t="s">
        <v>38</v>
      </c>
      <c r="I1033" s="3">
        <v>766397</v>
      </c>
      <c r="J1033" s="3">
        <v>701659</v>
      </c>
      <c r="K1033" s="3">
        <v>64738</v>
      </c>
      <c r="L1033" s="3">
        <v>418100</v>
      </c>
      <c r="M1033" s="3">
        <v>337000</v>
      </c>
      <c r="N1033" s="3">
        <v>23800</v>
      </c>
    </row>
    <row r="1034" spans="1:14" ht="14.4">
      <c r="A1034" s="3">
        <v>13367</v>
      </c>
      <c r="B1034" s="3">
        <v>13368</v>
      </c>
      <c r="C1034" s="3">
        <v>4086</v>
      </c>
      <c r="D1034" s="3" t="s">
        <v>390</v>
      </c>
      <c r="E1034" s="3" t="s">
        <v>676</v>
      </c>
      <c r="F1034" s="3">
        <v>8230</v>
      </c>
      <c r="G1034" s="3" t="s">
        <v>404</v>
      </c>
      <c r="H1034" s="3" t="s">
        <v>38</v>
      </c>
      <c r="I1034" s="3">
        <v>0</v>
      </c>
      <c r="J1034" s="3">
        <v>0</v>
      </c>
      <c r="K1034" s="3">
        <v>0</v>
      </c>
      <c r="L1034" s="3">
        <v>49100</v>
      </c>
      <c r="M1034" s="3">
        <v>0</v>
      </c>
      <c r="N1034" s="3">
        <v>0</v>
      </c>
    </row>
    <row r="1035" spans="1:14" ht="14.4">
      <c r="A1035" s="3">
        <v>13367</v>
      </c>
      <c r="B1035" s="3">
        <v>13368</v>
      </c>
      <c r="C1035" s="3">
        <v>4086</v>
      </c>
      <c r="D1035" s="3" t="s">
        <v>390</v>
      </c>
      <c r="E1035" s="3" t="s">
        <v>677</v>
      </c>
      <c r="F1035" s="3">
        <v>7757</v>
      </c>
      <c r="G1035" s="3" t="s">
        <v>392</v>
      </c>
      <c r="H1035" s="3" t="s">
        <v>38</v>
      </c>
      <c r="I1035" s="3">
        <v>2077442</v>
      </c>
      <c r="J1035" s="3">
        <v>1880401</v>
      </c>
      <c r="K1035" s="3">
        <v>197041</v>
      </c>
      <c r="L1035" s="3">
        <v>112000</v>
      </c>
      <c r="M1035" s="3">
        <v>95900</v>
      </c>
      <c r="N1035" s="3">
        <v>3500</v>
      </c>
    </row>
    <row r="1036" spans="1:14" ht="14.4">
      <c r="A1036" s="3">
        <v>13367</v>
      </c>
      <c r="B1036" s="3">
        <v>13368</v>
      </c>
      <c r="C1036" s="3">
        <v>4086</v>
      </c>
      <c r="D1036" s="3" t="s">
        <v>390</v>
      </c>
      <c r="E1036" s="3" t="s">
        <v>267</v>
      </c>
      <c r="F1036" s="3">
        <v>11572</v>
      </c>
      <c r="G1036" s="3" t="s">
        <v>20</v>
      </c>
      <c r="H1036" s="3" t="s">
        <v>21</v>
      </c>
      <c r="I1036" s="3">
        <v>67263</v>
      </c>
      <c r="J1036" s="3">
        <v>67263</v>
      </c>
      <c r="K1036" s="3">
        <v>0</v>
      </c>
      <c r="L1036" s="3">
        <v>0</v>
      </c>
      <c r="M1036" s="3">
        <v>0</v>
      </c>
      <c r="N1036" s="3">
        <v>0</v>
      </c>
    </row>
    <row r="1037" spans="1:14" ht="14.4">
      <c r="A1037" s="3">
        <v>13367</v>
      </c>
      <c r="B1037" s="3">
        <v>13368</v>
      </c>
      <c r="C1037" s="3">
        <v>4086</v>
      </c>
      <c r="D1037" s="3" t="s">
        <v>390</v>
      </c>
      <c r="E1037" s="3" t="s">
        <v>678</v>
      </c>
      <c r="F1037" s="3">
        <v>8857</v>
      </c>
      <c r="G1037" s="3" t="s">
        <v>406</v>
      </c>
      <c r="H1037" s="3" t="s">
        <v>38</v>
      </c>
      <c r="I1037" s="3">
        <v>195870</v>
      </c>
      <c r="J1037" s="3">
        <v>95610</v>
      </c>
      <c r="K1037" s="3">
        <v>100260</v>
      </c>
      <c r="L1037" s="3">
        <v>14000</v>
      </c>
      <c r="M1037" s="3">
        <v>0</v>
      </c>
      <c r="N1037" s="3">
        <v>14000</v>
      </c>
    </row>
    <row r="1038" spans="1:14" ht="14.4">
      <c r="A1038" s="3">
        <v>13367</v>
      </c>
      <c r="B1038" s="3">
        <v>13368</v>
      </c>
      <c r="C1038" s="3">
        <v>4086</v>
      </c>
      <c r="D1038" s="3" t="s">
        <v>390</v>
      </c>
      <c r="E1038" s="3" t="s">
        <v>51</v>
      </c>
      <c r="F1038" s="3">
        <v>7050</v>
      </c>
      <c r="G1038" s="3" t="s">
        <v>428</v>
      </c>
      <c r="H1038" s="3" t="s">
        <v>38</v>
      </c>
      <c r="I1038" s="3">
        <v>8454</v>
      </c>
      <c r="J1038" s="3">
        <v>0</v>
      </c>
      <c r="K1038" s="3">
        <v>8454</v>
      </c>
      <c r="L1038" s="3">
        <v>59100</v>
      </c>
      <c r="M1038" s="3">
        <v>0</v>
      </c>
      <c r="N1038" s="3">
        <v>7500</v>
      </c>
    </row>
    <row r="1039" spans="1:14" ht="14.4">
      <c r="A1039" s="3">
        <v>13367</v>
      </c>
      <c r="B1039" s="3">
        <v>13368</v>
      </c>
      <c r="C1039" s="3">
        <v>4086</v>
      </c>
      <c r="D1039" s="3" t="s">
        <v>390</v>
      </c>
      <c r="E1039" s="3" t="s">
        <v>679</v>
      </c>
      <c r="F1039" s="3">
        <v>8751</v>
      </c>
      <c r="G1039" s="3" t="s">
        <v>402</v>
      </c>
      <c r="H1039" s="3" t="s">
        <v>38</v>
      </c>
      <c r="I1039" s="3">
        <v>3504444</v>
      </c>
      <c r="J1039" s="3">
        <v>3476814</v>
      </c>
      <c r="K1039" s="3">
        <v>27630</v>
      </c>
      <c r="L1039" s="3">
        <v>1497600</v>
      </c>
      <c r="M1039" s="3">
        <v>1487600</v>
      </c>
      <c r="N1039" s="3">
        <v>10000</v>
      </c>
    </row>
    <row r="1040" spans="1:14" ht="14.4">
      <c r="A1040" s="3">
        <v>13367</v>
      </c>
      <c r="B1040" s="3">
        <v>13368</v>
      </c>
      <c r="C1040" s="3">
        <v>4086</v>
      </c>
      <c r="D1040" s="3" t="s">
        <v>390</v>
      </c>
      <c r="E1040" s="3" t="s">
        <v>680</v>
      </c>
      <c r="F1040" s="3">
        <v>8751</v>
      </c>
      <c r="G1040" s="3" t="s">
        <v>428</v>
      </c>
      <c r="H1040" s="3" t="s">
        <v>38</v>
      </c>
      <c r="I1040" s="3">
        <v>281009</v>
      </c>
      <c r="J1040" s="3">
        <v>276909</v>
      </c>
      <c r="K1040" s="3">
        <v>4100</v>
      </c>
      <c r="L1040" s="3">
        <v>0</v>
      </c>
      <c r="M1040" s="3">
        <v>0</v>
      </c>
      <c r="N1040" s="3">
        <v>0</v>
      </c>
    </row>
    <row r="1041" spans="1:14" ht="14.4">
      <c r="A1041" s="3">
        <v>13367</v>
      </c>
      <c r="B1041" s="3">
        <v>13368</v>
      </c>
      <c r="C1041" s="3">
        <v>4086</v>
      </c>
      <c r="D1041" s="3" t="s">
        <v>390</v>
      </c>
      <c r="E1041" s="3" t="s">
        <v>680</v>
      </c>
      <c r="F1041" s="3">
        <v>875</v>
      </c>
      <c r="G1041" s="3" t="s">
        <v>402</v>
      </c>
      <c r="H1041" s="3" t="s">
        <v>38</v>
      </c>
      <c r="I1041" s="3">
        <v>335032</v>
      </c>
      <c r="J1041" s="3">
        <v>304732</v>
      </c>
      <c r="K1041" s="3">
        <v>30300</v>
      </c>
      <c r="L1041" s="3">
        <v>0</v>
      </c>
      <c r="M1041" s="3">
        <v>0</v>
      </c>
      <c r="N1041" s="3">
        <v>0</v>
      </c>
    </row>
    <row r="1042" spans="1:14" ht="14.4">
      <c r="A1042" s="3">
        <v>13367</v>
      </c>
      <c r="B1042" s="3">
        <v>13368</v>
      </c>
      <c r="C1042" s="3">
        <v>4086</v>
      </c>
      <c r="D1042" s="3" t="s">
        <v>390</v>
      </c>
      <c r="E1042" s="3" t="s">
        <v>680</v>
      </c>
      <c r="F1042" s="3">
        <v>8751</v>
      </c>
      <c r="G1042" s="3" t="s">
        <v>402</v>
      </c>
      <c r="H1042" s="3" t="s">
        <v>38</v>
      </c>
      <c r="I1042" s="3">
        <v>12928557</v>
      </c>
      <c r="J1042" s="3">
        <v>10822263</v>
      </c>
      <c r="K1042" s="3">
        <v>2106294</v>
      </c>
      <c r="L1042" s="3">
        <v>2849900</v>
      </c>
      <c r="M1042" s="3">
        <v>2293000</v>
      </c>
      <c r="N1042" s="3">
        <v>422200</v>
      </c>
    </row>
    <row r="1043" spans="1:14" ht="14.4">
      <c r="A1043" s="3">
        <v>13367</v>
      </c>
      <c r="B1043" s="3">
        <v>13368</v>
      </c>
      <c r="C1043" s="3">
        <v>4086</v>
      </c>
      <c r="D1043" s="3" t="s">
        <v>390</v>
      </c>
      <c r="E1043" s="3" t="s">
        <v>680</v>
      </c>
      <c r="F1043" s="3">
        <v>8753</v>
      </c>
      <c r="G1043" s="3" t="s">
        <v>402</v>
      </c>
      <c r="H1043" s="3" t="s">
        <v>38</v>
      </c>
      <c r="I1043" s="3">
        <v>256197</v>
      </c>
      <c r="J1043" s="3">
        <v>136441</v>
      </c>
      <c r="K1043" s="3">
        <v>119756</v>
      </c>
      <c r="L1043" s="3">
        <v>0</v>
      </c>
      <c r="M1043" s="3">
        <v>0</v>
      </c>
      <c r="N1043" s="3">
        <v>0</v>
      </c>
    </row>
    <row r="1044" spans="1:14" ht="14.4">
      <c r="A1044" s="3">
        <v>13367</v>
      </c>
      <c r="B1044" s="3">
        <v>13368</v>
      </c>
      <c r="C1044" s="3">
        <v>4086</v>
      </c>
      <c r="D1044" s="3" t="s">
        <v>390</v>
      </c>
      <c r="E1044" s="3" t="s">
        <v>680</v>
      </c>
      <c r="F1044" s="3">
        <v>8755</v>
      </c>
      <c r="G1044" s="3" t="s">
        <v>402</v>
      </c>
      <c r="H1044" s="3" t="s">
        <v>38</v>
      </c>
      <c r="I1044" s="3">
        <v>277562</v>
      </c>
      <c r="J1044" s="3">
        <v>221562</v>
      </c>
      <c r="K1044" s="3">
        <v>56000</v>
      </c>
      <c r="L1044" s="3">
        <v>0</v>
      </c>
      <c r="M1044" s="3">
        <v>0</v>
      </c>
      <c r="N1044" s="3">
        <v>0</v>
      </c>
    </row>
    <row r="1045" spans="1:14" ht="14.4">
      <c r="A1045" s="3">
        <v>13367</v>
      </c>
      <c r="B1045" s="3">
        <v>13368</v>
      </c>
      <c r="C1045" s="3">
        <v>4086</v>
      </c>
      <c r="D1045" s="3" t="s">
        <v>390</v>
      </c>
      <c r="E1045" s="3" t="s">
        <v>681</v>
      </c>
      <c r="F1045" s="3">
        <v>8065</v>
      </c>
      <c r="G1045" s="3" t="s">
        <v>443</v>
      </c>
      <c r="H1045" s="3" t="s">
        <v>38</v>
      </c>
      <c r="I1045" s="3">
        <v>0</v>
      </c>
      <c r="J1045" s="3">
        <v>0</v>
      </c>
      <c r="K1045" s="3">
        <v>0</v>
      </c>
      <c r="L1045" s="3">
        <v>54600</v>
      </c>
      <c r="M1045" s="3">
        <v>0</v>
      </c>
      <c r="N1045" s="3">
        <v>0</v>
      </c>
    </row>
    <row r="1046" spans="1:14" ht="14.4">
      <c r="A1046" s="3">
        <v>13367</v>
      </c>
      <c r="B1046" s="3">
        <v>13368</v>
      </c>
      <c r="C1046" s="3">
        <v>4086</v>
      </c>
      <c r="D1046" s="3" t="s">
        <v>390</v>
      </c>
      <c r="E1046" s="3" t="s">
        <v>682</v>
      </c>
      <c r="F1046" s="3">
        <v>7652</v>
      </c>
      <c r="G1046" s="3" t="s">
        <v>76</v>
      </c>
      <c r="H1046" s="3" t="s">
        <v>38</v>
      </c>
      <c r="I1046" s="3">
        <v>1601</v>
      </c>
      <c r="J1046" s="3">
        <v>1601</v>
      </c>
      <c r="K1046" s="3">
        <v>0</v>
      </c>
      <c r="L1046" s="3">
        <v>31600</v>
      </c>
      <c r="M1046" s="3">
        <v>0</v>
      </c>
      <c r="N1046" s="3">
        <v>0</v>
      </c>
    </row>
    <row r="1047" spans="1:14" ht="14.4">
      <c r="A1047" s="3">
        <v>13367</v>
      </c>
      <c r="B1047" s="3">
        <v>13368</v>
      </c>
      <c r="C1047" s="3">
        <v>4086</v>
      </c>
      <c r="D1047" s="3" t="s">
        <v>390</v>
      </c>
      <c r="E1047" s="3" t="s">
        <v>683</v>
      </c>
      <c r="F1047" s="3">
        <v>8859</v>
      </c>
      <c r="G1047" s="3" t="s">
        <v>406</v>
      </c>
      <c r="H1047" s="3" t="s">
        <v>38</v>
      </c>
      <c r="I1047" s="3">
        <v>3515404</v>
      </c>
      <c r="J1047" s="3">
        <v>3311714</v>
      </c>
      <c r="K1047" s="3">
        <v>203690</v>
      </c>
      <c r="L1047" s="3">
        <v>1304200</v>
      </c>
      <c r="M1047" s="3">
        <v>1130500</v>
      </c>
      <c r="N1047" s="3">
        <v>70300</v>
      </c>
    </row>
    <row r="1048" spans="1:14" ht="14.4">
      <c r="A1048" s="3">
        <v>13367</v>
      </c>
      <c r="B1048" s="3">
        <v>13368</v>
      </c>
      <c r="C1048" s="3">
        <v>4086</v>
      </c>
      <c r="D1048" s="3" t="s">
        <v>390</v>
      </c>
      <c r="E1048" s="3" t="s">
        <v>684</v>
      </c>
      <c r="F1048" s="3">
        <v>7054</v>
      </c>
      <c r="G1048" s="3" t="s">
        <v>441</v>
      </c>
      <c r="H1048" s="3" t="s">
        <v>38</v>
      </c>
      <c r="I1048" s="3">
        <v>21455</v>
      </c>
      <c r="J1048" s="3">
        <v>17955</v>
      </c>
      <c r="K1048" s="3">
        <v>3500</v>
      </c>
      <c r="L1048" s="3">
        <v>0</v>
      </c>
      <c r="M1048" s="3">
        <v>0</v>
      </c>
      <c r="N1048" s="3">
        <v>0</v>
      </c>
    </row>
    <row r="1049" spans="1:14" ht="14.4">
      <c r="A1049" s="3">
        <v>13367</v>
      </c>
      <c r="B1049" s="3">
        <v>13368</v>
      </c>
      <c r="C1049" s="3">
        <v>4086</v>
      </c>
      <c r="D1049" s="3" t="s">
        <v>390</v>
      </c>
      <c r="E1049" s="3" t="s">
        <v>429</v>
      </c>
      <c r="F1049" s="3">
        <v>7055</v>
      </c>
      <c r="G1049" s="3" t="s">
        <v>429</v>
      </c>
      <c r="H1049" s="3" t="s">
        <v>38</v>
      </c>
      <c r="I1049" s="3">
        <v>1455669</v>
      </c>
      <c r="J1049" s="3">
        <v>222969</v>
      </c>
      <c r="K1049" s="3">
        <v>1232700</v>
      </c>
      <c r="L1049" s="3">
        <v>688800</v>
      </c>
      <c r="M1049" s="3">
        <v>66100</v>
      </c>
      <c r="N1049" s="3">
        <v>622700</v>
      </c>
    </row>
    <row r="1050" spans="1:14" ht="14.4">
      <c r="A1050" s="3">
        <v>13367</v>
      </c>
      <c r="B1050" s="3">
        <v>13368</v>
      </c>
      <c r="C1050" s="3">
        <v>4086</v>
      </c>
      <c r="D1050" s="3" t="s">
        <v>390</v>
      </c>
      <c r="E1050" s="3" t="s">
        <v>685</v>
      </c>
      <c r="F1050" s="3">
        <v>7501</v>
      </c>
      <c r="G1050" s="3" t="s">
        <v>429</v>
      </c>
      <c r="H1050" s="3" t="s">
        <v>38</v>
      </c>
      <c r="I1050" s="3">
        <v>127086</v>
      </c>
      <c r="J1050" s="3">
        <v>110486</v>
      </c>
      <c r="K1050" s="3">
        <v>16600</v>
      </c>
      <c r="L1050" s="3">
        <v>0</v>
      </c>
      <c r="M1050" s="3">
        <v>0</v>
      </c>
      <c r="N1050" s="3">
        <v>0</v>
      </c>
    </row>
    <row r="1051" spans="1:14" ht="14.4">
      <c r="A1051" s="3">
        <v>13367</v>
      </c>
      <c r="B1051" s="3">
        <v>13368</v>
      </c>
      <c r="C1051" s="3">
        <v>4086</v>
      </c>
      <c r="D1051" s="3" t="s">
        <v>390</v>
      </c>
      <c r="E1051" s="3" t="s">
        <v>685</v>
      </c>
      <c r="F1051" s="3">
        <v>7502</v>
      </c>
      <c r="G1051" s="3" t="s">
        <v>429</v>
      </c>
      <c r="H1051" s="3" t="s">
        <v>38</v>
      </c>
      <c r="I1051" s="3">
        <v>7195</v>
      </c>
      <c r="J1051" s="3">
        <v>4195</v>
      </c>
      <c r="K1051" s="3">
        <v>3000</v>
      </c>
      <c r="L1051" s="3">
        <v>1000</v>
      </c>
      <c r="M1051" s="3">
        <v>1000</v>
      </c>
      <c r="N1051" s="3">
        <v>0</v>
      </c>
    </row>
    <row r="1052" spans="1:14" ht="14.4">
      <c r="A1052" s="3">
        <v>13367</v>
      </c>
      <c r="B1052" s="3">
        <v>13368</v>
      </c>
      <c r="C1052" s="3">
        <v>4086</v>
      </c>
      <c r="D1052" s="3" t="s">
        <v>390</v>
      </c>
      <c r="E1052" s="3" t="s">
        <v>685</v>
      </c>
      <c r="F1052" s="3">
        <v>7505</v>
      </c>
      <c r="G1052" s="3" t="s">
        <v>429</v>
      </c>
      <c r="H1052" s="3" t="s">
        <v>38</v>
      </c>
      <c r="I1052" s="3">
        <v>14766</v>
      </c>
      <c r="J1052" s="3">
        <v>0</v>
      </c>
      <c r="K1052" s="3">
        <v>14766</v>
      </c>
      <c r="L1052" s="3">
        <v>14100</v>
      </c>
      <c r="M1052" s="3">
        <v>0</v>
      </c>
      <c r="N1052" s="3">
        <v>9100</v>
      </c>
    </row>
    <row r="1053" spans="1:14" ht="14.4">
      <c r="A1053" s="3">
        <v>13367</v>
      </c>
      <c r="B1053" s="3">
        <v>13368</v>
      </c>
      <c r="C1053" s="3">
        <v>4086</v>
      </c>
      <c r="D1053" s="3" t="s">
        <v>390</v>
      </c>
      <c r="E1053" s="3" t="s">
        <v>685</v>
      </c>
      <c r="F1053" s="3">
        <v>7513</v>
      </c>
      <c r="G1053" s="3" t="s">
        <v>429</v>
      </c>
      <c r="H1053" s="3" t="s">
        <v>38</v>
      </c>
      <c r="I1053" s="3">
        <v>16237</v>
      </c>
      <c r="J1053" s="3">
        <v>16237</v>
      </c>
      <c r="K1053" s="3">
        <v>0</v>
      </c>
      <c r="L1053" s="3">
        <v>15800</v>
      </c>
      <c r="M1053" s="3">
        <v>15800</v>
      </c>
      <c r="N1053" s="3">
        <v>0</v>
      </c>
    </row>
    <row r="1054" spans="1:14" ht="14.4">
      <c r="A1054" s="3">
        <v>13367</v>
      </c>
      <c r="B1054" s="3">
        <v>13368</v>
      </c>
      <c r="C1054" s="3">
        <v>4086</v>
      </c>
      <c r="D1054" s="3" t="s">
        <v>390</v>
      </c>
      <c r="E1054" s="3" t="s">
        <v>685</v>
      </c>
      <c r="F1054" s="3">
        <v>7514</v>
      </c>
      <c r="G1054" s="3" t="s">
        <v>429</v>
      </c>
      <c r="H1054" s="3" t="s">
        <v>38</v>
      </c>
      <c r="I1054" s="3">
        <v>255006</v>
      </c>
      <c r="J1054" s="3">
        <v>255006</v>
      </c>
      <c r="K1054" s="3">
        <v>0</v>
      </c>
      <c r="L1054" s="3">
        <v>24400</v>
      </c>
      <c r="M1054" s="3">
        <v>24400</v>
      </c>
      <c r="N1054" s="3">
        <v>0</v>
      </c>
    </row>
    <row r="1055" spans="1:14" ht="14.4">
      <c r="A1055" s="3">
        <v>13367</v>
      </c>
      <c r="B1055" s="3">
        <v>13368</v>
      </c>
      <c r="C1055" s="3">
        <v>4086</v>
      </c>
      <c r="D1055" s="3" t="s">
        <v>390</v>
      </c>
      <c r="E1055" s="3" t="s">
        <v>685</v>
      </c>
      <c r="F1055" s="3">
        <v>7524</v>
      </c>
      <c r="G1055" s="3" t="s">
        <v>429</v>
      </c>
      <c r="H1055" s="3" t="s">
        <v>38</v>
      </c>
      <c r="I1055" s="3">
        <v>425553</v>
      </c>
      <c r="J1055" s="3">
        <v>134653</v>
      </c>
      <c r="K1055" s="3">
        <v>290900</v>
      </c>
      <c r="L1055" s="3">
        <v>0</v>
      </c>
      <c r="M1055" s="3">
        <v>0</v>
      </c>
      <c r="N1055" s="3">
        <v>0</v>
      </c>
    </row>
    <row r="1056" spans="1:14" ht="14.4">
      <c r="A1056" s="3">
        <v>13367</v>
      </c>
      <c r="B1056" s="3">
        <v>13368</v>
      </c>
      <c r="C1056" s="3">
        <v>4086</v>
      </c>
      <c r="D1056" s="3" t="s">
        <v>390</v>
      </c>
      <c r="E1056" s="3" t="s">
        <v>685</v>
      </c>
      <c r="F1056" s="3">
        <v>7544</v>
      </c>
      <c r="G1056" s="3" t="s">
        <v>429</v>
      </c>
      <c r="H1056" s="3" t="s">
        <v>38</v>
      </c>
      <c r="I1056" s="3">
        <v>14900</v>
      </c>
      <c r="J1056" s="3">
        <v>0</v>
      </c>
      <c r="K1056" s="3">
        <v>14900</v>
      </c>
      <c r="L1056" s="3">
        <v>0</v>
      </c>
      <c r="M1056" s="3">
        <v>0</v>
      </c>
      <c r="N1056" s="3">
        <v>0</v>
      </c>
    </row>
    <row r="1057" spans="1:14" ht="14.4">
      <c r="A1057" s="3">
        <v>13367</v>
      </c>
      <c r="B1057" s="3">
        <v>13368</v>
      </c>
      <c r="C1057" s="3">
        <v>4086</v>
      </c>
      <c r="D1057" s="3" t="s">
        <v>390</v>
      </c>
      <c r="E1057" s="3" t="s">
        <v>686</v>
      </c>
      <c r="F1057" s="3">
        <v>8008</v>
      </c>
      <c r="G1057" s="3" t="s">
        <v>402</v>
      </c>
      <c r="H1057" s="3" t="s">
        <v>38</v>
      </c>
      <c r="I1057" s="3">
        <v>59367</v>
      </c>
      <c r="J1057" s="3">
        <v>47767</v>
      </c>
      <c r="K1057" s="3">
        <v>11600</v>
      </c>
      <c r="L1057" s="3">
        <v>0</v>
      </c>
      <c r="M1057" s="3">
        <v>0</v>
      </c>
      <c r="N1057" s="3">
        <v>0</v>
      </c>
    </row>
    <row r="1058" spans="1:14" ht="14.4">
      <c r="A1058" s="3">
        <v>13367</v>
      </c>
      <c r="B1058" s="3">
        <v>13368</v>
      </c>
      <c r="C1058" s="3">
        <v>4086</v>
      </c>
      <c r="D1058" s="3" t="s">
        <v>390</v>
      </c>
      <c r="E1058" s="3" t="s">
        <v>687</v>
      </c>
      <c r="F1058" s="3">
        <v>8008</v>
      </c>
      <c r="G1058" s="3" t="s">
        <v>402</v>
      </c>
      <c r="H1058" s="3" t="s">
        <v>38</v>
      </c>
      <c r="I1058" s="3">
        <v>41737</v>
      </c>
      <c r="J1058" s="3">
        <v>32337</v>
      </c>
      <c r="K1058" s="3">
        <v>9400</v>
      </c>
      <c r="L1058" s="3">
        <v>41800</v>
      </c>
      <c r="M1058" s="3">
        <v>32400</v>
      </c>
      <c r="N1058" s="3">
        <v>9400</v>
      </c>
    </row>
    <row r="1059" spans="1:14" ht="14.4">
      <c r="A1059" s="3">
        <v>13367</v>
      </c>
      <c r="B1059" s="3">
        <v>13368</v>
      </c>
      <c r="C1059" s="3">
        <v>4086</v>
      </c>
      <c r="D1059" s="3" t="s">
        <v>390</v>
      </c>
      <c r="E1059" s="3" t="s">
        <v>688</v>
      </c>
      <c r="F1059" s="3">
        <v>8751</v>
      </c>
      <c r="G1059" s="3" t="s">
        <v>402</v>
      </c>
      <c r="H1059" s="3" t="s">
        <v>38</v>
      </c>
      <c r="I1059" s="3">
        <v>66329</v>
      </c>
      <c r="J1059" s="3">
        <v>64004</v>
      </c>
      <c r="K1059" s="3">
        <v>2325</v>
      </c>
      <c r="L1059" s="3">
        <v>0</v>
      </c>
      <c r="M1059" s="3">
        <v>0</v>
      </c>
      <c r="N1059" s="3">
        <v>0</v>
      </c>
    </row>
    <row r="1060" spans="1:14" ht="14.4">
      <c r="A1060" s="3">
        <v>13367</v>
      </c>
      <c r="B1060" s="3">
        <v>13368</v>
      </c>
      <c r="C1060" s="3">
        <v>4086</v>
      </c>
      <c r="D1060" s="3" t="s">
        <v>390</v>
      </c>
      <c r="E1060" s="3" t="s">
        <v>689</v>
      </c>
      <c r="F1060" s="3">
        <v>8534</v>
      </c>
      <c r="G1060" s="3" t="s">
        <v>496</v>
      </c>
      <c r="H1060" s="3" t="s">
        <v>38</v>
      </c>
      <c r="I1060" s="3">
        <v>76928</v>
      </c>
      <c r="J1060" s="3">
        <v>70368</v>
      </c>
      <c r="K1060" s="3">
        <v>6560</v>
      </c>
      <c r="L1060" s="3">
        <v>383400</v>
      </c>
      <c r="M1060" s="3">
        <v>38200</v>
      </c>
      <c r="N1060" s="3">
        <v>0</v>
      </c>
    </row>
    <row r="1061" spans="1:14" ht="14.4">
      <c r="A1061" s="3">
        <v>13367</v>
      </c>
      <c r="B1061" s="3">
        <v>13368</v>
      </c>
      <c r="C1061" s="3">
        <v>4086</v>
      </c>
      <c r="D1061" s="3" t="s">
        <v>390</v>
      </c>
      <c r="E1061" s="3" t="s">
        <v>690</v>
      </c>
      <c r="F1061" s="3">
        <v>8069</v>
      </c>
      <c r="G1061" s="3" t="s">
        <v>691</v>
      </c>
      <c r="H1061" s="3" t="s">
        <v>38</v>
      </c>
      <c r="I1061" s="3">
        <v>7391</v>
      </c>
      <c r="J1061" s="3">
        <v>2011</v>
      </c>
      <c r="K1061" s="3">
        <v>5380</v>
      </c>
      <c r="L1061" s="3">
        <v>0</v>
      </c>
      <c r="M1061" s="3">
        <v>0</v>
      </c>
      <c r="N1061" s="3">
        <v>0</v>
      </c>
    </row>
    <row r="1062" spans="1:14" ht="14.4">
      <c r="A1062" s="3">
        <v>13367</v>
      </c>
      <c r="B1062" s="3">
        <v>13368</v>
      </c>
      <c r="C1062" s="3">
        <v>4086</v>
      </c>
      <c r="D1062" s="3" t="s">
        <v>390</v>
      </c>
      <c r="E1062" s="3" t="s">
        <v>692</v>
      </c>
      <c r="F1062" s="3">
        <v>8070</v>
      </c>
      <c r="G1062" s="3" t="s">
        <v>691</v>
      </c>
      <c r="H1062" s="3" t="s">
        <v>38</v>
      </c>
      <c r="I1062" s="3">
        <v>176225</v>
      </c>
      <c r="J1062" s="3">
        <v>91025</v>
      </c>
      <c r="K1062" s="3">
        <v>85200</v>
      </c>
      <c r="L1062" s="3">
        <v>0</v>
      </c>
      <c r="M1062" s="3">
        <v>0</v>
      </c>
      <c r="N1062" s="3">
        <v>0</v>
      </c>
    </row>
    <row r="1063" spans="1:14" ht="14.4">
      <c r="A1063" s="3">
        <v>13367</v>
      </c>
      <c r="B1063" s="3">
        <v>13368</v>
      </c>
      <c r="C1063" s="3">
        <v>4086</v>
      </c>
      <c r="D1063" s="3" t="s">
        <v>390</v>
      </c>
      <c r="E1063" s="3" t="s">
        <v>693</v>
      </c>
      <c r="F1063" s="3">
        <v>8840</v>
      </c>
      <c r="G1063" s="3" t="s">
        <v>406</v>
      </c>
      <c r="H1063" s="3" t="s">
        <v>38</v>
      </c>
      <c r="I1063" s="3">
        <v>196015</v>
      </c>
      <c r="J1063" s="3">
        <v>143226</v>
      </c>
      <c r="K1063" s="3">
        <v>52789</v>
      </c>
      <c r="L1063" s="3">
        <v>211100</v>
      </c>
      <c r="M1063" s="3">
        <v>143300</v>
      </c>
      <c r="N1063" s="3">
        <v>52800</v>
      </c>
    </row>
    <row r="1064" spans="1:14" ht="14.4">
      <c r="A1064" s="3">
        <v>13367</v>
      </c>
      <c r="B1064" s="3">
        <v>13368</v>
      </c>
      <c r="C1064" s="3">
        <v>4086</v>
      </c>
      <c r="D1064" s="3" t="s">
        <v>390</v>
      </c>
      <c r="E1064" s="3" t="s">
        <v>693</v>
      </c>
      <c r="F1064" s="3">
        <v>8861</v>
      </c>
      <c r="G1064" s="3" t="s">
        <v>406</v>
      </c>
      <c r="H1064" s="3" t="s">
        <v>38</v>
      </c>
      <c r="I1064" s="3">
        <v>2141131</v>
      </c>
      <c r="J1064" s="3">
        <v>1985198</v>
      </c>
      <c r="K1064" s="3">
        <v>155933</v>
      </c>
      <c r="L1064" s="3">
        <v>794000</v>
      </c>
      <c r="M1064" s="3">
        <v>791300</v>
      </c>
      <c r="N1064" s="3">
        <v>2700</v>
      </c>
    </row>
    <row r="1065" spans="1:14" ht="14.4">
      <c r="A1065" s="3">
        <v>13367</v>
      </c>
      <c r="B1065" s="3">
        <v>13368</v>
      </c>
      <c r="C1065" s="3">
        <v>4086</v>
      </c>
      <c r="D1065" s="3" t="s">
        <v>390</v>
      </c>
      <c r="E1065" s="3" t="s">
        <v>694</v>
      </c>
      <c r="F1065" s="3">
        <v>8865</v>
      </c>
      <c r="G1065" s="3" t="s">
        <v>398</v>
      </c>
      <c r="H1065" s="3" t="s">
        <v>38</v>
      </c>
      <c r="I1065" s="3">
        <v>23324</v>
      </c>
      <c r="J1065" s="3">
        <v>23324</v>
      </c>
      <c r="K1065" s="3">
        <v>0</v>
      </c>
      <c r="L1065" s="3">
        <v>14000</v>
      </c>
      <c r="M1065" s="3">
        <v>14000</v>
      </c>
      <c r="N1065" s="3">
        <v>0</v>
      </c>
    </row>
    <row r="1066" spans="1:14" ht="14.4">
      <c r="A1066" s="3">
        <v>13367</v>
      </c>
      <c r="B1066" s="3">
        <v>13368</v>
      </c>
      <c r="C1066" s="3">
        <v>4086</v>
      </c>
      <c r="D1066" s="3" t="s">
        <v>390</v>
      </c>
      <c r="E1066" s="3" t="s">
        <v>695</v>
      </c>
      <c r="F1066" s="3">
        <v>8741</v>
      </c>
      <c r="G1066" s="3" t="s">
        <v>402</v>
      </c>
      <c r="H1066" s="3" t="s">
        <v>38</v>
      </c>
      <c r="I1066" s="3">
        <v>220121</v>
      </c>
      <c r="J1066" s="3">
        <v>202047</v>
      </c>
      <c r="K1066" s="3">
        <v>18074</v>
      </c>
      <c r="L1066" s="3">
        <v>0</v>
      </c>
      <c r="M1066" s="3">
        <v>0</v>
      </c>
      <c r="N1066" s="3">
        <v>0</v>
      </c>
    </row>
    <row r="1067" spans="1:14" ht="14.4">
      <c r="A1067" s="3">
        <v>13367</v>
      </c>
      <c r="B1067" s="3">
        <v>13368</v>
      </c>
      <c r="C1067" s="3">
        <v>4086</v>
      </c>
      <c r="D1067" s="3" t="s">
        <v>390</v>
      </c>
      <c r="E1067" s="3" t="s">
        <v>696</v>
      </c>
      <c r="F1067" s="3">
        <v>8854</v>
      </c>
      <c r="G1067" s="3" t="s">
        <v>37</v>
      </c>
      <c r="H1067" s="3" t="s">
        <v>38</v>
      </c>
      <c r="I1067" s="3">
        <v>200000</v>
      </c>
      <c r="J1067" s="3">
        <v>0</v>
      </c>
      <c r="K1067" s="3">
        <v>200000</v>
      </c>
      <c r="L1067" s="3">
        <v>0</v>
      </c>
      <c r="M1067" s="3">
        <v>0</v>
      </c>
      <c r="N1067" s="3">
        <v>0</v>
      </c>
    </row>
    <row r="1068" spans="1:14" ht="14.4">
      <c r="A1068" s="3">
        <v>13367</v>
      </c>
      <c r="B1068" s="3">
        <v>13368</v>
      </c>
      <c r="C1068" s="3">
        <v>4086</v>
      </c>
      <c r="D1068" s="3" t="s">
        <v>390</v>
      </c>
      <c r="E1068" s="3" t="s">
        <v>696</v>
      </c>
      <c r="F1068" s="3">
        <v>8854</v>
      </c>
      <c r="G1068" s="3" t="s">
        <v>406</v>
      </c>
      <c r="H1068" s="3" t="s">
        <v>38</v>
      </c>
      <c r="I1068" s="3">
        <v>297410</v>
      </c>
      <c r="J1068" s="3">
        <v>101691</v>
      </c>
      <c r="K1068" s="3">
        <v>195719</v>
      </c>
      <c r="L1068" s="3">
        <v>233100</v>
      </c>
      <c r="M1068" s="3">
        <v>16910.099999999999</v>
      </c>
      <c r="N1068" s="3">
        <v>173889.90</v>
      </c>
    </row>
    <row r="1069" spans="1:14" ht="14.4">
      <c r="A1069" s="3">
        <v>13367</v>
      </c>
      <c r="B1069" s="3">
        <v>13368</v>
      </c>
      <c r="C1069" s="3">
        <v>4086</v>
      </c>
      <c r="D1069" s="3" t="s">
        <v>390</v>
      </c>
      <c r="E1069" s="3" t="s">
        <v>697</v>
      </c>
      <c r="F1069" s="3">
        <v>8867</v>
      </c>
      <c r="G1069" s="3" t="s">
        <v>464</v>
      </c>
      <c r="H1069" s="3" t="s">
        <v>38</v>
      </c>
      <c r="I1069" s="3">
        <v>18288</v>
      </c>
      <c r="J1069" s="3">
        <v>18288</v>
      </c>
      <c r="K1069" s="3">
        <v>0</v>
      </c>
      <c r="L1069" s="3">
        <v>0</v>
      </c>
      <c r="M1069" s="3">
        <v>0</v>
      </c>
      <c r="N1069" s="3">
        <v>0</v>
      </c>
    </row>
    <row r="1070" spans="1:14" ht="14.4">
      <c r="A1070" s="3">
        <v>13367</v>
      </c>
      <c r="B1070" s="3">
        <v>13368</v>
      </c>
      <c r="C1070" s="3">
        <v>4086</v>
      </c>
      <c r="D1070" s="3" t="s">
        <v>390</v>
      </c>
      <c r="E1070" s="3" t="s">
        <v>698</v>
      </c>
      <c r="F1070" s="3">
        <v>7060</v>
      </c>
      <c r="G1070" s="3" t="s">
        <v>435</v>
      </c>
      <c r="H1070" s="3" t="s">
        <v>38</v>
      </c>
      <c r="I1070" s="3">
        <v>261532</v>
      </c>
      <c r="J1070" s="3">
        <v>186232</v>
      </c>
      <c r="K1070" s="3">
        <v>75300</v>
      </c>
      <c r="L1070" s="3">
        <v>185800</v>
      </c>
      <c r="M1070" s="3">
        <v>39100</v>
      </c>
      <c r="N1070" s="3">
        <v>1000</v>
      </c>
    </row>
    <row r="1071" spans="1:14" ht="14.4">
      <c r="A1071" s="3">
        <v>13367</v>
      </c>
      <c r="B1071" s="3">
        <v>13368</v>
      </c>
      <c r="C1071" s="3">
        <v>4086</v>
      </c>
      <c r="D1071" s="3" t="s">
        <v>390</v>
      </c>
      <c r="E1071" s="3" t="s">
        <v>698</v>
      </c>
      <c r="F1071" s="3">
        <v>7062</v>
      </c>
      <c r="G1071" s="3" t="s">
        <v>435</v>
      </c>
      <c r="H1071" s="3" t="s">
        <v>38</v>
      </c>
      <c r="I1071" s="3">
        <v>117000</v>
      </c>
      <c r="J1071" s="3">
        <v>0</v>
      </c>
      <c r="K1071" s="3">
        <v>117000</v>
      </c>
      <c r="L1071" s="3">
        <v>0</v>
      </c>
      <c r="M1071" s="3">
        <v>0</v>
      </c>
      <c r="N1071" s="3">
        <v>0</v>
      </c>
    </row>
    <row r="1072" spans="1:14" ht="14.4">
      <c r="A1072" s="3">
        <v>13367</v>
      </c>
      <c r="B1072" s="3">
        <v>13368</v>
      </c>
      <c r="C1072" s="3">
        <v>4086</v>
      </c>
      <c r="D1072" s="3" t="s">
        <v>390</v>
      </c>
      <c r="E1072" s="3" t="s">
        <v>282</v>
      </c>
      <c r="F1072" s="3">
        <v>8232</v>
      </c>
      <c r="G1072" s="3" t="s">
        <v>394</v>
      </c>
      <c r="H1072" s="3" t="s">
        <v>38</v>
      </c>
      <c r="I1072" s="3">
        <v>1677557</v>
      </c>
      <c r="J1072" s="3">
        <v>1287698</v>
      </c>
      <c r="K1072" s="3">
        <v>389859</v>
      </c>
      <c r="L1072" s="3">
        <v>252500</v>
      </c>
      <c r="M1072" s="3">
        <v>70500</v>
      </c>
      <c r="N1072" s="3">
        <v>40400</v>
      </c>
    </row>
    <row r="1073" spans="1:14" ht="14.4">
      <c r="A1073" s="3">
        <v>13367</v>
      </c>
      <c r="B1073" s="3">
        <v>13368</v>
      </c>
      <c r="C1073" s="3">
        <v>4086</v>
      </c>
      <c r="D1073" s="3" t="s">
        <v>390</v>
      </c>
      <c r="E1073" s="3" t="s">
        <v>699</v>
      </c>
      <c r="F1073" s="3">
        <v>8232</v>
      </c>
      <c r="G1073" s="3" t="s">
        <v>394</v>
      </c>
      <c r="H1073" s="3" t="s">
        <v>38</v>
      </c>
      <c r="I1073" s="3">
        <v>0</v>
      </c>
      <c r="J1073" s="3">
        <v>0</v>
      </c>
      <c r="K1073" s="3">
        <v>0</v>
      </c>
      <c r="L1073" s="3">
        <v>71900</v>
      </c>
      <c r="M1073" s="3">
        <v>0</v>
      </c>
      <c r="N1073" s="3">
        <v>0</v>
      </c>
    </row>
    <row r="1074" spans="1:14" ht="14.4">
      <c r="A1074" s="3">
        <v>13367</v>
      </c>
      <c r="B1074" s="3">
        <v>13368</v>
      </c>
      <c r="C1074" s="3">
        <v>4086</v>
      </c>
      <c r="D1074" s="3" t="s">
        <v>390</v>
      </c>
      <c r="E1074" s="3" t="s">
        <v>700</v>
      </c>
      <c r="F1074" s="3">
        <v>8742</v>
      </c>
      <c r="G1074" s="3" t="s">
        <v>402</v>
      </c>
      <c r="H1074" s="3" t="s">
        <v>38</v>
      </c>
      <c r="I1074" s="3">
        <v>151250</v>
      </c>
      <c r="J1074" s="3">
        <v>118250</v>
      </c>
      <c r="K1074" s="3">
        <v>33000</v>
      </c>
      <c r="L1074" s="3">
        <v>0</v>
      </c>
      <c r="M1074" s="3">
        <v>0</v>
      </c>
      <c r="N1074" s="3">
        <v>0</v>
      </c>
    </row>
    <row r="1075" spans="1:14" ht="14.4">
      <c r="A1075" s="3">
        <v>13367</v>
      </c>
      <c r="B1075" s="3">
        <v>13368</v>
      </c>
      <c r="C1075" s="3">
        <v>4086</v>
      </c>
      <c r="D1075" s="3" t="s">
        <v>390</v>
      </c>
      <c r="E1075" s="3" t="s">
        <v>701</v>
      </c>
      <c r="F1075" s="3">
        <v>8742</v>
      </c>
      <c r="G1075" s="3" t="s">
        <v>402</v>
      </c>
      <c r="H1075" s="3" t="s">
        <v>38</v>
      </c>
      <c r="I1075" s="3">
        <v>139465</v>
      </c>
      <c r="J1075" s="3">
        <v>91867</v>
      </c>
      <c r="K1075" s="3">
        <v>47598</v>
      </c>
      <c r="L1075" s="3">
        <v>23200</v>
      </c>
      <c r="M1075" s="3">
        <v>8700</v>
      </c>
      <c r="N1075" s="3">
        <v>0</v>
      </c>
    </row>
    <row r="1076" spans="1:14" ht="14.4">
      <c r="A1076" s="3">
        <v>13367</v>
      </c>
      <c r="B1076" s="3">
        <v>13368</v>
      </c>
      <c r="C1076" s="3">
        <v>4086</v>
      </c>
      <c r="D1076" s="3" t="s">
        <v>390</v>
      </c>
      <c r="E1076" s="3" t="s">
        <v>702</v>
      </c>
      <c r="F1076" s="3">
        <v>8741</v>
      </c>
      <c r="G1076" s="3" t="s">
        <v>402</v>
      </c>
      <c r="H1076" s="3" t="s">
        <v>38</v>
      </c>
      <c r="I1076" s="3">
        <v>217858</v>
      </c>
      <c r="J1076" s="3">
        <v>141558</v>
      </c>
      <c r="K1076" s="3">
        <v>76300</v>
      </c>
      <c r="L1076" s="3">
        <v>204000</v>
      </c>
      <c r="M1076" s="3">
        <v>127700</v>
      </c>
      <c r="N1076" s="3">
        <v>76300</v>
      </c>
    </row>
    <row r="1077" spans="1:14" ht="14.4">
      <c r="A1077" s="3">
        <v>13367</v>
      </c>
      <c r="B1077" s="3">
        <v>13368</v>
      </c>
      <c r="C1077" s="3">
        <v>4086</v>
      </c>
      <c r="D1077" s="3" t="s">
        <v>390</v>
      </c>
      <c r="E1077" s="3" t="s">
        <v>702</v>
      </c>
      <c r="F1077" s="3">
        <v>8742</v>
      </c>
      <c r="G1077" s="3" t="s">
        <v>402</v>
      </c>
      <c r="H1077" s="3" t="s">
        <v>38</v>
      </c>
      <c r="I1077" s="3">
        <v>15729792</v>
      </c>
      <c r="J1077" s="3">
        <v>13839521</v>
      </c>
      <c r="K1077" s="3">
        <v>1890271</v>
      </c>
      <c r="L1077" s="3">
        <v>3308000</v>
      </c>
      <c r="M1077" s="3">
        <v>2498800</v>
      </c>
      <c r="N1077" s="3">
        <v>564700</v>
      </c>
    </row>
    <row r="1078" spans="1:14" ht="14.4">
      <c r="A1078" s="3">
        <v>13367</v>
      </c>
      <c r="B1078" s="3">
        <v>13368</v>
      </c>
      <c r="C1078" s="3">
        <v>4086</v>
      </c>
      <c r="D1078" s="3" t="s">
        <v>390</v>
      </c>
      <c r="E1078" s="3" t="s">
        <v>703</v>
      </c>
      <c r="F1078" s="3">
        <v>8742</v>
      </c>
      <c r="G1078" s="3" t="s">
        <v>402</v>
      </c>
      <c r="H1078" s="3" t="s">
        <v>38</v>
      </c>
      <c r="I1078" s="3">
        <v>2103449</v>
      </c>
      <c r="J1078" s="3">
        <v>1399931</v>
      </c>
      <c r="K1078" s="3">
        <v>703518</v>
      </c>
      <c r="L1078" s="3">
        <v>434900</v>
      </c>
      <c r="M1078" s="3">
        <v>195300</v>
      </c>
      <c r="N1078" s="3">
        <v>209300</v>
      </c>
    </row>
    <row r="1079" spans="1:14" ht="14.4">
      <c r="A1079" s="3">
        <v>13367</v>
      </c>
      <c r="B1079" s="3">
        <v>13368</v>
      </c>
      <c r="C1079" s="3">
        <v>4086</v>
      </c>
      <c r="D1079" s="3" t="s">
        <v>390</v>
      </c>
      <c r="E1079" s="3" t="s">
        <v>704</v>
      </c>
      <c r="F1079" s="3">
        <v>7758</v>
      </c>
      <c r="G1079" s="3" t="s">
        <v>406</v>
      </c>
      <c r="H1079" s="3" t="s">
        <v>38</v>
      </c>
      <c r="I1079" s="3">
        <v>23999</v>
      </c>
      <c r="J1079" s="3">
        <v>23099</v>
      </c>
      <c r="K1079" s="3">
        <v>900</v>
      </c>
      <c r="L1079" s="3">
        <v>0</v>
      </c>
      <c r="M1079" s="3">
        <v>0</v>
      </c>
      <c r="N1079" s="3">
        <v>0</v>
      </c>
    </row>
    <row r="1080" spans="1:14" ht="14.4">
      <c r="A1080" s="3">
        <v>13367</v>
      </c>
      <c r="B1080" s="3">
        <v>13368</v>
      </c>
      <c r="C1080" s="3">
        <v>4086</v>
      </c>
      <c r="D1080" s="3" t="s">
        <v>390</v>
      </c>
      <c r="E1080" s="3" t="s">
        <v>704</v>
      </c>
      <c r="F1080" s="3">
        <v>7718</v>
      </c>
      <c r="G1080" s="3" t="s">
        <v>392</v>
      </c>
      <c r="H1080" s="3" t="s">
        <v>38</v>
      </c>
      <c r="I1080" s="3">
        <v>0</v>
      </c>
      <c r="J1080" s="3">
        <v>0</v>
      </c>
      <c r="K1080" s="3">
        <v>0</v>
      </c>
      <c r="L1080" s="3">
        <v>15000</v>
      </c>
      <c r="M1080" s="3">
        <v>0</v>
      </c>
      <c r="N1080" s="3">
        <v>0</v>
      </c>
    </row>
    <row r="1081" spans="1:14" ht="14.4">
      <c r="A1081" s="3">
        <v>13367</v>
      </c>
      <c r="B1081" s="3">
        <v>13368</v>
      </c>
      <c r="C1081" s="3">
        <v>4086</v>
      </c>
      <c r="D1081" s="3" t="s">
        <v>390</v>
      </c>
      <c r="E1081" s="3" t="s">
        <v>704</v>
      </c>
      <c r="F1081" s="3">
        <v>7748</v>
      </c>
      <c r="G1081" s="3" t="s">
        <v>392</v>
      </c>
      <c r="H1081" s="3" t="s">
        <v>38</v>
      </c>
      <c r="I1081" s="3">
        <v>4048</v>
      </c>
      <c r="J1081" s="3">
        <v>0</v>
      </c>
      <c r="K1081" s="3">
        <v>4048</v>
      </c>
      <c r="L1081" s="3">
        <v>0</v>
      </c>
      <c r="M1081" s="3">
        <v>0</v>
      </c>
      <c r="N1081" s="3">
        <v>0</v>
      </c>
    </row>
    <row r="1082" spans="1:14" ht="14.4">
      <c r="A1082" s="3">
        <v>13367</v>
      </c>
      <c r="B1082" s="3">
        <v>13368</v>
      </c>
      <c r="C1082" s="3">
        <v>4086</v>
      </c>
      <c r="D1082" s="3" t="s">
        <v>390</v>
      </c>
      <c r="E1082" s="3" t="s">
        <v>704</v>
      </c>
      <c r="F1082" s="3">
        <v>7758</v>
      </c>
      <c r="G1082" s="3" t="s">
        <v>392</v>
      </c>
      <c r="H1082" s="3" t="s">
        <v>38</v>
      </c>
      <c r="I1082" s="3">
        <v>2101377</v>
      </c>
      <c r="J1082" s="3">
        <v>1927248</v>
      </c>
      <c r="K1082" s="3">
        <v>174129</v>
      </c>
      <c r="L1082" s="3">
        <v>101900</v>
      </c>
      <c r="M1082" s="3">
        <v>95900</v>
      </c>
      <c r="N1082" s="3">
        <v>5000</v>
      </c>
    </row>
    <row r="1083" spans="1:14" ht="14.4">
      <c r="A1083" s="3">
        <v>13367</v>
      </c>
      <c r="B1083" s="3">
        <v>13368</v>
      </c>
      <c r="C1083" s="3">
        <v>4086</v>
      </c>
      <c r="D1083" s="3" t="s">
        <v>390</v>
      </c>
      <c r="E1083" s="3" t="s">
        <v>705</v>
      </c>
      <c r="F1083" s="3">
        <v>7114</v>
      </c>
      <c r="G1083" s="3" t="s">
        <v>428</v>
      </c>
      <c r="H1083" s="3" t="s">
        <v>38</v>
      </c>
      <c r="I1083" s="3">
        <v>6264485</v>
      </c>
      <c r="J1083" s="3">
        <v>1850682</v>
      </c>
      <c r="K1083" s="3">
        <v>4413803</v>
      </c>
      <c r="L1083" s="3">
        <v>0</v>
      </c>
      <c r="M1083" s="3">
        <v>0</v>
      </c>
      <c r="N1083" s="3">
        <v>0</v>
      </c>
    </row>
    <row r="1084" spans="1:14" ht="14.4">
      <c r="A1084" s="3">
        <v>13367</v>
      </c>
      <c r="B1084" s="3">
        <v>13368</v>
      </c>
      <c r="C1084" s="3">
        <v>4086</v>
      </c>
      <c r="D1084" s="3" t="s">
        <v>390</v>
      </c>
      <c r="E1084" s="3" t="s">
        <v>706</v>
      </c>
      <c r="F1084" s="3">
        <v>8349</v>
      </c>
      <c r="G1084" s="3" t="s">
        <v>452</v>
      </c>
      <c r="H1084" s="3" t="s">
        <v>38</v>
      </c>
      <c r="I1084" s="3">
        <v>99937</v>
      </c>
      <c r="J1084" s="3">
        <v>75367</v>
      </c>
      <c r="K1084" s="3">
        <v>24570</v>
      </c>
      <c r="L1084" s="3">
        <v>0</v>
      </c>
      <c r="M1084" s="3">
        <v>0</v>
      </c>
      <c r="N1084" s="3">
        <v>0</v>
      </c>
    </row>
    <row r="1085" spans="1:14" ht="14.4">
      <c r="A1085" s="3">
        <v>13367</v>
      </c>
      <c r="B1085" s="3">
        <v>13368</v>
      </c>
      <c r="C1085" s="3">
        <v>4086</v>
      </c>
      <c r="D1085" s="3" t="s">
        <v>390</v>
      </c>
      <c r="E1085" s="3" t="s">
        <v>707</v>
      </c>
      <c r="F1085" s="3">
        <v>7064</v>
      </c>
      <c r="G1085" s="3" t="s">
        <v>406</v>
      </c>
      <c r="H1085" s="3" t="s">
        <v>38</v>
      </c>
      <c r="I1085" s="3">
        <v>164681</v>
      </c>
      <c r="J1085" s="3">
        <v>129213</v>
      </c>
      <c r="K1085" s="3">
        <v>35468</v>
      </c>
      <c r="L1085" s="3">
        <v>225900</v>
      </c>
      <c r="M1085" s="3">
        <v>129300</v>
      </c>
      <c r="N1085" s="3">
        <v>25500</v>
      </c>
    </row>
    <row r="1086" spans="1:14" ht="14.4">
      <c r="A1086" s="3">
        <v>13367</v>
      </c>
      <c r="B1086" s="3">
        <v>13368</v>
      </c>
      <c r="C1086" s="3">
        <v>4086</v>
      </c>
      <c r="D1086" s="3" t="s">
        <v>390</v>
      </c>
      <c r="E1086" s="3" t="s">
        <v>708</v>
      </c>
      <c r="F1086" s="3">
        <v>8241</v>
      </c>
      <c r="G1086" s="3" t="s">
        <v>394</v>
      </c>
      <c r="H1086" s="3" t="s">
        <v>38</v>
      </c>
      <c r="I1086" s="3">
        <v>747046</v>
      </c>
      <c r="J1086" s="3">
        <v>535220</v>
      </c>
      <c r="K1086" s="3">
        <v>211826</v>
      </c>
      <c r="L1086" s="3">
        <v>88000</v>
      </c>
      <c r="M1086" s="3">
        <v>0</v>
      </c>
      <c r="N1086" s="3">
        <v>78500</v>
      </c>
    </row>
    <row r="1087" spans="1:14" ht="14.4">
      <c r="A1087" s="3">
        <v>13367</v>
      </c>
      <c r="B1087" s="3">
        <v>13368</v>
      </c>
      <c r="C1087" s="3">
        <v>4086</v>
      </c>
      <c r="D1087" s="3" t="s">
        <v>390</v>
      </c>
      <c r="E1087" s="3" t="s">
        <v>709</v>
      </c>
      <c r="F1087" s="3">
        <v>8540</v>
      </c>
      <c r="G1087" s="3" t="s">
        <v>496</v>
      </c>
      <c r="H1087" s="3" t="s">
        <v>38</v>
      </c>
      <c r="I1087" s="3">
        <v>198191</v>
      </c>
      <c r="J1087" s="3">
        <v>72778</v>
      </c>
      <c r="K1087" s="3">
        <v>125413</v>
      </c>
      <c r="L1087" s="3">
        <v>127600</v>
      </c>
      <c r="M1087" s="3">
        <v>0</v>
      </c>
      <c r="N1087" s="3">
        <v>125400</v>
      </c>
    </row>
    <row r="1088" spans="1:14" ht="14.4">
      <c r="A1088" s="3">
        <v>13367</v>
      </c>
      <c r="B1088" s="3">
        <v>13368</v>
      </c>
      <c r="C1088" s="3">
        <v>4086</v>
      </c>
      <c r="D1088" s="3" t="s">
        <v>390</v>
      </c>
      <c r="E1088" s="3" t="s">
        <v>710</v>
      </c>
      <c r="F1088" s="3">
        <v>8742</v>
      </c>
      <c r="G1088" s="3" t="s">
        <v>402</v>
      </c>
      <c r="H1088" s="3" t="s">
        <v>38</v>
      </c>
      <c r="I1088" s="3">
        <v>111832</v>
      </c>
      <c r="J1088" s="3">
        <v>73653</v>
      </c>
      <c r="K1088" s="3">
        <v>38179</v>
      </c>
      <c r="L1088" s="3">
        <v>0</v>
      </c>
      <c r="M1088" s="3">
        <v>0</v>
      </c>
      <c r="N1088" s="3">
        <v>0</v>
      </c>
    </row>
    <row r="1089" spans="1:14" ht="14.4">
      <c r="A1089" s="3">
        <v>13367</v>
      </c>
      <c r="B1089" s="3">
        <v>13368</v>
      </c>
      <c r="C1089" s="3">
        <v>4086</v>
      </c>
      <c r="D1089" s="3" t="s">
        <v>390</v>
      </c>
      <c r="E1089" s="3" t="s">
        <v>711</v>
      </c>
      <c r="F1089" s="3">
        <v>8742</v>
      </c>
      <c r="G1089" s="3" t="s">
        <v>402</v>
      </c>
      <c r="H1089" s="3" t="s">
        <v>38</v>
      </c>
      <c r="I1089" s="3">
        <v>289119</v>
      </c>
      <c r="J1089" s="3">
        <v>211345</v>
      </c>
      <c r="K1089" s="3">
        <v>77774</v>
      </c>
      <c r="L1089" s="3">
        <v>283800</v>
      </c>
      <c r="M1089" s="3">
        <v>171300</v>
      </c>
      <c r="N1089" s="3">
        <v>39000</v>
      </c>
    </row>
    <row r="1090" spans="1:14" ht="14.4">
      <c r="A1090" s="3">
        <v>13367</v>
      </c>
      <c r="B1090" s="3">
        <v>13368</v>
      </c>
      <c r="C1090" s="3">
        <v>4086</v>
      </c>
      <c r="D1090" s="3" t="s">
        <v>390</v>
      </c>
      <c r="E1090" s="3" t="s">
        <v>712</v>
      </c>
      <c r="F1090" s="3">
        <v>8742</v>
      </c>
      <c r="G1090" s="3" t="s">
        <v>402</v>
      </c>
      <c r="H1090" s="3" t="s">
        <v>38</v>
      </c>
      <c r="I1090" s="3">
        <v>1241059</v>
      </c>
      <c r="J1090" s="3">
        <v>1007787</v>
      </c>
      <c r="K1090" s="3">
        <v>233272</v>
      </c>
      <c r="L1090" s="3">
        <v>231300</v>
      </c>
      <c r="M1090" s="3">
        <v>104300</v>
      </c>
      <c r="N1090" s="3">
        <v>127000</v>
      </c>
    </row>
    <row r="1091" spans="1:14" ht="14.4">
      <c r="A1091" s="3">
        <v>13367</v>
      </c>
      <c r="B1091" s="3">
        <v>13368</v>
      </c>
      <c r="C1091" s="3">
        <v>4086</v>
      </c>
      <c r="D1091" s="3" t="s">
        <v>390</v>
      </c>
      <c r="E1091" s="3" t="s">
        <v>713</v>
      </c>
      <c r="F1091" s="3">
        <v>8742</v>
      </c>
      <c r="G1091" s="3" t="s">
        <v>402</v>
      </c>
      <c r="H1091" s="3" t="s">
        <v>38</v>
      </c>
      <c r="I1091" s="3">
        <v>349578</v>
      </c>
      <c r="J1091" s="3">
        <v>301818</v>
      </c>
      <c r="K1091" s="3">
        <v>47760</v>
      </c>
      <c r="L1091" s="3">
        <v>349600</v>
      </c>
      <c r="M1091" s="3">
        <v>301900</v>
      </c>
      <c r="N1091" s="3">
        <v>47700</v>
      </c>
    </row>
    <row r="1092" spans="1:14" ht="14.4">
      <c r="A1092" s="3">
        <v>13367</v>
      </c>
      <c r="B1092" s="3">
        <v>13368</v>
      </c>
      <c r="C1092" s="3">
        <v>4086</v>
      </c>
      <c r="D1092" s="3" t="s">
        <v>390</v>
      </c>
      <c r="E1092" s="3" t="s">
        <v>714</v>
      </c>
      <c r="F1092" s="3">
        <v>8742</v>
      </c>
      <c r="G1092" s="3" t="s">
        <v>402</v>
      </c>
      <c r="H1092" s="3" t="s">
        <v>38</v>
      </c>
      <c r="I1092" s="3">
        <v>42677</v>
      </c>
      <c r="J1092" s="3">
        <v>0</v>
      </c>
      <c r="K1092" s="3">
        <v>42677</v>
      </c>
      <c r="L1092" s="3">
        <v>0</v>
      </c>
      <c r="M1092" s="3">
        <v>0</v>
      </c>
      <c r="N1092" s="3">
        <v>0</v>
      </c>
    </row>
    <row r="1093" spans="1:14" ht="14.4">
      <c r="A1093" s="3">
        <v>13367</v>
      </c>
      <c r="B1093" s="3">
        <v>13368</v>
      </c>
      <c r="C1093" s="3">
        <v>4086</v>
      </c>
      <c r="D1093" s="3" t="s">
        <v>390</v>
      </c>
      <c r="E1093" s="3" t="s">
        <v>715</v>
      </c>
      <c r="F1093" s="3">
        <v>8742</v>
      </c>
      <c r="G1093" s="3" t="s">
        <v>402</v>
      </c>
      <c r="H1093" s="3" t="s">
        <v>38</v>
      </c>
      <c r="I1093" s="3">
        <v>253527</v>
      </c>
      <c r="J1093" s="3">
        <v>201377</v>
      </c>
      <c r="K1093" s="3">
        <v>52150</v>
      </c>
      <c r="L1093" s="3">
        <v>123400</v>
      </c>
      <c r="M1093" s="3">
        <v>84500</v>
      </c>
      <c r="N1093" s="3">
        <v>38900</v>
      </c>
    </row>
    <row r="1094" spans="1:14" ht="14.4">
      <c r="A1094" s="3">
        <v>13367</v>
      </c>
      <c r="B1094" s="3">
        <v>13368</v>
      </c>
      <c r="C1094" s="3">
        <v>4086</v>
      </c>
      <c r="D1094" s="3" t="s">
        <v>390</v>
      </c>
      <c r="E1094" s="3" t="s">
        <v>716</v>
      </c>
      <c r="F1094" s="3">
        <v>7065</v>
      </c>
      <c r="G1094" s="3" t="s">
        <v>435</v>
      </c>
      <c r="H1094" s="3" t="s">
        <v>38</v>
      </c>
      <c r="I1094" s="3">
        <v>1109561</v>
      </c>
      <c r="J1094" s="3">
        <v>869233</v>
      </c>
      <c r="K1094" s="3">
        <v>240328</v>
      </c>
      <c r="L1094" s="3">
        <v>855200</v>
      </c>
      <c r="M1094" s="3">
        <v>694900</v>
      </c>
      <c r="N1094" s="3">
        <v>160300</v>
      </c>
    </row>
    <row r="1095" spans="1:14" ht="14.4">
      <c r="A1095" s="3">
        <v>13367</v>
      </c>
      <c r="B1095" s="3">
        <v>13368</v>
      </c>
      <c r="C1095" s="3">
        <v>4086</v>
      </c>
      <c r="D1095" s="3" t="s">
        <v>390</v>
      </c>
      <c r="E1095" s="3" t="s">
        <v>717</v>
      </c>
      <c r="F1095" s="3">
        <v>7869</v>
      </c>
      <c r="G1095" s="3" t="s">
        <v>441</v>
      </c>
      <c r="H1095" s="3" t="s">
        <v>38</v>
      </c>
      <c r="I1095" s="3">
        <v>3191</v>
      </c>
      <c r="J1095" s="3">
        <v>3191</v>
      </c>
      <c r="K1095" s="3">
        <v>0</v>
      </c>
      <c r="L1095" s="3">
        <v>0</v>
      </c>
      <c r="M1095" s="3">
        <v>0</v>
      </c>
      <c r="N1095" s="3">
        <v>0</v>
      </c>
    </row>
    <row r="1096" spans="1:14" ht="14.4">
      <c r="A1096" s="3">
        <v>13367</v>
      </c>
      <c r="B1096" s="3">
        <v>13368</v>
      </c>
      <c r="C1096" s="3">
        <v>4086</v>
      </c>
      <c r="D1096" s="3" t="s">
        <v>390</v>
      </c>
      <c r="E1096" s="3" t="s">
        <v>718</v>
      </c>
      <c r="F1096" s="3">
        <v>8869</v>
      </c>
      <c r="G1096" s="3" t="s">
        <v>413</v>
      </c>
      <c r="H1096" s="3" t="s">
        <v>38</v>
      </c>
      <c r="I1096" s="3">
        <v>8840</v>
      </c>
      <c r="J1096" s="3">
        <v>200</v>
      </c>
      <c r="K1096" s="3">
        <v>8640</v>
      </c>
      <c r="L1096" s="3">
        <v>8900</v>
      </c>
      <c r="M1096" s="3">
        <v>200</v>
      </c>
      <c r="N1096" s="3">
        <v>8700</v>
      </c>
    </row>
    <row r="1097" spans="1:14" ht="14.4">
      <c r="A1097" s="3">
        <v>13367</v>
      </c>
      <c r="B1097" s="3">
        <v>13368</v>
      </c>
      <c r="C1097" s="3">
        <v>4086</v>
      </c>
      <c r="D1097" s="3" t="s">
        <v>390</v>
      </c>
      <c r="E1097" s="3" t="s">
        <v>719</v>
      </c>
      <c r="F1097" s="3">
        <v>7701</v>
      </c>
      <c r="G1097" s="3" t="s">
        <v>392</v>
      </c>
      <c r="H1097" s="3" t="s">
        <v>38</v>
      </c>
      <c r="I1097" s="3">
        <v>2173085</v>
      </c>
      <c r="J1097" s="3">
        <v>1870927</v>
      </c>
      <c r="K1097" s="3">
        <v>302158</v>
      </c>
      <c r="L1097" s="3">
        <v>599100</v>
      </c>
      <c r="M1097" s="3">
        <v>347900</v>
      </c>
      <c r="N1097" s="3">
        <v>186600</v>
      </c>
    </row>
    <row r="1098" spans="1:14" ht="14.4">
      <c r="A1098" s="3">
        <v>13367</v>
      </c>
      <c r="B1098" s="3">
        <v>13368</v>
      </c>
      <c r="C1098" s="3">
        <v>4086</v>
      </c>
      <c r="D1098" s="3" t="s">
        <v>390</v>
      </c>
      <c r="E1098" s="3" t="s">
        <v>719</v>
      </c>
      <c r="F1098" s="3">
        <v>7704</v>
      </c>
      <c r="G1098" s="3" t="s">
        <v>392</v>
      </c>
      <c r="H1098" s="3" t="s">
        <v>38</v>
      </c>
      <c r="I1098" s="3">
        <v>25140</v>
      </c>
      <c r="J1098" s="3">
        <v>0</v>
      </c>
      <c r="K1098" s="3">
        <v>25140</v>
      </c>
      <c r="L1098" s="3">
        <v>100300</v>
      </c>
      <c r="M1098" s="3">
        <v>0</v>
      </c>
      <c r="N1098" s="3">
        <v>24900</v>
      </c>
    </row>
    <row r="1099" spans="1:14" ht="14.4">
      <c r="A1099" s="3">
        <v>13367</v>
      </c>
      <c r="B1099" s="3">
        <v>13368</v>
      </c>
      <c r="C1099" s="3">
        <v>4086</v>
      </c>
      <c r="D1099" s="3" t="s">
        <v>390</v>
      </c>
      <c r="E1099" s="3" t="s">
        <v>720</v>
      </c>
      <c r="F1099" s="3">
        <v>7660</v>
      </c>
      <c r="G1099" s="3" t="s">
        <v>76</v>
      </c>
      <c r="H1099" s="3" t="s">
        <v>38</v>
      </c>
      <c r="I1099" s="3">
        <v>214584</v>
      </c>
      <c r="J1099" s="3">
        <v>2415</v>
      </c>
      <c r="K1099" s="3">
        <v>212169</v>
      </c>
      <c r="L1099" s="3">
        <v>129100</v>
      </c>
      <c r="M1099" s="3">
        <v>2500</v>
      </c>
      <c r="N1099" s="3">
        <v>110000</v>
      </c>
    </row>
    <row r="1100" spans="1:14" ht="14.4">
      <c r="A1100" s="3">
        <v>13367</v>
      </c>
      <c r="B1100" s="3">
        <v>13368</v>
      </c>
      <c r="C1100" s="3">
        <v>4086</v>
      </c>
      <c r="D1100" s="3" t="s">
        <v>390</v>
      </c>
      <c r="E1100" s="3" t="s">
        <v>299</v>
      </c>
      <c r="F1100" s="3">
        <v>7450</v>
      </c>
      <c r="G1100" s="3" t="s">
        <v>76</v>
      </c>
      <c r="H1100" s="3" t="s">
        <v>38</v>
      </c>
      <c r="I1100" s="3">
        <v>10881</v>
      </c>
      <c r="J1100" s="3">
        <v>4001</v>
      </c>
      <c r="K1100" s="3">
        <v>6880</v>
      </c>
      <c r="L1100" s="3">
        <v>4100</v>
      </c>
      <c r="M1100" s="3">
        <v>4100</v>
      </c>
      <c r="N1100" s="3">
        <v>0</v>
      </c>
    </row>
    <row r="1101" spans="1:14" ht="14.4">
      <c r="A1101" s="3">
        <v>13367</v>
      </c>
      <c r="B1101" s="3">
        <v>13368</v>
      </c>
      <c r="C1101" s="3">
        <v>4086</v>
      </c>
      <c r="D1101" s="3" t="s">
        <v>390</v>
      </c>
      <c r="E1101" s="3" t="s">
        <v>721</v>
      </c>
      <c r="F1101" s="3">
        <v>7456</v>
      </c>
      <c r="G1101" s="3" t="s">
        <v>429</v>
      </c>
      <c r="H1101" s="3" t="s">
        <v>38</v>
      </c>
      <c r="I1101" s="3">
        <v>288</v>
      </c>
      <c r="J1101" s="3">
        <v>0</v>
      </c>
      <c r="K1101" s="3">
        <v>288</v>
      </c>
      <c r="L1101" s="3">
        <v>0</v>
      </c>
      <c r="M1101" s="3">
        <v>0</v>
      </c>
      <c r="N1101" s="3">
        <v>0</v>
      </c>
    </row>
    <row r="1102" spans="1:14" ht="14.4">
      <c r="A1102" s="3">
        <v>13367</v>
      </c>
      <c r="B1102" s="3">
        <v>13368</v>
      </c>
      <c r="C1102" s="3">
        <v>4086</v>
      </c>
      <c r="D1102" s="3" t="s">
        <v>390</v>
      </c>
      <c r="E1102" s="3" t="s">
        <v>722</v>
      </c>
      <c r="F1102" s="3">
        <v>8242</v>
      </c>
      <c r="G1102" s="3" t="s">
        <v>404</v>
      </c>
      <c r="H1102" s="3" t="s">
        <v>38</v>
      </c>
      <c r="I1102" s="3">
        <v>93200</v>
      </c>
      <c r="J1102" s="3">
        <v>72284</v>
      </c>
      <c r="K1102" s="3">
        <v>20916</v>
      </c>
      <c r="L1102" s="3">
        <v>0</v>
      </c>
      <c r="M1102" s="3">
        <v>0</v>
      </c>
      <c r="N1102" s="3">
        <v>0</v>
      </c>
    </row>
    <row r="1103" spans="1:14" ht="14.4">
      <c r="A1103" s="3">
        <v>13367</v>
      </c>
      <c r="B1103" s="3">
        <v>13368</v>
      </c>
      <c r="C1103" s="3">
        <v>4086</v>
      </c>
      <c r="D1103" s="3" t="s">
        <v>390</v>
      </c>
      <c r="E1103" s="3" t="s">
        <v>723</v>
      </c>
      <c r="F1103" s="3">
        <v>8619</v>
      </c>
      <c r="G1103" s="3" t="s">
        <v>496</v>
      </c>
      <c r="H1103" s="3" t="s">
        <v>38</v>
      </c>
      <c r="I1103" s="3">
        <v>7632</v>
      </c>
      <c r="J1103" s="3">
        <v>399</v>
      </c>
      <c r="K1103" s="3">
        <v>7233</v>
      </c>
      <c r="L1103" s="3">
        <v>0</v>
      </c>
      <c r="M1103" s="3">
        <v>0</v>
      </c>
      <c r="N1103" s="3">
        <v>0</v>
      </c>
    </row>
    <row r="1104" spans="1:14" ht="14.4">
      <c r="A1104" s="3">
        <v>13367</v>
      </c>
      <c r="B1104" s="3">
        <v>13368</v>
      </c>
      <c r="C1104" s="3">
        <v>4086</v>
      </c>
      <c r="D1104" s="3" t="s">
        <v>390</v>
      </c>
      <c r="E1104" s="3" t="s">
        <v>723</v>
      </c>
      <c r="F1104" s="3">
        <v>8691</v>
      </c>
      <c r="G1104" s="3" t="s">
        <v>496</v>
      </c>
      <c r="H1104" s="3" t="s">
        <v>38</v>
      </c>
      <c r="I1104" s="3">
        <v>0</v>
      </c>
      <c r="J1104" s="3">
        <v>0</v>
      </c>
      <c r="K1104" s="3">
        <v>0</v>
      </c>
      <c r="L1104" s="3">
        <v>5000</v>
      </c>
      <c r="M1104" s="3">
        <v>0</v>
      </c>
      <c r="N1104" s="3">
        <v>0</v>
      </c>
    </row>
    <row r="1105" spans="1:14" ht="14.4">
      <c r="A1105" s="3">
        <v>13367</v>
      </c>
      <c r="B1105" s="3">
        <v>13368</v>
      </c>
      <c r="C1105" s="3">
        <v>4086</v>
      </c>
      <c r="D1105" s="3" t="s">
        <v>390</v>
      </c>
      <c r="E1105" s="3" t="s">
        <v>724</v>
      </c>
      <c r="F1105" s="3">
        <v>7662</v>
      </c>
      <c r="G1105" s="3" t="s">
        <v>76</v>
      </c>
      <c r="H1105" s="3" t="s">
        <v>38</v>
      </c>
      <c r="I1105" s="3">
        <v>16575</v>
      </c>
      <c r="J1105" s="3">
        <v>4530</v>
      </c>
      <c r="K1105" s="3">
        <v>12045</v>
      </c>
      <c r="L1105" s="3">
        <v>0</v>
      </c>
      <c r="M1105" s="3">
        <v>0</v>
      </c>
      <c r="N1105" s="3">
        <v>0</v>
      </c>
    </row>
    <row r="1106" spans="1:14" ht="14.4">
      <c r="A1106" s="3">
        <v>13367</v>
      </c>
      <c r="B1106" s="3">
        <v>13368</v>
      </c>
      <c r="C1106" s="3">
        <v>4086</v>
      </c>
      <c r="D1106" s="3" t="s">
        <v>390</v>
      </c>
      <c r="E1106" s="3" t="s">
        <v>725</v>
      </c>
      <c r="F1106" s="3">
        <v>7068</v>
      </c>
      <c r="G1106" s="3" t="s">
        <v>428</v>
      </c>
      <c r="H1106" s="3" t="s">
        <v>38</v>
      </c>
      <c r="I1106" s="3">
        <v>6438</v>
      </c>
      <c r="J1106" s="3">
        <v>0</v>
      </c>
      <c r="K1106" s="3">
        <v>6438</v>
      </c>
      <c r="L1106" s="3">
        <v>0</v>
      </c>
      <c r="M1106" s="3">
        <v>0</v>
      </c>
      <c r="N1106" s="3">
        <v>0</v>
      </c>
    </row>
    <row r="1107" spans="1:14" ht="14.4">
      <c r="A1107" s="3">
        <v>13367</v>
      </c>
      <c r="B1107" s="3">
        <v>13368</v>
      </c>
      <c r="C1107" s="3">
        <v>4086</v>
      </c>
      <c r="D1107" s="3" t="s">
        <v>390</v>
      </c>
      <c r="E1107" s="3" t="s">
        <v>726</v>
      </c>
      <c r="F1107" s="3">
        <v>7203</v>
      </c>
      <c r="G1107" s="3" t="s">
        <v>435</v>
      </c>
      <c r="H1107" s="3" t="s">
        <v>38</v>
      </c>
      <c r="I1107" s="3">
        <v>37349</v>
      </c>
      <c r="J1107" s="3">
        <v>25849</v>
      </c>
      <c r="K1107" s="3">
        <v>11500</v>
      </c>
      <c r="L1107" s="3">
        <v>85100</v>
      </c>
      <c r="M1107" s="3">
        <v>16800</v>
      </c>
      <c r="N1107" s="3">
        <v>0</v>
      </c>
    </row>
    <row r="1108" spans="1:14" ht="14.4">
      <c r="A1108" s="3">
        <v>13367</v>
      </c>
      <c r="B1108" s="3">
        <v>13368</v>
      </c>
      <c r="C1108" s="3">
        <v>4086</v>
      </c>
      <c r="D1108" s="3" t="s">
        <v>390</v>
      </c>
      <c r="E1108" s="3" t="s">
        <v>727</v>
      </c>
      <c r="F1108" s="3">
        <v>7204</v>
      </c>
      <c r="G1108" s="3" t="s">
        <v>435</v>
      </c>
      <c r="H1108" s="3" t="s">
        <v>38</v>
      </c>
      <c r="I1108" s="3">
        <v>128475</v>
      </c>
      <c r="J1108" s="3">
        <v>104220</v>
      </c>
      <c r="K1108" s="3">
        <v>24255</v>
      </c>
      <c r="L1108" s="3">
        <v>76700</v>
      </c>
      <c r="M1108" s="3">
        <v>69500</v>
      </c>
      <c r="N1108" s="3">
        <v>7200</v>
      </c>
    </row>
    <row r="1109" spans="1:14" ht="14.4">
      <c r="A1109" s="3">
        <v>13367</v>
      </c>
      <c r="B1109" s="3">
        <v>13368</v>
      </c>
      <c r="C1109" s="3">
        <v>4086</v>
      </c>
      <c r="D1109" s="3" t="s">
        <v>390</v>
      </c>
      <c r="E1109" s="3" t="s">
        <v>728</v>
      </c>
      <c r="F1109" s="3">
        <v>7760</v>
      </c>
      <c r="G1109" s="3" t="s">
        <v>392</v>
      </c>
      <c r="H1109" s="3" t="s">
        <v>38</v>
      </c>
      <c r="I1109" s="3">
        <v>1452197</v>
      </c>
      <c r="J1109" s="3">
        <v>1334416</v>
      </c>
      <c r="K1109" s="3">
        <v>117781</v>
      </c>
      <c r="L1109" s="3">
        <v>399200</v>
      </c>
      <c r="M1109" s="3">
        <v>363200</v>
      </c>
      <c r="N1109" s="3">
        <v>3600</v>
      </c>
    </row>
    <row r="1110" spans="1:14" ht="14.4">
      <c r="A1110" s="3">
        <v>13367</v>
      </c>
      <c r="B1110" s="3">
        <v>13368</v>
      </c>
      <c r="C1110" s="3">
        <v>4086</v>
      </c>
      <c r="D1110" s="3" t="s">
        <v>390</v>
      </c>
      <c r="E1110" s="3" t="s">
        <v>729</v>
      </c>
      <c r="F1110" s="3">
        <v>7070</v>
      </c>
      <c r="G1110" s="3" t="s">
        <v>76</v>
      </c>
      <c r="H1110" s="3" t="s">
        <v>38</v>
      </c>
      <c r="I1110" s="3">
        <v>1477753</v>
      </c>
      <c r="J1110" s="3">
        <v>310843</v>
      </c>
      <c r="K1110" s="3">
        <v>1166910</v>
      </c>
      <c r="L1110" s="3">
        <v>0</v>
      </c>
      <c r="M1110" s="3">
        <v>0</v>
      </c>
      <c r="N1110" s="3">
        <v>0</v>
      </c>
    </row>
    <row r="1111" spans="1:14" ht="14.4">
      <c r="A1111" s="3">
        <v>13367</v>
      </c>
      <c r="B1111" s="3">
        <v>13368</v>
      </c>
      <c r="C1111" s="3">
        <v>4086</v>
      </c>
      <c r="D1111" s="3" t="s">
        <v>390</v>
      </c>
      <c r="E1111" s="3" t="s">
        <v>730</v>
      </c>
      <c r="F1111" s="3">
        <v>7032</v>
      </c>
      <c r="G1111" s="3" t="s">
        <v>37</v>
      </c>
      <c r="H1111" s="3" t="s">
        <v>38</v>
      </c>
      <c r="I1111" s="3">
        <v>11759</v>
      </c>
      <c r="J1111" s="3">
        <v>0</v>
      </c>
      <c r="K1111" s="3">
        <v>11759</v>
      </c>
      <c r="L1111" s="3">
        <v>0</v>
      </c>
      <c r="M1111" s="3">
        <v>0</v>
      </c>
      <c r="N1111" s="3">
        <v>0</v>
      </c>
    </row>
    <row r="1112" spans="1:14" ht="14.4">
      <c r="A1112" s="3">
        <v>13367</v>
      </c>
      <c r="B1112" s="3">
        <v>13368</v>
      </c>
      <c r="C1112" s="3">
        <v>4086</v>
      </c>
      <c r="D1112" s="3" t="s">
        <v>390</v>
      </c>
      <c r="E1112" s="3" t="s">
        <v>731</v>
      </c>
      <c r="F1112" s="3">
        <v>8752</v>
      </c>
      <c r="G1112" s="3" t="s">
        <v>402</v>
      </c>
      <c r="H1112" s="3" t="s">
        <v>38</v>
      </c>
      <c r="I1112" s="3">
        <v>9398</v>
      </c>
      <c r="J1112" s="3">
        <v>9398</v>
      </c>
      <c r="K1112" s="3">
        <v>0</v>
      </c>
      <c r="L1112" s="3">
        <v>0</v>
      </c>
      <c r="M1112" s="3">
        <v>0</v>
      </c>
      <c r="N1112" s="3">
        <v>0</v>
      </c>
    </row>
    <row r="1113" spans="1:14" ht="14.4">
      <c r="A1113" s="3">
        <v>13367</v>
      </c>
      <c r="B1113" s="3">
        <v>13368</v>
      </c>
      <c r="C1113" s="3">
        <v>4086</v>
      </c>
      <c r="D1113" s="3" t="s">
        <v>390</v>
      </c>
      <c r="E1113" s="3" t="s">
        <v>732</v>
      </c>
      <c r="F1113" s="3">
        <v>7107</v>
      </c>
      <c r="G1113" s="3" t="s">
        <v>428</v>
      </c>
      <c r="H1113" s="3" t="s">
        <v>38</v>
      </c>
      <c r="I1113" s="3">
        <v>12700</v>
      </c>
      <c r="J1113" s="3">
        <v>0</v>
      </c>
      <c r="K1113" s="3">
        <v>12700</v>
      </c>
      <c r="L1113" s="3">
        <v>0</v>
      </c>
      <c r="M1113" s="3">
        <v>0</v>
      </c>
      <c r="N1113" s="3">
        <v>0</v>
      </c>
    </row>
    <row r="1114" spans="1:14" ht="14.4">
      <c r="A1114" s="3">
        <v>13367</v>
      </c>
      <c r="B1114" s="3">
        <v>13368</v>
      </c>
      <c r="C1114" s="3">
        <v>4086</v>
      </c>
      <c r="D1114" s="3" t="s">
        <v>390</v>
      </c>
      <c r="E1114" s="3" t="s">
        <v>732</v>
      </c>
      <c r="F1114" s="3">
        <v>7032</v>
      </c>
      <c r="G1114" s="3" t="s">
        <v>37</v>
      </c>
      <c r="H1114" s="3" t="s">
        <v>38</v>
      </c>
      <c r="I1114" s="3">
        <v>14600</v>
      </c>
      <c r="J1114" s="3">
        <v>0</v>
      </c>
      <c r="K1114" s="3">
        <v>14600</v>
      </c>
      <c r="L1114" s="3">
        <v>0</v>
      </c>
      <c r="M1114" s="3">
        <v>0</v>
      </c>
      <c r="N1114" s="3">
        <v>0</v>
      </c>
    </row>
    <row r="1115" spans="1:14" ht="14.4">
      <c r="A1115" s="3">
        <v>13367</v>
      </c>
      <c r="B1115" s="3">
        <v>13368</v>
      </c>
      <c r="C1115" s="3">
        <v>4086</v>
      </c>
      <c r="D1115" s="3" t="s">
        <v>390</v>
      </c>
      <c r="E1115" s="3" t="s">
        <v>733</v>
      </c>
      <c r="F1115" s="3">
        <v>7032</v>
      </c>
      <c r="G1115" s="3" t="s">
        <v>37</v>
      </c>
      <c r="H1115" s="3" t="s">
        <v>38</v>
      </c>
      <c r="I1115" s="3">
        <v>18450</v>
      </c>
      <c r="J1115" s="3">
        <v>0</v>
      </c>
      <c r="K1115" s="3">
        <v>18450</v>
      </c>
      <c r="L1115" s="3">
        <v>0</v>
      </c>
      <c r="M1115" s="3">
        <v>0</v>
      </c>
      <c r="N1115" s="3">
        <v>0</v>
      </c>
    </row>
    <row r="1116" spans="1:14" ht="14.4">
      <c r="A1116" s="3">
        <v>13367</v>
      </c>
      <c r="B1116" s="3">
        <v>13368</v>
      </c>
      <c r="C1116" s="3">
        <v>4086</v>
      </c>
      <c r="D1116" s="3" t="s">
        <v>390</v>
      </c>
      <c r="E1116" s="3" t="s">
        <v>733</v>
      </c>
      <c r="F1116" s="3">
        <v>7305</v>
      </c>
      <c r="G1116" s="3" t="s">
        <v>37</v>
      </c>
      <c r="H1116" s="3" t="s">
        <v>38</v>
      </c>
      <c r="I1116" s="3">
        <v>35000</v>
      </c>
      <c r="J1116" s="3">
        <v>0</v>
      </c>
      <c r="K1116" s="3">
        <v>35000</v>
      </c>
      <c r="L1116" s="3">
        <v>9800</v>
      </c>
      <c r="M1116" s="3">
        <v>0</v>
      </c>
      <c r="N1116" s="3">
        <v>9800</v>
      </c>
    </row>
    <row r="1117" spans="1:14" ht="14.4">
      <c r="A1117" s="3">
        <v>13367</v>
      </c>
      <c r="B1117" s="3">
        <v>13368</v>
      </c>
      <c r="C1117" s="3">
        <v>4086</v>
      </c>
      <c r="D1117" s="3" t="s">
        <v>390</v>
      </c>
      <c r="E1117" s="3" t="s">
        <v>734</v>
      </c>
      <c r="F1117" s="3">
        <v>8752</v>
      </c>
      <c r="G1117" s="3" t="s">
        <v>402</v>
      </c>
      <c r="H1117" s="3" t="s">
        <v>38</v>
      </c>
      <c r="I1117" s="3">
        <v>72455</v>
      </c>
      <c r="J1117" s="3">
        <v>61955</v>
      </c>
      <c r="K1117" s="3">
        <v>10500</v>
      </c>
      <c r="L1117" s="3">
        <v>0</v>
      </c>
      <c r="M1117" s="3">
        <v>0</v>
      </c>
      <c r="N1117" s="3">
        <v>0</v>
      </c>
    </row>
    <row r="1118" spans="1:14" ht="14.4">
      <c r="A1118" s="3">
        <v>13367</v>
      </c>
      <c r="B1118" s="3">
        <v>13368</v>
      </c>
      <c r="C1118" s="3">
        <v>4086</v>
      </c>
      <c r="D1118" s="3" t="s">
        <v>390</v>
      </c>
      <c r="E1118" s="3" t="s">
        <v>735</v>
      </c>
      <c r="F1118" s="3">
        <v>7663</v>
      </c>
      <c r="G1118" s="3" t="s">
        <v>76</v>
      </c>
      <c r="H1118" s="3" t="s">
        <v>38</v>
      </c>
      <c r="I1118" s="3">
        <v>39235</v>
      </c>
      <c r="J1118" s="3">
        <v>39235</v>
      </c>
      <c r="K1118" s="3">
        <v>0</v>
      </c>
      <c r="L1118" s="3">
        <v>0</v>
      </c>
      <c r="M1118" s="3">
        <v>0</v>
      </c>
      <c r="N1118" s="3">
        <v>0</v>
      </c>
    </row>
    <row r="1119" spans="1:14" ht="14.4">
      <c r="A1119" s="3">
        <v>13367</v>
      </c>
      <c r="B1119" s="3">
        <v>13368</v>
      </c>
      <c r="C1119" s="3">
        <v>4086</v>
      </c>
      <c r="D1119" s="3" t="s">
        <v>390</v>
      </c>
      <c r="E1119" s="3" t="s">
        <v>736</v>
      </c>
      <c r="F1119" s="3">
        <v>7732</v>
      </c>
      <c r="G1119" s="3" t="s">
        <v>392</v>
      </c>
      <c r="H1119" s="3" t="s">
        <v>38</v>
      </c>
      <c r="I1119" s="3">
        <v>71100</v>
      </c>
      <c r="J1119" s="3">
        <v>0</v>
      </c>
      <c r="K1119" s="3">
        <v>71100</v>
      </c>
      <c r="L1119" s="3">
        <v>67600</v>
      </c>
      <c r="M1119" s="3">
        <v>0</v>
      </c>
      <c r="N1119" s="3">
        <v>67600</v>
      </c>
    </row>
    <row r="1120" spans="1:14" ht="14.4">
      <c r="A1120" s="3">
        <v>13367</v>
      </c>
      <c r="B1120" s="3">
        <v>13368</v>
      </c>
      <c r="C1120" s="3">
        <v>4086</v>
      </c>
      <c r="D1120" s="3" t="s">
        <v>390</v>
      </c>
      <c r="E1120" s="3" t="s">
        <v>737</v>
      </c>
      <c r="F1120" s="3">
        <v>8872</v>
      </c>
      <c r="G1120" s="3" t="s">
        <v>406</v>
      </c>
      <c r="H1120" s="3" t="s">
        <v>38</v>
      </c>
      <c r="I1120" s="3">
        <v>6822</v>
      </c>
      <c r="J1120" s="3">
        <v>0</v>
      </c>
      <c r="K1120" s="3">
        <v>6822</v>
      </c>
      <c r="L1120" s="3">
        <v>0</v>
      </c>
      <c r="M1120" s="3">
        <v>0</v>
      </c>
      <c r="N1120" s="3">
        <v>0</v>
      </c>
    </row>
    <row r="1121" spans="1:14" ht="14.4">
      <c r="A1121" s="3">
        <v>13367</v>
      </c>
      <c r="B1121" s="3">
        <v>13368</v>
      </c>
      <c r="C1121" s="3">
        <v>4086</v>
      </c>
      <c r="D1121" s="3" t="s">
        <v>390</v>
      </c>
      <c r="E1121" s="3" t="s">
        <v>738</v>
      </c>
      <c r="F1121" s="3">
        <v>8872</v>
      </c>
      <c r="G1121" s="3" t="s">
        <v>406</v>
      </c>
      <c r="H1121" s="3" t="s">
        <v>38</v>
      </c>
      <c r="I1121" s="3">
        <v>4545845</v>
      </c>
      <c r="J1121" s="3">
        <v>1802422</v>
      </c>
      <c r="K1121" s="3">
        <v>2743423</v>
      </c>
      <c r="L1121" s="3">
        <v>2198000</v>
      </c>
      <c r="M1121" s="3">
        <v>1335300</v>
      </c>
      <c r="N1121" s="3">
        <v>621500</v>
      </c>
    </row>
    <row r="1122" spans="1:14" ht="14.4">
      <c r="A1122" s="3">
        <v>13367</v>
      </c>
      <c r="B1122" s="3">
        <v>13368</v>
      </c>
      <c r="C1122" s="3">
        <v>4086</v>
      </c>
      <c r="D1122" s="3" t="s">
        <v>390</v>
      </c>
      <c r="E1122" s="3" t="s">
        <v>739</v>
      </c>
      <c r="F1122" s="3">
        <v>7076</v>
      </c>
      <c r="G1122" s="3" t="s">
        <v>435</v>
      </c>
      <c r="H1122" s="3" t="s">
        <v>38</v>
      </c>
      <c r="I1122" s="3">
        <v>125115</v>
      </c>
      <c r="J1122" s="3">
        <v>61165</v>
      </c>
      <c r="K1122" s="3">
        <v>63950</v>
      </c>
      <c r="L1122" s="3">
        <v>297600</v>
      </c>
      <c r="M1122" s="3">
        <v>22600</v>
      </c>
      <c r="N1122" s="3">
        <v>62000</v>
      </c>
    </row>
    <row r="1123" spans="1:14" ht="14.4">
      <c r="A1123" s="3">
        <v>13367</v>
      </c>
      <c r="B1123" s="3">
        <v>13368</v>
      </c>
      <c r="C1123" s="3">
        <v>4086</v>
      </c>
      <c r="D1123" s="3" t="s">
        <v>390</v>
      </c>
      <c r="E1123" s="3" t="s">
        <v>740</v>
      </c>
      <c r="F1123" s="3">
        <v>7660</v>
      </c>
      <c r="G1123" s="3" t="s">
        <v>392</v>
      </c>
      <c r="H1123" s="3" t="s">
        <v>38</v>
      </c>
      <c r="I1123" s="3">
        <v>347056</v>
      </c>
      <c r="J1123" s="3">
        <v>310056</v>
      </c>
      <c r="K1123" s="3">
        <v>37000</v>
      </c>
      <c r="L1123" s="3">
        <v>29600</v>
      </c>
      <c r="M1123" s="3">
        <v>25300</v>
      </c>
      <c r="N1123" s="3">
        <v>4300</v>
      </c>
    </row>
    <row r="1124" spans="1:14" ht="14.4">
      <c r="A1124" s="3">
        <v>13367</v>
      </c>
      <c r="B1124" s="3">
        <v>13368</v>
      </c>
      <c r="C1124" s="3">
        <v>4086</v>
      </c>
      <c r="D1124" s="3" t="s">
        <v>390</v>
      </c>
      <c r="E1124" s="3" t="s">
        <v>740</v>
      </c>
      <c r="F1124" s="3">
        <v>7760</v>
      </c>
      <c r="G1124" s="3" t="s">
        <v>392</v>
      </c>
      <c r="H1124" s="3" t="s">
        <v>38</v>
      </c>
      <c r="I1124" s="3">
        <v>27417199</v>
      </c>
      <c r="J1124" s="3">
        <v>22390210</v>
      </c>
      <c r="K1124" s="3">
        <v>5026989</v>
      </c>
      <c r="L1124" s="3">
        <v>6061800</v>
      </c>
      <c r="M1124" s="3">
        <v>4337100</v>
      </c>
      <c r="N1124" s="3">
        <v>1407100</v>
      </c>
    </row>
    <row r="1125" spans="1:14" ht="14.4">
      <c r="A1125" s="3">
        <v>13367</v>
      </c>
      <c r="B1125" s="3">
        <v>13368</v>
      </c>
      <c r="C1125" s="3">
        <v>4086</v>
      </c>
      <c r="D1125" s="3" t="s">
        <v>390</v>
      </c>
      <c r="E1125" s="3" t="s">
        <v>740</v>
      </c>
      <c r="F1125" s="3">
        <v>7764</v>
      </c>
      <c r="G1125" s="3" t="s">
        <v>392</v>
      </c>
      <c r="H1125" s="3" t="s">
        <v>38</v>
      </c>
      <c r="I1125" s="3">
        <v>0</v>
      </c>
      <c r="J1125" s="3">
        <v>0</v>
      </c>
      <c r="K1125" s="3">
        <v>0</v>
      </c>
      <c r="L1125" s="3">
        <v>12800</v>
      </c>
      <c r="M1125" s="3">
        <v>0</v>
      </c>
      <c r="N1125" s="3">
        <v>0</v>
      </c>
    </row>
    <row r="1126" spans="1:14" ht="14.4">
      <c r="A1126" s="3">
        <v>13367</v>
      </c>
      <c r="B1126" s="3">
        <v>13368</v>
      </c>
      <c r="C1126" s="3">
        <v>4086</v>
      </c>
      <c r="D1126" s="3" t="s">
        <v>390</v>
      </c>
      <c r="E1126" s="3" t="s">
        <v>741</v>
      </c>
      <c r="F1126" s="3">
        <v>8750</v>
      </c>
      <c r="G1126" s="3" t="s">
        <v>392</v>
      </c>
      <c r="H1126" s="3" t="s">
        <v>38</v>
      </c>
      <c r="I1126" s="3">
        <v>128048</v>
      </c>
      <c r="J1126" s="3">
        <v>125048</v>
      </c>
      <c r="K1126" s="3">
        <v>3000</v>
      </c>
      <c r="L1126" s="3">
        <v>55400</v>
      </c>
      <c r="M1126" s="3">
        <v>42100</v>
      </c>
      <c r="N1126" s="3">
        <v>1800</v>
      </c>
    </row>
    <row r="1127" spans="1:14" ht="14.4">
      <c r="A1127" s="3">
        <v>13367</v>
      </c>
      <c r="B1127" s="3">
        <v>13368</v>
      </c>
      <c r="C1127" s="3">
        <v>4086</v>
      </c>
      <c r="D1127" s="3" t="s">
        <v>390</v>
      </c>
      <c r="E1127" s="3" t="s">
        <v>742</v>
      </c>
      <c r="F1127" s="3">
        <v>8045</v>
      </c>
      <c r="G1127" s="3" t="s">
        <v>394</v>
      </c>
      <c r="H1127" s="3" t="s">
        <v>38</v>
      </c>
      <c r="I1127" s="3">
        <v>119099</v>
      </c>
      <c r="J1127" s="3">
        <v>0</v>
      </c>
      <c r="K1127" s="3">
        <v>119099</v>
      </c>
      <c r="L1127" s="3">
        <v>208300</v>
      </c>
      <c r="M1127" s="3">
        <v>0</v>
      </c>
      <c r="N1127" s="3">
        <v>119100</v>
      </c>
    </row>
    <row r="1128" spans="1:14" ht="14.4">
      <c r="A1128" s="3">
        <v>13367</v>
      </c>
      <c r="B1128" s="3">
        <v>13368</v>
      </c>
      <c r="C1128" s="3">
        <v>4086</v>
      </c>
      <c r="D1128" s="3" t="s">
        <v>390</v>
      </c>
      <c r="E1128" s="3" t="s">
        <v>742</v>
      </c>
      <c r="F1128" s="3">
        <v>8243</v>
      </c>
      <c r="G1128" s="3" t="s">
        <v>404</v>
      </c>
      <c r="H1128" s="3" t="s">
        <v>38</v>
      </c>
      <c r="I1128" s="3">
        <v>17975</v>
      </c>
      <c r="J1128" s="3">
        <v>0</v>
      </c>
      <c r="K1128" s="3">
        <v>17975</v>
      </c>
      <c r="L1128" s="3">
        <v>0</v>
      </c>
      <c r="M1128" s="3">
        <v>0</v>
      </c>
      <c r="N1128" s="3">
        <v>0</v>
      </c>
    </row>
    <row r="1129" spans="1:14" ht="14.4">
      <c r="A1129" s="3">
        <v>13367</v>
      </c>
      <c r="B1129" s="3">
        <v>13368</v>
      </c>
      <c r="C1129" s="3">
        <v>4086</v>
      </c>
      <c r="D1129" s="3" t="s">
        <v>390</v>
      </c>
      <c r="E1129" s="3" t="s">
        <v>743</v>
      </c>
      <c r="F1129" s="3">
        <v>8243</v>
      </c>
      <c r="G1129" s="3" t="s">
        <v>404</v>
      </c>
      <c r="H1129" s="3" t="s">
        <v>38</v>
      </c>
      <c r="I1129" s="3">
        <v>1468084</v>
      </c>
      <c r="J1129" s="3">
        <v>577789</v>
      </c>
      <c r="K1129" s="3">
        <v>890295</v>
      </c>
      <c r="L1129" s="3">
        <v>254000</v>
      </c>
      <c r="M1129" s="3">
        <v>96200</v>
      </c>
      <c r="N1129" s="3">
        <v>149900</v>
      </c>
    </row>
    <row r="1130" spans="1:14" ht="14.4">
      <c r="A1130" s="3">
        <v>13367</v>
      </c>
      <c r="B1130" s="3">
        <v>13368</v>
      </c>
      <c r="C1130" s="3">
        <v>4086</v>
      </c>
      <c r="D1130" s="3" t="s">
        <v>390</v>
      </c>
      <c r="E1130" s="3" t="s">
        <v>744</v>
      </c>
      <c r="F1130" s="3">
        <v>8751</v>
      </c>
      <c r="G1130" s="3" t="s">
        <v>402</v>
      </c>
      <c r="H1130" s="3" t="s">
        <v>38</v>
      </c>
      <c r="I1130" s="3">
        <v>498066</v>
      </c>
      <c r="J1130" s="3">
        <v>495466</v>
      </c>
      <c r="K1130" s="3">
        <v>2600</v>
      </c>
      <c r="L1130" s="3">
        <v>0</v>
      </c>
      <c r="M1130" s="3">
        <v>0</v>
      </c>
      <c r="N1130" s="3">
        <v>0</v>
      </c>
    </row>
    <row r="1131" spans="1:14" ht="14.4">
      <c r="A1131" s="3">
        <v>13367</v>
      </c>
      <c r="B1131" s="3">
        <v>13368</v>
      </c>
      <c r="C1131" s="3">
        <v>4086</v>
      </c>
      <c r="D1131" s="3" t="s">
        <v>390</v>
      </c>
      <c r="E1131" s="3" t="s">
        <v>745</v>
      </c>
      <c r="F1131" s="3">
        <v>7760</v>
      </c>
      <c r="G1131" s="3" t="s">
        <v>392</v>
      </c>
      <c r="H1131" s="3" t="s">
        <v>38</v>
      </c>
      <c r="I1131" s="3">
        <v>487600</v>
      </c>
      <c r="J1131" s="3">
        <v>456210</v>
      </c>
      <c r="K1131" s="3">
        <v>31390</v>
      </c>
      <c r="L1131" s="3">
        <v>28300</v>
      </c>
      <c r="M1131" s="3">
        <v>24700</v>
      </c>
      <c r="N1131" s="3">
        <v>3600</v>
      </c>
    </row>
    <row r="1132" spans="1:14" ht="14.4">
      <c r="A1132" s="3">
        <v>13367</v>
      </c>
      <c r="B1132" s="3">
        <v>13368</v>
      </c>
      <c r="C1132" s="3">
        <v>4086</v>
      </c>
      <c r="D1132" s="3" t="s">
        <v>390</v>
      </c>
      <c r="E1132" s="3" t="s">
        <v>746</v>
      </c>
      <c r="F1132" s="3">
        <v>8751</v>
      </c>
      <c r="G1132" s="3" t="s">
        <v>402</v>
      </c>
      <c r="H1132" s="3" t="s">
        <v>38</v>
      </c>
      <c r="I1132" s="3">
        <v>17485</v>
      </c>
      <c r="J1132" s="3">
        <v>16185</v>
      </c>
      <c r="K1132" s="3">
        <v>1300</v>
      </c>
      <c r="L1132" s="3">
        <v>0</v>
      </c>
      <c r="M1132" s="3">
        <v>0</v>
      </c>
      <c r="N1132" s="3">
        <v>0</v>
      </c>
    </row>
    <row r="1133" spans="1:14" ht="14.4">
      <c r="A1133" s="3">
        <v>13367</v>
      </c>
      <c r="B1133" s="3">
        <v>13368</v>
      </c>
      <c r="C1133" s="3">
        <v>4086</v>
      </c>
      <c r="D1133" s="3" t="s">
        <v>390</v>
      </c>
      <c r="E1133" s="3" t="s">
        <v>747</v>
      </c>
      <c r="F1133" s="3">
        <v>7724</v>
      </c>
      <c r="G1133" s="3" t="s">
        <v>402</v>
      </c>
      <c r="H1133" s="3" t="s">
        <v>38</v>
      </c>
      <c r="I1133" s="3">
        <v>18377</v>
      </c>
      <c r="J1133" s="3">
        <v>7677</v>
      </c>
      <c r="K1133" s="3">
        <v>10700</v>
      </c>
      <c r="L1133" s="3">
        <v>0</v>
      </c>
      <c r="M1133" s="3">
        <v>0</v>
      </c>
      <c r="N1133" s="3">
        <v>0</v>
      </c>
    </row>
    <row r="1134" spans="1:14" ht="14.4">
      <c r="A1134" s="3">
        <v>13367</v>
      </c>
      <c r="B1134" s="3">
        <v>13368</v>
      </c>
      <c r="C1134" s="3">
        <v>4086</v>
      </c>
      <c r="D1134" s="3" t="s">
        <v>390</v>
      </c>
      <c r="E1134" s="3" t="s">
        <v>747</v>
      </c>
      <c r="F1134" s="3">
        <v>7851</v>
      </c>
      <c r="G1134" s="3" t="s">
        <v>402</v>
      </c>
      <c r="H1134" s="3" t="s">
        <v>38</v>
      </c>
      <c r="I1134" s="3">
        <v>176385</v>
      </c>
      <c r="J1134" s="3">
        <v>163585</v>
      </c>
      <c r="K1134" s="3">
        <v>12800</v>
      </c>
      <c r="L1134" s="3">
        <v>143900</v>
      </c>
      <c r="M1134" s="3">
        <v>121600</v>
      </c>
      <c r="N1134" s="3">
        <v>12800</v>
      </c>
    </row>
    <row r="1135" spans="1:14" ht="14.4">
      <c r="A1135" s="3">
        <v>13367</v>
      </c>
      <c r="B1135" s="3">
        <v>13368</v>
      </c>
      <c r="C1135" s="3">
        <v>4086</v>
      </c>
      <c r="D1135" s="3" t="s">
        <v>390</v>
      </c>
      <c r="E1135" s="3" t="s">
        <v>747</v>
      </c>
      <c r="F1135" s="3">
        <v>8751</v>
      </c>
      <c r="G1135" s="3" t="s">
        <v>402</v>
      </c>
      <c r="H1135" s="3" t="s">
        <v>38</v>
      </c>
      <c r="I1135" s="3">
        <v>34046922</v>
      </c>
      <c r="J1135" s="3">
        <v>26701111</v>
      </c>
      <c r="K1135" s="3">
        <v>7345811</v>
      </c>
      <c r="L1135" s="3">
        <v>9678900</v>
      </c>
      <c r="M1135" s="3">
        <v>6681600</v>
      </c>
      <c r="N1135" s="3">
        <v>2243600</v>
      </c>
    </row>
    <row r="1136" spans="1:14" ht="14.4">
      <c r="A1136" s="3">
        <v>13367</v>
      </c>
      <c r="B1136" s="3">
        <v>13368</v>
      </c>
      <c r="C1136" s="3">
        <v>4086</v>
      </c>
      <c r="D1136" s="3" t="s">
        <v>390</v>
      </c>
      <c r="E1136" s="3" t="s">
        <v>747</v>
      </c>
      <c r="F1136" s="3">
        <v>8752</v>
      </c>
      <c r="G1136" s="3" t="s">
        <v>402</v>
      </c>
      <c r="H1136" s="3" t="s">
        <v>38</v>
      </c>
      <c r="I1136" s="3">
        <v>108506</v>
      </c>
      <c r="J1136" s="3">
        <v>0</v>
      </c>
      <c r="K1136" s="3">
        <v>108506</v>
      </c>
      <c r="L1136" s="3">
        <v>0</v>
      </c>
      <c r="M1136" s="3">
        <v>0</v>
      </c>
      <c r="N1136" s="3">
        <v>0</v>
      </c>
    </row>
    <row r="1137" spans="1:14" ht="14.4">
      <c r="A1137" s="3">
        <v>13367</v>
      </c>
      <c r="B1137" s="3">
        <v>13368</v>
      </c>
      <c r="C1137" s="3">
        <v>4086</v>
      </c>
      <c r="D1137" s="3" t="s">
        <v>390</v>
      </c>
      <c r="E1137" s="3" t="s">
        <v>747</v>
      </c>
      <c r="F1137" s="3">
        <v>8753</v>
      </c>
      <c r="G1137" s="3" t="s">
        <v>402</v>
      </c>
      <c r="H1137" s="3" t="s">
        <v>38</v>
      </c>
      <c r="I1137" s="3">
        <v>561005</v>
      </c>
      <c r="J1137" s="3">
        <v>523015</v>
      </c>
      <c r="K1137" s="3">
        <v>37990</v>
      </c>
      <c r="L1137" s="3">
        <v>8200</v>
      </c>
      <c r="M1137" s="3">
        <v>5600</v>
      </c>
      <c r="N1137" s="3">
        <v>0</v>
      </c>
    </row>
    <row r="1138" spans="1:14" ht="14.4">
      <c r="A1138" s="3">
        <v>13367</v>
      </c>
      <c r="B1138" s="3">
        <v>13368</v>
      </c>
      <c r="C1138" s="3">
        <v>4086</v>
      </c>
      <c r="D1138" s="3" t="s">
        <v>390</v>
      </c>
      <c r="E1138" s="3" t="s">
        <v>747</v>
      </c>
      <c r="F1138" s="3">
        <v>8817</v>
      </c>
      <c r="G1138" s="3" t="s">
        <v>402</v>
      </c>
      <c r="H1138" s="3" t="s">
        <v>38</v>
      </c>
      <c r="I1138" s="3">
        <v>81349</v>
      </c>
      <c r="J1138" s="3">
        <v>69399</v>
      </c>
      <c r="K1138" s="3">
        <v>11950</v>
      </c>
      <c r="L1138" s="3">
        <v>62500</v>
      </c>
      <c r="M1138" s="3">
        <v>49400</v>
      </c>
      <c r="N1138" s="3">
        <v>12000</v>
      </c>
    </row>
    <row r="1139" spans="1:14" ht="14.4">
      <c r="A1139" s="3">
        <v>13367</v>
      </c>
      <c r="B1139" s="3">
        <v>13368</v>
      </c>
      <c r="C1139" s="3">
        <v>4086</v>
      </c>
      <c r="D1139" s="3" t="s">
        <v>390</v>
      </c>
      <c r="E1139" s="3" t="s">
        <v>748</v>
      </c>
      <c r="F1139" s="3">
        <v>8751</v>
      </c>
      <c r="G1139" s="3" t="s">
        <v>402</v>
      </c>
      <c r="H1139" s="3" t="s">
        <v>38</v>
      </c>
      <c r="I1139" s="3">
        <v>575500</v>
      </c>
      <c r="J1139" s="3">
        <v>551372</v>
      </c>
      <c r="K1139" s="3">
        <v>24128</v>
      </c>
      <c r="L1139" s="3">
        <v>5100</v>
      </c>
      <c r="M1139" s="3">
        <v>0</v>
      </c>
      <c r="N1139" s="3">
        <v>5100</v>
      </c>
    </row>
    <row r="1140" spans="1:14" ht="14.4">
      <c r="A1140" s="3">
        <v>13367</v>
      </c>
      <c r="B1140" s="3">
        <v>13368</v>
      </c>
      <c r="C1140" s="3">
        <v>4086</v>
      </c>
      <c r="D1140" s="3" t="s">
        <v>390</v>
      </c>
      <c r="E1140" s="3" t="s">
        <v>749</v>
      </c>
      <c r="F1140" s="3">
        <v>8752</v>
      </c>
      <c r="G1140" s="3" t="s">
        <v>406</v>
      </c>
      <c r="H1140" s="3" t="s">
        <v>38</v>
      </c>
      <c r="I1140" s="3">
        <v>64506</v>
      </c>
      <c r="J1140" s="3">
        <v>62306</v>
      </c>
      <c r="K1140" s="3">
        <v>2200</v>
      </c>
      <c r="L1140" s="3">
        <v>0</v>
      </c>
      <c r="M1140" s="3">
        <v>0</v>
      </c>
      <c r="N1140" s="3">
        <v>0</v>
      </c>
    </row>
    <row r="1141" spans="1:14" ht="14.4">
      <c r="A1141" s="3">
        <v>13367</v>
      </c>
      <c r="B1141" s="3">
        <v>13368</v>
      </c>
      <c r="C1141" s="3">
        <v>4086</v>
      </c>
      <c r="D1141" s="3" t="s">
        <v>390</v>
      </c>
      <c r="E1141" s="3" t="s">
        <v>749</v>
      </c>
      <c r="F1141" s="3">
        <v>8732</v>
      </c>
      <c r="G1141" s="3" t="s">
        <v>402</v>
      </c>
      <c r="H1141" s="3" t="s">
        <v>38</v>
      </c>
      <c r="I1141" s="3">
        <v>68967</v>
      </c>
      <c r="J1141" s="3">
        <v>38348</v>
      </c>
      <c r="K1141" s="3">
        <v>30619</v>
      </c>
      <c r="L1141" s="3">
        <v>0</v>
      </c>
      <c r="M1141" s="3">
        <v>0</v>
      </c>
      <c r="N1141" s="3">
        <v>0</v>
      </c>
    </row>
    <row r="1142" spans="1:14" ht="14.4">
      <c r="A1142" s="3">
        <v>13367</v>
      </c>
      <c r="B1142" s="3">
        <v>13368</v>
      </c>
      <c r="C1142" s="3">
        <v>4086</v>
      </c>
      <c r="D1142" s="3" t="s">
        <v>390</v>
      </c>
      <c r="E1142" s="3" t="s">
        <v>749</v>
      </c>
      <c r="F1142" s="3">
        <v>8752</v>
      </c>
      <c r="G1142" s="3" t="s">
        <v>402</v>
      </c>
      <c r="H1142" s="3" t="s">
        <v>38</v>
      </c>
      <c r="I1142" s="3">
        <v>6800924</v>
      </c>
      <c r="J1142" s="3">
        <v>5562567</v>
      </c>
      <c r="K1142" s="3">
        <v>1238357</v>
      </c>
      <c r="L1142" s="3">
        <v>3362200</v>
      </c>
      <c r="M1142" s="3">
        <v>2274200</v>
      </c>
      <c r="N1142" s="3">
        <v>728300</v>
      </c>
    </row>
    <row r="1143" spans="1:14" ht="14.4">
      <c r="A1143" s="3">
        <v>13367</v>
      </c>
      <c r="B1143" s="3">
        <v>13368</v>
      </c>
      <c r="C1143" s="3">
        <v>4086</v>
      </c>
      <c r="D1143" s="3" t="s">
        <v>390</v>
      </c>
      <c r="E1143" s="3" t="s">
        <v>750</v>
      </c>
      <c r="F1143" s="3">
        <v>8751</v>
      </c>
      <c r="G1143" s="3" t="s">
        <v>402</v>
      </c>
      <c r="H1143" s="3" t="s">
        <v>38</v>
      </c>
      <c r="I1143" s="3">
        <v>51971</v>
      </c>
      <c r="J1143" s="3">
        <v>0</v>
      </c>
      <c r="K1143" s="3">
        <v>51971</v>
      </c>
      <c r="L1143" s="3">
        <v>0</v>
      </c>
      <c r="M1143" s="3">
        <v>0</v>
      </c>
      <c r="N1143" s="3">
        <v>0</v>
      </c>
    </row>
    <row r="1144" spans="1:14" ht="14.4">
      <c r="A1144" s="3">
        <v>13367</v>
      </c>
      <c r="B1144" s="3">
        <v>13368</v>
      </c>
      <c r="C1144" s="3">
        <v>4086</v>
      </c>
      <c r="D1144" s="3" t="s">
        <v>390</v>
      </c>
      <c r="E1144" s="3" t="s">
        <v>751</v>
      </c>
      <c r="F1144" s="3">
        <v>8751</v>
      </c>
      <c r="G1144" s="3" t="s">
        <v>402</v>
      </c>
      <c r="H1144" s="3" t="s">
        <v>38</v>
      </c>
      <c r="I1144" s="3">
        <v>380125</v>
      </c>
      <c r="J1144" s="3">
        <v>318075</v>
      </c>
      <c r="K1144" s="3">
        <v>62050</v>
      </c>
      <c r="L1144" s="3">
        <v>0</v>
      </c>
      <c r="M1144" s="3">
        <v>0</v>
      </c>
      <c r="N1144" s="3">
        <v>0</v>
      </c>
    </row>
    <row r="1145" spans="1:14" ht="14.4">
      <c r="A1145" s="3">
        <v>13367</v>
      </c>
      <c r="B1145" s="3">
        <v>13368</v>
      </c>
      <c r="C1145" s="3">
        <v>4086</v>
      </c>
      <c r="D1145" s="3" t="s">
        <v>390</v>
      </c>
      <c r="E1145" s="3" t="s">
        <v>752</v>
      </c>
      <c r="F1145" s="3">
        <v>8230</v>
      </c>
      <c r="G1145" s="3" t="s">
        <v>404</v>
      </c>
      <c r="H1145" s="3" t="s">
        <v>38</v>
      </c>
      <c r="I1145" s="3">
        <v>25012</v>
      </c>
      <c r="J1145" s="3">
        <v>0</v>
      </c>
      <c r="K1145" s="3">
        <v>25012</v>
      </c>
      <c r="L1145" s="3">
        <v>0</v>
      </c>
      <c r="M1145" s="3">
        <v>0</v>
      </c>
      <c r="N1145" s="3">
        <v>0</v>
      </c>
    </row>
    <row r="1146" spans="1:14" ht="14.4">
      <c r="A1146" s="3">
        <v>13367</v>
      </c>
      <c r="B1146" s="3">
        <v>13368</v>
      </c>
      <c r="C1146" s="3">
        <v>4086</v>
      </c>
      <c r="D1146" s="3" t="s">
        <v>390</v>
      </c>
      <c r="E1146" s="3" t="s">
        <v>753</v>
      </c>
      <c r="F1146" s="3">
        <v>7094</v>
      </c>
      <c r="G1146" s="3" t="s">
        <v>37</v>
      </c>
      <c r="H1146" s="3" t="s">
        <v>38</v>
      </c>
      <c r="I1146" s="3">
        <v>3817214</v>
      </c>
      <c r="J1146" s="3">
        <v>3674745</v>
      </c>
      <c r="K1146" s="3">
        <v>142469</v>
      </c>
      <c r="L1146" s="3">
        <v>1134900</v>
      </c>
      <c r="M1146" s="3">
        <v>1122700</v>
      </c>
      <c r="N1146" s="3">
        <v>0</v>
      </c>
    </row>
    <row r="1147" spans="1:14" ht="14.4">
      <c r="A1147" s="3">
        <v>13367</v>
      </c>
      <c r="B1147" s="3">
        <v>13368</v>
      </c>
      <c r="C1147" s="3">
        <v>4086</v>
      </c>
      <c r="D1147" s="3" t="s">
        <v>390</v>
      </c>
      <c r="E1147" s="3" t="s">
        <v>754</v>
      </c>
      <c r="F1147" s="3">
        <v>7077</v>
      </c>
      <c r="G1147" s="3" t="s">
        <v>76</v>
      </c>
      <c r="H1147" s="3" t="s">
        <v>38</v>
      </c>
      <c r="I1147" s="3">
        <v>16520</v>
      </c>
      <c r="J1147" s="3">
        <v>0</v>
      </c>
      <c r="K1147" s="3">
        <v>16520</v>
      </c>
      <c r="L1147" s="3">
        <v>0</v>
      </c>
      <c r="M1147" s="3">
        <v>0</v>
      </c>
      <c r="N1147" s="3">
        <v>0</v>
      </c>
    </row>
    <row r="1148" spans="1:14" ht="14.4">
      <c r="A1148" s="3">
        <v>13367</v>
      </c>
      <c r="B1148" s="3">
        <v>13368</v>
      </c>
      <c r="C1148" s="3">
        <v>4086</v>
      </c>
      <c r="D1148" s="3" t="s">
        <v>390</v>
      </c>
      <c r="E1148" s="3" t="s">
        <v>754</v>
      </c>
      <c r="F1148" s="3">
        <v>7077</v>
      </c>
      <c r="G1148" s="3" t="s">
        <v>406</v>
      </c>
      <c r="H1148" s="3" t="s">
        <v>38</v>
      </c>
      <c r="I1148" s="3">
        <v>454085</v>
      </c>
      <c r="J1148" s="3">
        <v>386513</v>
      </c>
      <c r="K1148" s="3">
        <v>67572</v>
      </c>
      <c r="L1148" s="3">
        <v>234600</v>
      </c>
      <c r="M1148" s="3">
        <v>187800</v>
      </c>
      <c r="N1148" s="3">
        <v>37300</v>
      </c>
    </row>
    <row r="1149" spans="1:14" ht="14.4">
      <c r="A1149" s="3">
        <v>13367</v>
      </c>
      <c r="B1149" s="3">
        <v>13368</v>
      </c>
      <c r="C1149" s="3">
        <v>4086</v>
      </c>
      <c r="D1149" s="3" t="s">
        <v>390</v>
      </c>
      <c r="E1149" s="3" t="s">
        <v>755</v>
      </c>
      <c r="F1149" s="3">
        <v>7077</v>
      </c>
      <c r="G1149" s="3" t="s">
        <v>406</v>
      </c>
      <c r="H1149" s="3" t="s">
        <v>38</v>
      </c>
      <c r="I1149" s="3">
        <v>45962</v>
      </c>
      <c r="J1149" s="3">
        <v>0</v>
      </c>
      <c r="K1149" s="3">
        <v>45962</v>
      </c>
      <c r="L1149" s="3">
        <v>37500</v>
      </c>
      <c r="M1149" s="3">
        <v>0</v>
      </c>
      <c r="N1149" s="3">
        <v>26600</v>
      </c>
    </row>
    <row r="1150" spans="1:14" ht="14.4">
      <c r="A1150" s="3">
        <v>13367</v>
      </c>
      <c r="B1150" s="3">
        <v>13368</v>
      </c>
      <c r="C1150" s="3">
        <v>4086</v>
      </c>
      <c r="D1150" s="3" t="s">
        <v>390</v>
      </c>
      <c r="E1150" s="3" t="s">
        <v>756</v>
      </c>
      <c r="F1150" s="3">
        <v>8008</v>
      </c>
      <c r="G1150" s="3" t="s">
        <v>402</v>
      </c>
      <c r="H1150" s="3" t="s">
        <v>38</v>
      </c>
      <c r="I1150" s="3">
        <v>5340954</v>
      </c>
      <c r="J1150" s="3">
        <v>3595162</v>
      </c>
      <c r="K1150" s="3">
        <v>1745792</v>
      </c>
      <c r="L1150" s="3">
        <v>1498700</v>
      </c>
      <c r="M1150" s="3">
        <v>611100</v>
      </c>
      <c r="N1150" s="3">
        <v>543300</v>
      </c>
    </row>
    <row r="1151" spans="1:14" ht="14.4">
      <c r="A1151" s="3">
        <v>13367</v>
      </c>
      <c r="B1151" s="3">
        <v>13368</v>
      </c>
      <c r="C1151" s="3">
        <v>4086</v>
      </c>
      <c r="D1151" s="3" t="s">
        <v>390</v>
      </c>
      <c r="E1151" s="3" t="s">
        <v>757</v>
      </c>
      <c r="F1151" s="3">
        <v>8008</v>
      </c>
      <c r="G1151" s="3" t="s">
        <v>402</v>
      </c>
      <c r="H1151" s="3" t="s">
        <v>38</v>
      </c>
      <c r="I1151" s="3">
        <v>41478</v>
      </c>
      <c r="J1151" s="3">
        <v>29678</v>
      </c>
      <c r="K1151" s="3">
        <v>11800</v>
      </c>
      <c r="L1151" s="3">
        <v>0</v>
      </c>
      <c r="M1151" s="3">
        <v>0</v>
      </c>
      <c r="N1151" s="3">
        <v>0</v>
      </c>
    </row>
    <row r="1152" spans="1:14" ht="14.4">
      <c r="A1152" s="3">
        <v>13367</v>
      </c>
      <c r="B1152" s="3">
        <v>13368</v>
      </c>
      <c r="C1152" s="3">
        <v>4086</v>
      </c>
      <c r="D1152" s="3" t="s">
        <v>390</v>
      </c>
      <c r="E1152" s="3" t="s">
        <v>758</v>
      </c>
      <c r="F1152" s="3">
        <v>7078</v>
      </c>
      <c r="G1152" s="3" t="s">
        <v>428</v>
      </c>
      <c r="H1152" s="3" t="s">
        <v>38</v>
      </c>
      <c r="I1152" s="3">
        <v>13497</v>
      </c>
      <c r="J1152" s="3">
        <v>0</v>
      </c>
      <c r="K1152" s="3">
        <v>13497</v>
      </c>
      <c r="L1152" s="3">
        <v>0</v>
      </c>
      <c r="M1152" s="3">
        <v>0</v>
      </c>
      <c r="N1152" s="3">
        <v>0</v>
      </c>
    </row>
    <row r="1153" spans="1:14" ht="14.4">
      <c r="A1153" s="3">
        <v>13367</v>
      </c>
      <c r="B1153" s="3">
        <v>13368</v>
      </c>
      <c r="C1153" s="3">
        <v>4086</v>
      </c>
      <c r="D1153" s="3" t="s">
        <v>390</v>
      </c>
      <c r="E1153" s="3" t="s">
        <v>759</v>
      </c>
      <c r="F1153" s="3">
        <v>7702</v>
      </c>
      <c r="G1153" s="3" t="s">
        <v>392</v>
      </c>
      <c r="H1153" s="3" t="s">
        <v>38</v>
      </c>
      <c r="I1153" s="3">
        <v>165978</v>
      </c>
      <c r="J1153" s="3">
        <v>153134</v>
      </c>
      <c r="K1153" s="3">
        <v>12844</v>
      </c>
      <c r="L1153" s="3">
        <v>173100</v>
      </c>
      <c r="M1153" s="3">
        <v>66600</v>
      </c>
      <c r="N1153" s="3">
        <v>0</v>
      </c>
    </row>
    <row r="1154" spans="1:14" ht="14.4">
      <c r="A1154" s="3">
        <v>13367</v>
      </c>
      <c r="B1154" s="3">
        <v>13368</v>
      </c>
      <c r="C1154" s="3">
        <v>4086</v>
      </c>
      <c r="D1154" s="3" t="s">
        <v>390</v>
      </c>
      <c r="E1154" s="3" t="s">
        <v>760</v>
      </c>
      <c r="F1154" s="3">
        <v>8081</v>
      </c>
      <c r="G1154" s="3" t="s">
        <v>465</v>
      </c>
      <c r="H1154" s="3" t="s">
        <v>38</v>
      </c>
      <c r="I1154" s="3">
        <v>6329</v>
      </c>
      <c r="J1154" s="3">
        <v>6329</v>
      </c>
      <c r="K1154" s="3">
        <v>0</v>
      </c>
      <c r="L1154" s="3">
        <v>0</v>
      </c>
      <c r="M1154" s="3">
        <v>0</v>
      </c>
      <c r="N1154" s="3">
        <v>0</v>
      </c>
    </row>
    <row r="1155" spans="1:14" ht="14.4">
      <c r="A1155" s="3">
        <v>13367</v>
      </c>
      <c r="B1155" s="3">
        <v>13368</v>
      </c>
      <c r="C1155" s="3">
        <v>4086</v>
      </c>
      <c r="D1155" s="3" t="s">
        <v>390</v>
      </c>
      <c r="E1155" s="3" t="s">
        <v>761</v>
      </c>
      <c r="F1155" s="3">
        <v>8739</v>
      </c>
      <c r="G1155" s="3" t="s">
        <v>402</v>
      </c>
      <c r="H1155" s="3" t="s">
        <v>38</v>
      </c>
      <c r="I1155" s="3">
        <v>160714</v>
      </c>
      <c r="J1155" s="3">
        <v>143914</v>
      </c>
      <c r="K1155" s="3">
        <v>16800</v>
      </c>
      <c r="L1155" s="3">
        <v>0</v>
      </c>
      <c r="M1155" s="3">
        <v>0</v>
      </c>
      <c r="N1155" s="3">
        <v>0</v>
      </c>
    </row>
    <row r="1156" spans="1:14" ht="14.4">
      <c r="A1156" s="3">
        <v>13367</v>
      </c>
      <c r="B1156" s="3">
        <v>13368</v>
      </c>
      <c r="C1156" s="3">
        <v>4086</v>
      </c>
      <c r="D1156" s="3" t="s">
        <v>390</v>
      </c>
      <c r="E1156" s="3" t="s">
        <v>762</v>
      </c>
      <c r="F1156" s="3">
        <v>8879</v>
      </c>
      <c r="G1156" s="3" t="s">
        <v>406</v>
      </c>
      <c r="H1156" s="3" t="s">
        <v>38</v>
      </c>
      <c r="I1156" s="3">
        <v>8000</v>
      </c>
      <c r="J1156" s="3">
        <v>0</v>
      </c>
      <c r="K1156" s="3">
        <v>8000</v>
      </c>
      <c r="L1156" s="3">
        <v>0</v>
      </c>
      <c r="M1156" s="3">
        <v>0</v>
      </c>
      <c r="N1156" s="3">
        <v>0</v>
      </c>
    </row>
    <row r="1157" spans="1:14" ht="14.4">
      <c r="A1157" s="3">
        <v>13367</v>
      </c>
      <c r="B1157" s="3">
        <v>13368</v>
      </c>
      <c r="C1157" s="3">
        <v>4086</v>
      </c>
      <c r="D1157" s="3" t="s">
        <v>390</v>
      </c>
      <c r="E1157" s="3" t="s">
        <v>763</v>
      </c>
      <c r="F1157" s="3">
        <v>8223</v>
      </c>
      <c r="G1157" s="3" t="s">
        <v>394</v>
      </c>
      <c r="H1157" s="3" t="s">
        <v>38</v>
      </c>
      <c r="I1157" s="3">
        <v>59894</v>
      </c>
      <c r="J1157" s="3">
        <v>56394</v>
      </c>
      <c r="K1157" s="3">
        <v>3500</v>
      </c>
      <c r="L1157" s="3">
        <v>0</v>
      </c>
      <c r="M1157" s="3">
        <v>0</v>
      </c>
      <c r="N1157" s="3">
        <v>0</v>
      </c>
    </row>
    <row r="1158" spans="1:14" ht="14.4">
      <c r="A1158" s="3">
        <v>13367</v>
      </c>
      <c r="B1158" s="3">
        <v>13368</v>
      </c>
      <c r="C1158" s="3">
        <v>4086</v>
      </c>
      <c r="D1158" s="3" t="s">
        <v>390</v>
      </c>
      <c r="E1158" s="3" t="s">
        <v>763</v>
      </c>
      <c r="F1158" s="3">
        <v>8234</v>
      </c>
      <c r="G1158" s="3" t="s">
        <v>394</v>
      </c>
      <c r="H1158" s="3" t="s">
        <v>38</v>
      </c>
      <c r="I1158" s="3">
        <v>85251</v>
      </c>
      <c r="J1158" s="3">
        <v>35511</v>
      </c>
      <c r="K1158" s="3">
        <v>49740</v>
      </c>
      <c r="L1158" s="3">
        <v>0</v>
      </c>
      <c r="M1158" s="3">
        <v>0</v>
      </c>
      <c r="N1158" s="3">
        <v>0</v>
      </c>
    </row>
    <row r="1159" spans="1:14" ht="14.4">
      <c r="A1159" s="3">
        <v>13367</v>
      </c>
      <c r="B1159" s="3">
        <v>13368</v>
      </c>
      <c r="C1159" s="3">
        <v>4086</v>
      </c>
      <c r="D1159" s="3" t="s">
        <v>390</v>
      </c>
      <c r="E1159" s="3" t="s">
        <v>763</v>
      </c>
      <c r="F1159" s="3">
        <v>8244</v>
      </c>
      <c r="G1159" s="3" t="s">
        <v>394</v>
      </c>
      <c r="H1159" s="3" t="s">
        <v>38</v>
      </c>
      <c r="I1159" s="3">
        <v>1667442</v>
      </c>
      <c r="J1159" s="3">
        <v>1557904</v>
      </c>
      <c r="K1159" s="3">
        <v>109538</v>
      </c>
      <c r="L1159" s="3">
        <v>1438900</v>
      </c>
      <c r="M1159" s="3">
        <v>1393500</v>
      </c>
      <c r="N1159" s="3">
        <v>28600</v>
      </c>
    </row>
    <row r="1160" spans="1:14" ht="14.4">
      <c r="A1160" s="3">
        <v>13367</v>
      </c>
      <c r="B1160" s="3">
        <v>13368</v>
      </c>
      <c r="C1160" s="3">
        <v>4086</v>
      </c>
      <c r="D1160" s="3" t="s">
        <v>390</v>
      </c>
      <c r="E1160" s="3" t="s">
        <v>413</v>
      </c>
      <c r="F1160" s="3">
        <v>8873</v>
      </c>
      <c r="G1160" s="3" t="s">
        <v>413</v>
      </c>
      <c r="H1160" s="3" t="s">
        <v>38</v>
      </c>
      <c r="I1160" s="3">
        <v>379435</v>
      </c>
      <c r="J1160" s="3">
        <v>303311</v>
      </c>
      <c r="K1160" s="3">
        <v>76124</v>
      </c>
      <c r="L1160" s="3">
        <v>390500</v>
      </c>
      <c r="M1160" s="3">
        <v>296400</v>
      </c>
      <c r="N1160" s="3">
        <v>66200</v>
      </c>
    </row>
    <row r="1161" spans="1:14" ht="14.4">
      <c r="A1161" s="3">
        <v>13367</v>
      </c>
      <c r="B1161" s="3">
        <v>13368</v>
      </c>
      <c r="C1161" s="3">
        <v>4086</v>
      </c>
      <c r="D1161" s="3" t="s">
        <v>390</v>
      </c>
      <c r="E1161" s="3" t="s">
        <v>764</v>
      </c>
      <c r="F1161" s="3">
        <v>8876</v>
      </c>
      <c r="G1161" s="3" t="s">
        <v>413</v>
      </c>
      <c r="H1161" s="3" t="s">
        <v>38</v>
      </c>
      <c r="I1161" s="3">
        <v>12186</v>
      </c>
      <c r="J1161" s="3">
        <v>11986</v>
      </c>
      <c r="K1161" s="3">
        <v>200</v>
      </c>
      <c r="L1161" s="3">
        <v>113700</v>
      </c>
      <c r="M1161" s="3">
        <v>0</v>
      </c>
      <c r="N1161" s="3">
        <v>0</v>
      </c>
    </row>
    <row r="1162" spans="1:14" ht="14.4">
      <c r="A1162" s="3">
        <v>13367</v>
      </c>
      <c r="B1162" s="3">
        <v>13368</v>
      </c>
      <c r="C1162" s="3">
        <v>4086</v>
      </c>
      <c r="D1162" s="3" t="s">
        <v>390</v>
      </c>
      <c r="E1162" s="3" t="s">
        <v>765</v>
      </c>
      <c r="F1162" s="3">
        <v>7032</v>
      </c>
      <c r="G1162" s="3" t="s">
        <v>37</v>
      </c>
      <c r="H1162" s="3" t="s">
        <v>38</v>
      </c>
      <c r="I1162" s="3">
        <v>68000</v>
      </c>
      <c r="J1162" s="3">
        <v>0</v>
      </c>
      <c r="K1162" s="3">
        <v>68000</v>
      </c>
      <c r="L1162" s="3">
        <v>0</v>
      </c>
      <c r="M1162" s="3">
        <v>0</v>
      </c>
      <c r="N1162" s="3">
        <v>0</v>
      </c>
    </row>
    <row r="1163" spans="1:14" ht="14.4">
      <c r="A1163" s="3">
        <v>13367</v>
      </c>
      <c r="B1163" s="3">
        <v>13368</v>
      </c>
      <c r="C1163" s="3">
        <v>4086</v>
      </c>
      <c r="D1163" s="3" t="s">
        <v>390</v>
      </c>
      <c r="E1163" s="3" t="s">
        <v>766</v>
      </c>
      <c r="F1163" s="3">
        <v>7032</v>
      </c>
      <c r="G1163" s="3" t="s">
        <v>435</v>
      </c>
      <c r="H1163" s="3" t="s">
        <v>38</v>
      </c>
      <c r="I1163" s="3">
        <v>185598</v>
      </c>
      <c r="J1163" s="3">
        <v>0</v>
      </c>
      <c r="K1163" s="3">
        <v>185598</v>
      </c>
      <c r="L1163" s="3">
        <v>178500</v>
      </c>
      <c r="M1163" s="3">
        <v>0</v>
      </c>
      <c r="N1163" s="3">
        <v>108500</v>
      </c>
    </row>
    <row r="1164" spans="1:14" ht="14.4">
      <c r="A1164" s="3">
        <v>13367</v>
      </c>
      <c r="B1164" s="3">
        <v>13368</v>
      </c>
      <c r="C1164" s="3">
        <v>4086</v>
      </c>
      <c r="D1164" s="3" t="s">
        <v>390</v>
      </c>
      <c r="E1164" s="3" t="s">
        <v>767</v>
      </c>
      <c r="F1164" s="3">
        <v>8757</v>
      </c>
      <c r="G1164" s="3" t="s">
        <v>402</v>
      </c>
      <c r="H1164" s="3" t="s">
        <v>38</v>
      </c>
      <c r="I1164" s="3">
        <v>264031</v>
      </c>
      <c r="J1164" s="3">
        <v>108081</v>
      </c>
      <c r="K1164" s="3">
        <v>155950</v>
      </c>
      <c r="L1164" s="3">
        <v>0</v>
      </c>
      <c r="M1164" s="3">
        <v>0</v>
      </c>
      <c r="N1164" s="3">
        <v>0</v>
      </c>
    </row>
    <row r="1165" spans="1:14" ht="14.4">
      <c r="A1165" s="3">
        <v>13367</v>
      </c>
      <c r="B1165" s="3">
        <v>13368</v>
      </c>
      <c r="C1165" s="3">
        <v>4086</v>
      </c>
      <c r="D1165" s="3" t="s">
        <v>390</v>
      </c>
      <c r="E1165" s="3" t="s">
        <v>768</v>
      </c>
      <c r="F1165" s="3">
        <v>8872</v>
      </c>
      <c r="G1165" s="3" t="s">
        <v>406</v>
      </c>
      <c r="H1165" s="3" t="s">
        <v>38</v>
      </c>
      <c r="I1165" s="3">
        <v>157307</v>
      </c>
      <c r="J1165" s="3">
        <v>120962</v>
      </c>
      <c r="K1165" s="3">
        <v>36345</v>
      </c>
      <c r="L1165" s="3">
        <v>0</v>
      </c>
      <c r="M1165" s="3">
        <v>0</v>
      </c>
      <c r="N1165" s="3">
        <v>0</v>
      </c>
    </row>
    <row r="1166" spans="1:14" ht="14.4">
      <c r="A1166" s="3">
        <v>13367</v>
      </c>
      <c r="B1166" s="3">
        <v>13368</v>
      </c>
      <c r="C1166" s="3">
        <v>4086</v>
      </c>
      <c r="D1166" s="3" t="s">
        <v>390</v>
      </c>
      <c r="E1166" s="3" t="s">
        <v>768</v>
      </c>
      <c r="F1166" s="3">
        <v>8879</v>
      </c>
      <c r="G1166" s="3" t="s">
        <v>406</v>
      </c>
      <c r="H1166" s="3" t="s">
        <v>38</v>
      </c>
      <c r="I1166" s="3">
        <v>2129642</v>
      </c>
      <c r="J1166" s="3">
        <v>1544767</v>
      </c>
      <c r="K1166" s="3">
        <v>584875</v>
      </c>
      <c r="L1166" s="3">
        <v>224700</v>
      </c>
      <c r="M1166" s="3">
        <v>88400</v>
      </c>
      <c r="N1166" s="3">
        <v>136300</v>
      </c>
    </row>
    <row r="1167" spans="1:14" ht="14.4">
      <c r="A1167" s="3">
        <v>13367</v>
      </c>
      <c r="B1167" s="3">
        <v>13368</v>
      </c>
      <c r="C1167" s="3">
        <v>4086</v>
      </c>
      <c r="D1167" s="3" t="s">
        <v>390</v>
      </c>
      <c r="E1167" s="3" t="s">
        <v>769</v>
      </c>
      <c r="F1167" s="3">
        <v>7632</v>
      </c>
      <c r="G1167" s="3" t="s">
        <v>37</v>
      </c>
      <c r="H1167" s="3" t="s">
        <v>38</v>
      </c>
      <c r="I1167" s="3">
        <v>50000</v>
      </c>
      <c r="J1167" s="3">
        <v>0</v>
      </c>
      <c r="K1167" s="3">
        <v>50000</v>
      </c>
      <c r="L1167" s="3">
        <v>0</v>
      </c>
      <c r="M1167" s="3">
        <v>0</v>
      </c>
      <c r="N1167" s="3">
        <v>0</v>
      </c>
    </row>
    <row r="1168" spans="1:14" ht="14.4">
      <c r="A1168" s="3">
        <v>13367</v>
      </c>
      <c r="B1168" s="3">
        <v>13368</v>
      </c>
      <c r="C1168" s="3">
        <v>4086</v>
      </c>
      <c r="D1168" s="3" t="s">
        <v>390</v>
      </c>
      <c r="E1168" s="3" t="s">
        <v>770</v>
      </c>
      <c r="F1168" s="3">
        <v>7606</v>
      </c>
      <c r="G1168" s="3" t="s">
        <v>76</v>
      </c>
      <c r="H1168" s="3" t="s">
        <v>38</v>
      </c>
      <c r="I1168" s="3">
        <v>4939054</v>
      </c>
      <c r="J1168" s="3">
        <v>463377</v>
      </c>
      <c r="K1168" s="3">
        <v>4475677</v>
      </c>
      <c r="L1168" s="3">
        <v>2667000</v>
      </c>
      <c r="M1168" s="3">
        <v>0</v>
      </c>
      <c r="N1168" s="3">
        <v>2422000</v>
      </c>
    </row>
    <row r="1169" spans="1:14" ht="14.4">
      <c r="A1169" s="3">
        <v>13367</v>
      </c>
      <c r="B1169" s="3">
        <v>13368</v>
      </c>
      <c r="C1169" s="3">
        <v>4086</v>
      </c>
      <c r="D1169" s="3" t="s">
        <v>390</v>
      </c>
      <c r="E1169" s="3" t="s">
        <v>771</v>
      </c>
      <c r="F1169" s="3">
        <v>7032</v>
      </c>
      <c r="G1169" s="3" t="s">
        <v>37</v>
      </c>
      <c r="H1169" s="3" t="s">
        <v>38</v>
      </c>
      <c r="I1169" s="3">
        <v>58950</v>
      </c>
      <c r="J1169" s="3">
        <v>0</v>
      </c>
      <c r="K1169" s="3">
        <v>58950</v>
      </c>
      <c r="L1169" s="3">
        <v>37000</v>
      </c>
      <c r="M1169" s="3">
        <v>0</v>
      </c>
      <c r="N1169" s="3">
        <v>16700</v>
      </c>
    </row>
    <row r="1170" spans="1:14" ht="14.4">
      <c r="A1170" s="3">
        <v>13367</v>
      </c>
      <c r="B1170" s="3">
        <v>13368</v>
      </c>
      <c r="C1170" s="3">
        <v>4086</v>
      </c>
      <c r="D1170" s="3" t="s">
        <v>390</v>
      </c>
      <c r="E1170" s="3" t="s">
        <v>772</v>
      </c>
      <c r="F1170" s="3">
        <v>7083</v>
      </c>
      <c r="G1170" s="3" t="s">
        <v>428</v>
      </c>
      <c r="H1170" s="3" t="s">
        <v>38</v>
      </c>
      <c r="I1170" s="3">
        <v>49500</v>
      </c>
      <c r="J1170" s="3">
        <v>0</v>
      </c>
      <c r="K1170" s="3">
        <v>49500</v>
      </c>
      <c r="L1170" s="3">
        <v>0</v>
      </c>
      <c r="M1170" s="3">
        <v>0</v>
      </c>
      <c r="N1170" s="3">
        <v>0</v>
      </c>
    </row>
    <row r="1171" spans="1:14" ht="14.4">
      <c r="A1171" s="3">
        <v>13367</v>
      </c>
      <c r="B1171" s="3">
        <v>13368</v>
      </c>
      <c r="C1171" s="3">
        <v>4086</v>
      </c>
      <c r="D1171" s="3" t="s">
        <v>390</v>
      </c>
      <c r="E1171" s="3" t="s">
        <v>772</v>
      </c>
      <c r="F1171" s="3">
        <v>7032</v>
      </c>
      <c r="G1171" s="3" t="s">
        <v>37</v>
      </c>
      <c r="H1171" s="3" t="s">
        <v>38</v>
      </c>
      <c r="I1171" s="3">
        <v>1828470</v>
      </c>
      <c r="J1171" s="3">
        <v>333950</v>
      </c>
      <c r="K1171" s="3">
        <v>1494520</v>
      </c>
      <c r="L1171" s="3">
        <v>432600</v>
      </c>
      <c r="M1171" s="3">
        <v>309900</v>
      </c>
      <c r="N1171" s="3">
        <v>122700</v>
      </c>
    </row>
    <row r="1172" spans="1:14" ht="14.4">
      <c r="A1172" s="3">
        <v>13367</v>
      </c>
      <c r="B1172" s="3">
        <v>13368</v>
      </c>
      <c r="C1172" s="3">
        <v>4086</v>
      </c>
      <c r="D1172" s="3" t="s">
        <v>390</v>
      </c>
      <c r="E1172" s="3" t="s">
        <v>772</v>
      </c>
      <c r="F1172" s="3">
        <v>7032</v>
      </c>
      <c r="G1172" s="3" t="s">
        <v>464</v>
      </c>
      <c r="H1172" s="3" t="s">
        <v>38</v>
      </c>
      <c r="I1172" s="3">
        <v>29000</v>
      </c>
      <c r="J1172" s="3">
        <v>0</v>
      </c>
      <c r="K1172" s="3">
        <v>29000</v>
      </c>
      <c r="L1172" s="3">
        <v>0</v>
      </c>
      <c r="M1172" s="3">
        <v>0</v>
      </c>
      <c r="N1172" s="3">
        <v>0</v>
      </c>
    </row>
    <row r="1173" spans="1:14" ht="14.4">
      <c r="A1173" s="3">
        <v>13367</v>
      </c>
      <c r="B1173" s="3">
        <v>13368</v>
      </c>
      <c r="C1173" s="3">
        <v>4086</v>
      </c>
      <c r="D1173" s="3" t="s">
        <v>390</v>
      </c>
      <c r="E1173" s="3" t="s">
        <v>773</v>
      </c>
      <c r="F1173" s="3">
        <v>8738</v>
      </c>
      <c r="G1173" s="3" t="s">
        <v>402</v>
      </c>
      <c r="H1173" s="3" t="s">
        <v>38</v>
      </c>
      <c r="I1173" s="3">
        <v>109741</v>
      </c>
      <c r="J1173" s="3">
        <v>88441</v>
      </c>
      <c r="K1173" s="3">
        <v>21300</v>
      </c>
      <c r="L1173" s="3">
        <v>0</v>
      </c>
      <c r="M1173" s="3">
        <v>0</v>
      </c>
      <c r="N1173" s="3">
        <v>0</v>
      </c>
    </row>
    <row r="1174" spans="1:14" ht="14.4">
      <c r="A1174" s="3">
        <v>13367</v>
      </c>
      <c r="B1174" s="3">
        <v>13368</v>
      </c>
      <c r="C1174" s="3">
        <v>4086</v>
      </c>
      <c r="D1174" s="3" t="s">
        <v>390</v>
      </c>
      <c r="E1174" s="3" t="s">
        <v>774</v>
      </c>
      <c r="F1174" s="3">
        <v>8738</v>
      </c>
      <c r="G1174" s="3" t="s">
        <v>402</v>
      </c>
      <c r="H1174" s="3" t="s">
        <v>38</v>
      </c>
      <c r="I1174" s="3">
        <v>421648</v>
      </c>
      <c r="J1174" s="3">
        <v>396398</v>
      </c>
      <c r="K1174" s="3">
        <v>25250</v>
      </c>
      <c r="L1174" s="3">
        <v>0</v>
      </c>
      <c r="M1174" s="3">
        <v>0</v>
      </c>
      <c r="N1174" s="3">
        <v>0</v>
      </c>
    </row>
    <row r="1175" spans="1:14" ht="14.4">
      <c r="A1175" s="3">
        <v>13367</v>
      </c>
      <c r="B1175" s="3">
        <v>13368</v>
      </c>
      <c r="C1175" s="3">
        <v>4086</v>
      </c>
      <c r="D1175" s="3" t="s">
        <v>390</v>
      </c>
      <c r="E1175" s="3" t="s">
        <v>775</v>
      </c>
      <c r="F1175" s="3">
        <v>7080</v>
      </c>
      <c r="G1175" s="3" t="s">
        <v>406</v>
      </c>
      <c r="H1175" s="3" t="s">
        <v>38</v>
      </c>
      <c r="I1175" s="3">
        <v>312381</v>
      </c>
      <c r="J1175" s="3">
        <v>309191</v>
      </c>
      <c r="K1175" s="3">
        <v>3190</v>
      </c>
      <c r="L1175" s="3">
        <v>0</v>
      </c>
      <c r="M1175" s="3">
        <v>0</v>
      </c>
      <c r="N1175" s="3">
        <v>0</v>
      </c>
    </row>
    <row r="1176" spans="1:14" ht="14.4">
      <c r="A1176" s="3">
        <v>13367</v>
      </c>
      <c r="B1176" s="3">
        <v>13368</v>
      </c>
      <c r="C1176" s="3">
        <v>4086</v>
      </c>
      <c r="D1176" s="3" t="s">
        <v>390</v>
      </c>
      <c r="E1176" s="3" t="s">
        <v>776</v>
      </c>
      <c r="F1176" s="3">
        <v>8520</v>
      </c>
      <c r="G1176" s="3" t="s">
        <v>496</v>
      </c>
      <c r="H1176" s="3" t="s">
        <v>38</v>
      </c>
      <c r="I1176" s="3">
        <v>126161</v>
      </c>
      <c r="J1176" s="3">
        <v>126161</v>
      </c>
      <c r="K1176" s="3">
        <v>0</v>
      </c>
      <c r="L1176" s="3">
        <v>0</v>
      </c>
      <c r="M1176" s="3">
        <v>0</v>
      </c>
      <c r="N1176" s="3">
        <v>0</v>
      </c>
    </row>
    <row r="1177" spans="1:14" ht="14.4">
      <c r="A1177" s="3">
        <v>13367</v>
      </c>
      <c r="B1177" s="3">
        <v>13368</v>
      </c>
      <c r="C1177" s="3">
        <v>4086</v>
      </c>
      <c r="D1177" s="3" t="s">
        <v>390</v>
      </c>
      <c r="E1177" s="3" t="s">
        <v>776</v>
      </c>
      <c r="F1177" s="3">
        <v>8872</v>
      </c>
      <c r="G1177" s="3" t="s">
        <v>406</v>
      </c>
      <c r="H1177" s="3" t="s">
        <v>38</v>
      </c>
      <c r="I1177" s="3">
        <v>3844</v>
      </c>
      <c r="J1177" s="3">
        <v>0</v>
      </c>
      <c r="K1177" s="3">
        <v>3844</v>
      </c>
      <c r="L1177" s="3">
        <v>0</v>
      </c>
      <c r="M1177" s="3">
        <v>0</v>
      </c>
      <c r="N1177" s="3">
        <v>0</v>
      </c>
    </row>
    <row r="1178" spans="1:14" ht="14.4">
      <c r="A1178" s="3">
        <v>13367</v>
      </c>
      <c r="B1178" s="3">
        <v>13368</v>
      </c>
      <c r="C1178" s="3">
        <v>4086</v>
      </c>
      <c r="D1178" s="3" t="s">
        <v>390</v>
      </c>
      <c r="E1178" s="3" t="s">
        <v>776</v>
      </c>
      <c r="F1178" s="3">
        <v>8882</v>
      </c>
      <c r="G1178" s="3" t="s">
        <v>406</v>
      </c>
      <c r="H1178" s="3" t="s">
        <v>38</v>
      </c>
      <c r="I1178" s="3">
        <v>3393985</v>
      </c>
      <c r="J1178" s="3">
        <v>2236662</v>
      </c>
      <c r="K1178" s="3">
        <v>1157323</v>
      </c>
      <c r="L1178" s="3">
        <v>1399200</v>
      </c>
      <c r="M1178" s="3">
        <v>1011000</v>
      </c>
      <c r="N1178" s="3">
        <v>294200</v>
      </c>
    </row>
    <row r="1179" spans="1:14" ht="14.4">
      <c r="A1179" s="3">
        <v>13367</v>
      </c>
      <c r="B1179" s="3">
        <v>13368</v>
      </c>
      <c r="C1179" s="3">
        <v>4086</v>
      </c>
      <c r="D1179" s="3" t="s">
        <v>390</v>
      </c>
      <c r="E1179" s="3" t="s">
        <v>777</v>
      </c>
      <c r="F1179" s="3">
        <v>8752</v>
      </c>
      <c r="G1179" s="3" t="s">
        <v>402</v>
      </c>
      <c r="H1179" s="3" t="s">
        <v>38</v>
      </c>
      <c r="I1179" s="3">
        <v>171862</v>
      </c>
      <c r="J1179" s="3">
        <v>128738</v>
      </c>
      <c r="K1179" s="3">
        <v>43124</v>
      </c>
      <c r="L1179" s="3">
        <v>144800</v>
      </c>
      <c r="M1179" s="3">
        <v>110500</v>
      </c>
      <c r="N1179" s="3">
        <v>34300</v>
      </c>
    </row>
    <row r="1180" spans="1:14" ht="14.4">
      <c r="A1180" s="3">
        <v>13367</v>
      </c>
      <c r="B1180" s="3">
        <v>13368</v>
      </c>
      <c r="C1180" s="3">
        <v>4086</v>
      </c>
      <c r="D1180" s="3" t="s">
        <v>390</v>
      </c>
      <c r="E1180" s="3" t="s">
        <v>778</v>
      </c>
      <c r="F1180" s="3">
        <v>8757</v>
      </c>
      <c r="G1180" s="3" t="s">
        <v>402</v>
      </c>
      <c r="H1180" s="3" t="s">
        <v>38</v>
      </c>
      <c r="I1180" s="3">
        <v>87877</v>
      </c>
      <c r="J1180" s="3">
        <v>0</v>
      </c>
      <c r="K1180" s="3">
        <v>87877</v>
      </c>
      <c r="L1180" s="3">
        <v>7700</v>
      </c>
      <c r="M1180" s="3">
        <v>0</v>
      </c>
      <c r="N1180" s="3">
        <v>7700</v>
      </c>
    </row>
    <row r="1181" spans="1:14" ht="14.4">
      <c r="A1181" s="3">
        <v>13367</v>
      </c>
      <c r="B1181" s="3">
        <v>13368</v>
      </c>
      <c r="C1181" s="3">
        <v>4086</v>
      </c>
      <c r="D1181" s="3" t="s">
        <v>390</v>
      </c>
      <c r="E1181" s="3" t="s">
        <v>779</v>
      </c>
      <c r="F1181" s="3">
        <v>7871</v>
      </c>
      <c r="G1181" s="3" t="s">
        <v>462</v>
      </c>
      <c r="H1181" s="3" t="s">
        <v>38</v>
      </c>
      <c r="I1181" s="3">
        <v>63902</v>
      </c>
      <c r="J1181" s="3">
        <v>50902</v>
      </c>
      <c r="K1181" s="3">
        <v>13000</v>
      </c>
      <c r="L1181" s="3">
        <v>0</v>
      </c>
      <c r="M1181" s="3">
        <v>0</v>
      </c>
      <c r="N1181" s="3">
        <v>0</v>
      </c>
    </row>
    <row r="1182" spans="1:14" ht="14.4">
      <c r="A1182" s="3">
        <v>13367</v>
      </c>
      <c r="B1182" s="3">
        <v>13368</v>
      </c>
      <c r="C1182" s="3">
        <v>4086</v>
      </c>
      <c r="D1182" s="3" t="s">
        <v>390</v>
      </c>
      <c r="E1182" s="3" t="s">
        <v>780</v>
      </c>
      <c r="F1182" s="3">
        <v>8884</v>
      </c>
      <c r="G1182" s="3" t="s">
        <v>406</v>
      </c>
      <c r="H1182" s="3" t="s">
        <v>38</v>
      </c>
      <c r="I1182" s="3">
        <v>834851</v>
      </c>
      <c r="J1182" s="3">
        <v>17529</v>
      </c>
      <c r="K1182" s="3">
        <v>817322</v>
      </c>
      <c r="L1182" s="3">
        <v>802800</v>
      </c>
      <c r="M1182" s="3">
        <v>0</v>
      </c>
      <c r="N1182" s="3">
        <v>802800</v>
      </c>
    </row>
    <row r="1183" spans="1:14" ht="14.4">
      <c r="A1183" s="3">
        <v>13367</v>
      </c>
      <c r="B1183" s="3">
        <v>13368</v>
      </c>
      <c r="C1183" s="3">
        <v>4086</v>
      </c>
      <c r="D1183" s="3" t="s">
        <v>390</v>
      </c>
      <c r="E1183" s="3" t="s">
        <v>781</v>
      </c>
      <c r="F1183" s="3">
        <v>8008</v>
      </c>
      <c r="G1183" s="3" t="s">
        <v>402</v>
      </c>
      <c r="H1183" s="3" t="s">
        <v>38</v>
      </c>
      <c r="I1183" s="3">
        <v>119039</v>
      </c>
      <c r="J1183" s="3">
        <v>104939</v>
      </c>
      <c r="K1183" s="3">
        <v>14100</v>
      </c>
      <c r="L1183" s="3">
        <v>94600</v>
      </c>
      <c r="M1183" s="3">
        <v>80500</v>
      </c>
      <c r="N1183" s="3">
        <v>14100</v>
      </c>
    </row>
    <row r="1184" spans="1:14" ht="14.4">
      <c r="A1184" s="3">
        <v>13367</v>
      </c>
      <c r="B1184" s="3">
        <v>13368</v>
      </c>
      <c r="C1184" s="3">
        <v>4086</v>
      </c>
      <c r="D1184" s="3" t="s">
        <v>390</v>
      </c>
      <c r="E1184" s="3" t="s">
        <v>782</v>
      </c>
      <c r="F1184" s="3">
        <v>7762</v>
      </c>
      <c r="G1184" s="3" t="s">
        <v>392</v>
      </c>
      <c r="H1184" s="3" t="s">
        <v>38</v>
      </c>
      <c r="I1184" s="3">
        <v>218409</v>
      </c>
      <c r="J1184" s="3">
        <v>155564</v>
      </c>
      <c r="K1184" s="3">
        <v>62845</v>
      </c>
      <c r="L1184" s="3">
        <v>240900</v>
      </c>
      <c r="M1184" s="3">
        <v>6500</v>
      </c>
      <c r="N1184" s="3">
        <v>21800</v>
      </c>
    </row>
    <row r="1185" spans="1:14" ht="14.4">
      <c r="A1185" s="3">
        <v>13367</v>
      </c>
      <c r="B1185" s="3">
        <v>13368</v>
      </c>
      <c r="C1185" s="3">
        <v>4086</v>
      </c>
      <c r="D1185" s="3" t="s">
        <v>390</v>
      </c>
      <c r="E1185" s="3" t="s">
        <v>783</v>
      </c>
      <c r="F1185" s="3">
        <v>7762</v>
      </c>
      <c r="G1185" s="3" t="s">
        <v>392</v>
      </c>
      <c r="H1185" s="3" t="s">
        <v>38</v>
      </c>
      <c r="I1185" s="3">
        <v>31391</v>
      </c>
      <c r="J1185" s="3">
        <v>31391</v>
      </c>
      <c r="K1185" s="3">
        <v>0</v>
      </c>
      <c r="L1185" s="3">
        <v>0</v>
      </c>
      <c r="M1185" s="3">
        <v>0</v>
      </c>
      <c r="N1185" s="3">
        <v>0</v>
      </c>
    </row>
    <row r="1186" spans="1:14" ht="14.4">
      <c r="A1186" s="3">
        <v>13367</v>
      </c>
      <c r="B1186" s="3">
        <v>13368</v>
      </c>
      <c r="C1186" s="3">
        <v>4086</v>
      </c>
      <c r="D1186" s="3" t="s">
        <v>390</v>
      </c>
      <c r="E1186" s="3" t="s">
        <v>784</v>
      </c>
      <c r="F1186" s="3">
        <v>7081</v>
      </c>
      <c r="G1186" s="3" t="s">
        <v>435</v>
      </c>
      <c r="H1186" s="3" t="s">
        <v>38</v>
      </c>
      <c r="I1186" s="3">
        <v>0</v>
      </c>
      <c r="J1186" s="3">
        <v>0</v>
      </c>
      <c r="K1186" s="3">
        <v>0</v>
      </c>
      <c r="L1186" s="3">
        <v>7200</v>
      </c>
      <c r="M1186" s="3">
        <v>0</v>
      </c>
      <c r="N1186" s="3">
        <v>0</v>
      </c>
    </row>
    <row r="1187" spans="1:14" ht="14.4">
      <c r="A1187" s="3">
        <v>13367</v>
      </c>
      <c r="B1187" s="3">
        <v>13368</v>
      </c>
      <c r="C1187" s="3">
        <v>4086</v>
      </c>
      <c r="D1187" s="3" t="s">
        <v>390</v>
      </c>
      <c r="E1187" s="3" t="s">
        <v>785</v>
      </c>
      <c r="F1187" s="3">
        <v>8050</v>
      </c>
      <c r="G1187" s="3" t="s">
        <v>402</v>
      </c>
      <c r="H1187" s="3" t="s">
        <v>38</v>
      </c>
      <c r="I1187" s="3">
        <v>104140</v>
      </c>
      <c r="J1187" s="3">
        <v>89210</v>
      </c>
      <c r="K1187" s="3">
        <v>14930</v>
      </c>
      <c r="L1187" s="3">
        <v>14000</v>
      </c>
      <c r="M1187" s="3">
        <v>11300</v>
      </c>
      <c r="N1187" s="3">
        <v>2700</v>
      </c>
    </row>
    <row r="1188" spans="1:14" ht="14.4">
      <c r="A1188" s="3">
        <v>13367</v>
      </c>
      <c r="B1188" s="3">
        <v>13368</v>
      </c>
      <c r="C1188" s="3">
        <v>4086</v>
      </c>
      <c r="D1188" s="3" t="s">
        <v>390</v>
      </c>
      <c r="E1188" s="3" t="s">
        <v>786</v>
      </c>
      <c r="F1188" s="3">
        <v>8050</v>
      </c>
      <c r="G1188" s="3" t="s">
        <v>402</v>
      </c>
      <c r="H1188" s="3" t="s">
        <v>38</v>
      </c>
      <c r="I1188" s="3">
        <v>67504</v>
      </c>
      <c r="J1188" s="3">
        <v>48923</v>
      </c>
      <c r="K1188" s="3">
        <v>18581</v>
      </c>
      <c r="L1188" s="3">
        <v>0</v>
      </c>
      <c r="M1188" s="3">
        <v>0</v>
      </c>
      <c r="N1188" s="3">
        <v>0</v>
      </c>
    </row>
    <row r="1189" spans="1:14" ht="14.4">
      <c r="A1189" s="3">
        <v>13367</v>
      </c>
      <c r="B1189" s="3">
        <v>13368</v>
      </c>
      <c r="C1189" s="3">
        <v>4086</v>
      </c>
      <c r="D1189" s="3" t="s">
        <v>390</v>
      </c>
      <c r="E1189" s="3" t="s">
        <v>787</v>
      </c>
      <c r="F1189" s="3">
        <v>7874</v>
      </c>
      <c r="G1189" s="3" t="s">
        <v>462</v>
      </c>
      <c r="H1189" s="3" t="s">
        <v>38</v>
      </c>
      <c r="I1189" s="3">
        <v>111428</v>
      </c>
      <c r="J1189" s="3">
        <v>111428</v>
      </c>
      <c r="K1189" s="3">
        <v>0</v>
      </c>
      <c r="L1189" s="3">
        <v>0</v>
      </c>
      <c r="M1189" s="3">
        <v>0</v>
      </c>
      <c r="N1189" s="3">
        <v>0</v>
      </c>
    </row>
    <row r="1190" spans="1:14" ht="14.4">
      <c r="A1190" s="3">
        <v>13367</v>
      </c>
      <c r="B1190" s="3">
        <v>13368</v>
      </c>
      <c r="C1190" s="3">
        <v>4086</v>
      </c>
      <c r="D1190" s="3" t="s">
        <v>390</v>
      </c>
      <c r="E1190" s="3" t="s">
        <v>788</v>
      </c>
      <c r="F1190" s="3">
        <v>7980</v>
      </c>
      <c r="G1190" s="3" t="s">
        <v>441</v>
      </c>
      <c r="H1190" s="3" t="s">
        <v>38</v>
      </c>
      <c r="I1190" s="3">
        <v>151475</v>
      </c>
      <c r="J1190" s="3">
        <v>144245</v>
      </c>
      <c r="K1190" s="3">
        <v>7230</v>
      </c>
      <c r="L1190" s="3">
        <v>222200</v>
      </c>
      <c r="M1190" s="3">
        <v>22200</v>
      </c>
      <c r="N1190" s="3">
        <v>0</v>
      </c>
    </row>
    <row r="1191" spans="1:14" ht="14.4">
      <c r="A1191" s="3">
        <v>13367</v>
      </c>
      <c r="B1191" s="3">
        <v>13368</v>
      </c>
      <c r="C1191" s="3">
        <v>4086</v>
      </c>
      <c r="D1191" s="3" t="s">
        <v>390</v>
      </c>
      <c r="E1191" s="3" t="s">
        <v>789</v>
      </c>
      <c r="F1191" s="3">
        <v>8247</v>
      </c>
      <c r="G1191" s="3" t="s">
        <v>404</v>
      </c>
      <c r="H1191" s="3" t="s">
        <v>38</v>
      </c>
      <c r="I1191" s="3">
        <v>1268502</v>
      </c>
      <c r="J1191" s="3">
        <v>1017501</v>
      </c>
      <c r="K1191" s="3">
        <v>251001</v>
      </c>
      <c r="L1191" s="3">
        <v>217000</v>
      </c>
      <c r="M1191" s="3">
        <v>192700</v>
      </c>
      <c r="N1191" s="3">
        <v>21500</v>
      </c>
    </row>
    <row r="1192" spans="1:14" ht="14.4">
      <c r="A1192" s="3">
        <v>13367</v>
      </c>
      <c r="B1192" s="3">
        <v>13368</v>
      </c>
      <c r="C1192" s="3">
        <v>4086</v>
      </c>
      <c r="D1192" s="3" t="s">
        <v>390</v>
      </c>
      <c r="E1192" s="3" t="s">
        <v>790</v>
      </c>
      <c r="F1192" s="3">
        <v>8248</v>
      </c>
      <c r="G1192" s="3" t="s">
        <v>404</v>
      </c>
      <c r="H1192" s="3" t="s">
        <v>38</v>
      </c>
      <c r="I1192" s="3">
        <v>295749</v>
      </c>
      <c r="J1192" s="3">
        <v>220352</v>
      </c>
      <c r="K1192" s="3">
        <v>75397</v>
      </c>
      <c r="L1192" s="3">
        <v>36100</v>
      </c>
      <c r="M1192" s="3">
        <v>25300</v>
      </c>
      <c r="N1192" s="3">
        <v>10800</v>
      </c>
    </row>
    <row r="1193" spans="1:14" ht="14.4">
      <c r="A1193" s="3">
        <v>13367</v>
      </c>
      <c r="B1193" s="3">
        <v>13368</v>
      </c>
      <c r="C1193" s="3">
        <v>4086</v>
      </c>
      <c r="D1193" s="3" t="s">
        <v>390</v>
      </c>
      <c r="E1193" s="3" t="s">
        <v>791</v>
      </c>
      <c r="F1193" s="3">
        <v>7876</v>
      </c>
      <c r="G1193" s="3" t="s">
        <v>441</v>
      </c>
      <c r="H1193" s="3" t="s">
        <v>38</v>
      </c>
      <c r="I1193" s="3">
        <v>6103</v>
      </c>
      <c r="J1193" s="3">
        <v>0</v>
      </c>
      <c r="K1193" s="3">
        <v>6103</v>
      </c>
      <c r="L1193" s="3">
        <v>0</v>
      </c>
      <c r="M1193" s="3">
        <v>0</v>
      </c>
      <c r="N1193" s="3">
        <v>0</v>
      </c>
    </row>
    <row r="1194" spans="1:14" ht="14.4">
      <c r="A1194" s="3">
        <v>13367</v>
      </c>
      <c r="B1194" s="3">
        <v>13368</v>
      </c>
      <c r="C1194" s="3">
        <v>4086</v>
      </c>
      <c r="D1194" s="3" t="s">
        <v>390</v>
      </c>
      <c r="E1194" s="3" t="s">
        <v>792</v>
      </c>
      <c r="F1194" s="3">
        <v>7901</v>
      </c>
      <c r="G1194" s="3" t="s">
        <v>435</v>
      </c>
      <c r="H1194" s="3" t="s">
        <v>38</v>
      </c>
      <c r="I1194" s="3">
        <v>7100</v>
      </c>
      <c r="J1194" s="3">
        <v>0</v>
      </c>
      <c r="K1194" s="3">
        <v>7100</v>
      </c>
      <c r="L1194" s="3">
        <v>0</v>
      </c>
      <c r="M1194" s="3">
        <v>0</v>
      </c>
      <c r="N1194" s="3">
        <v>0</v>
      </c>
    </row>
    <row r="1195" spans="1:14" ht="14.4">
      <c r="A1195" s="3">
        <v>13367</v>
      </c>
      <c r="B1195" s="3">
        <v>13368</v>
      </c>
      <c r="C1195" s="3">
        <v>4086</v>
      </c>
      <c r="D1195" s="3" t="s">
        <v>390</v>
      </c>
      <c r="E1195" s="3" t="s">
        <v>793</v>
      </c>
      <c r="F1195" s="3">
        <v>7981</v>
      </c>
      <c r="G1195" s="3" t="s">
        <v>402</v>
      </c>
      <c r="H1195" s="3" t="s">
        <v>38</v>
      </c>
      <c r="I1195" s="3">
        <v>93878</v>
      </c>
      <c r="J1195" s="3">
        <v>90278</v>
      </c>
      <c r="K1195" s="3">
        <v>3600</v>
      </c>
      <c r="L1195" s="3">
        <v>0</v>
      </c>
      <c r="M1195" s="3">
        <v>0</v>
      </c>
      <c r="N1195" s="3">
        <v>0</v>
      </c>
    </row>
    <row r="1196" spans="1:14" ht="14.4">
      <c r="A1196" s="3">
        <v>13367</v>
      </c>
      <c r="B1196" s="3">
        <v>13368</v>
      </c>
      <c r="C1196" s="3">
        <v>4086</v>
      </c>
      <c r="D1196" s="3" t="s">
        <v>390</v>
      </c>
      <c r="E1196" s="3" t="s">
        <v>793</v>
      </c>
      <c r="F1196" s="3">
        <v>8008</v>
      </c>
      <c r="G1196" s="3" t="s">
        <v>402</v>
      </c>
      <c r="H1196" s="3" t="s">
        <v>38</v>
      </c>
      <c r="I1196" s="3">
        <v>1552164</v>
      </c>
      <c r="J1196" s="3">
        <v>1111343</v>
      </c>
      <c r="K1196" s="3">
        <v>440821</v>
      </c>
      <c r="L1196" s="3">
        <v>305900</v>
      </c>
      <c r="M1196" s="3">
        <v>144600</v>
      </c>
      <c r="N1196" s="3">
        <v>111600</v>
      </c>
    </row>
    <row r="1197" spans="1:14" ht="14.4">
      <c r="A1197" s="3">
        <v>13367</v>
      </c>
      <c r="B1197" s="3">
        <v>13368</v>
      </c>
      <c r="C1197" s="3">
        <v>4086</v>
      </c>
      <c r="D1197" s="3" t="s">
        <v>390</v>
      </c>
      <c r="E1197" s="3" t="s">
        <v>794</v>
      </c>
      <c r="F1197" s="3">
        <v>7666</v>
      </c>
      <c r="G1197" s="3" t="s">
        <v>76</v>
      </c>
      <c r="H1197" s="3" t="s">
        <v>38</v>
      </c>
      <c r="I1197" s="3">
        <v>848919</v>
      </c>
      <c r="J1197" s="3">
        <v>169741</v>
      </c>
      <c r="K1197" s="3">
        <v>679178</v>
      </c>
      <c r="L1197" s="3">
        <v>385500</v>
      </c>
      <c r="M1197" s="3">
        <v>30600</v>
      </c>
      <c r="N1197" s="3">
        <v>354900</v>
      </c>
    </row>
    <row r="1198" spans="1:14" ht="14.4">
      <c r="A1198" s="3">
        <v>13367</v>
      </c>
      <c r="B1198" s="3">
        <v>13368</v>
      </c>
      <c r="C1198" s="3">
        <v>4086</v>
      </c>
      <c r="D1198" s="3" t="s">
        <v>390</v>
      </c>
      <c r="E1198" s="3" t="s">
        <v>795</v>
      </c>
      <c r="F1198" s="3">
        <v>7608</v>
      </c>
      <c r="G1198" s="3" t="s">
        <v>76</v>
      </c>
      <c r="H1198" s="3" t="s">
        <v>38</v>
      </c>
      <c r="I1198" s="3">
        <v>40000</v>
      </c>
      <c r="J1198" s="3">
        <v>0</v>
      </c>
      <c r="K1198" s="3">
        <v>40000</v>
      </c>
      <c r="L1198" s="3">
        <v>0</v>
      </c>
      <c r="M1198" s="3">
        <v>0</v>
      </c>
      <c r="N1198" s="3">
        <v>0</v>
      </c>
    </row>
    <row r="1199" spans="1:14" ht="14.4">
      <c r="A1199" s="3">
        <v>13367</v>
      </c>
      <c r="B1199" s="3">
        <v>13368</v>
      </c>
      <c r="C1199" s="3">
        <v>4086</v>
      </c>
      <c r="D1199" s="3" t="s">
        <v>390</v>
      </c>
      <c r="E1199" s="3" t="s">
        <v>796</v>
      </c>
      <c r="F1199" s="3">
        <v>7701</v>
      </c>
      <c r="G1199" s="3" t="s">
        <v>392</v>
      </c>
      <c r="H1199" s="3" t="s">
        <v>38</v>
      </c>
      <c r="I1199" s="3">
        <v>0</v>
      </c>
      <c r="J1199" s="3">
        <v>0</v>
      </c>
      <c r="K1199" s="3">
        <v>0</v>
      </c>
      <c r="L1199" s="3">
        <v>100000</v>
      </c>
      <c r="M1199" s="3">
        <v>0</v>
      </c>
      <c r="N1199" s="3">
        <v>0</v>
      </c>
    </row>
    <row r="1200" spans="1:14" ht="14.4">
      <c r="A1200" s="3">
        <v>13367</v>
      </c>
      <c r="B1200" s="3">
        <v>13368</v>
      </c>
      <c r="C1200" s="3">
        <v>4086</v>
      </c>
      <c r="D1200" s="3" t="s">
        <v>390</v>
      </c>
      <c r="E1200" s="3" t="s">
        <v>796</v>
      </c>
      <c r="F1200" s="3">
        <v>7724</v>
      </c>
      <c r="G1200" s="3" t="s">
        <v>392</v>
      </c>
      <c r="H1200" s="3" t="s">
        <v>38</v>
      </c>
      <c r="I1200" s="3">
        <v>66693</v>
      </c>
      <c r="J1200" s="3">
        <v>24828</v>
      </c>
      <c r="K1200" s="3">
        <v>41865</v>
      </c>
      <c r="L1200" s="3">
        <v>184200</v>
      </c>
      <c r="M1200" s="3">
        <v>0</v>
      </c>
      <c r="N1200" s="3">
        <v>0</v>
      </c>
    </row>
    <row r="1201" spans="1:14" ht="14.4">
      <c r="A1201" s="3">
        <v>13367</v>
      </c>
      <c r="B1201" s="3">
        <v>13368</v>
      </c>
      <c r="C1201" s="3">
        <v>4086</v>
      </c>
      <c r="D1201" s="3" t="s">
        <v>390</v>
      </c>
      <c r="E1201" s="3" t="s">
        <v>796</v>
      </c>
      <c r="F1201" s="3">
        <v>7753</v>
      </c>
      <c r="G1201" s="3" t="s">
        <v>392</v>
      </c>
      <c r="H1201" s="3" t="s">
        <v>38</v>
      </c>
      <c r="I1201" s="3">
        <v>0</v>
      </c>
      <c r="J1201" s="3">
        <v>0</v>
      </c>
      <c r="K1201" s="3">
        <v>0</v>
      </c>
      <c r="L1201" s="3">
        <v>7200</v>
      </c>
      <c r="M1201" s="3">
        <v>0</v>
      </c>
      <c r="N1201" s="3">
        <v>0</v>
      </c>
    </row>
    <row r="1202" spans="1:14" ht="14.4">
      <c r="A1202" s="3">
        <v>13367</v>
      </c>
      <c r="B1202" s="3">
        <v>13368</v>
      </c>
      <c r="C1202" s="3">
        <v>4086</v>
      </c>
      <c r="D1202" s="3" t="s">
        <v>390</v>
      </c>
      <c r="E1202" s="3" t="s">
        <v>797</v>
      </c>
      <c r="F1202" s="3">
        <v>8560</v>
      </c>
      <c r="G1202" s="3" t="s">
        <v>496</v>
      </c>
      <c r="H1202" s="3" t="s">
        <v>38</v>
      </c>
      <c r="I1202" s="3">
        <v>14768</v>
      </c>
      <c r="J1202" s="3">
        <v>14768</v>
      </c>
      <c r="K1202" s="3">
        <v>0</v>
      </c>
      <c r="L1202" s="3">
        <v>0</v>
      </c>
      <c r="M1202" s="3">
        <v>0</v>
      </c>
      <c r="N1202" s="3">
        <v>0</v>
      </c>
    </row>
    <row r="1203" spans="1:14" ht="14.4">
      <c r="A1203" s="3">
        <v>13367</v>
      </c>
      <c r="B1203" s="3">
        <v>13368</v>
      </c>
      <c r="C1203" s="3">
        <v>4086</v>
      </c>
      <c r="D1203" s="3" t="s">
        <v>390</v>
      </c>
      <c r="E1203" s="3" t="s">
        <v>798</v>
      </c>
      <c r="F1203" s="3">
        <v>7853</v>
      </c>
      <c r="G1203" s="3" t="s">
        <v>402</v>
      </c>
      <c r="H1203" s="3" t="s">
        <v>38</v>
      </c>
      <c r="I1203" s="3">
        <v>22645</v>
      </c>
      <c r="J1203" s="3">
        <v>21545</v>
      </c>
      <c r="K1203" s="3">
        <v>1100</v>
      </c>
      <c r="L1203" s="3">
        <v>0</v>
      </c>
      <c r="M1203" s="3">
        <v>0</v>
      </c>
      <c r="N1203" s="3">
        <v>0</v>
      </c>
    </row>
    <row r="1204" spans="1:14" ht="14.4">
      <c r="A1204" s="3">
        <v>13367</v>
      </c>
      <c r="B1204" s="3">
        <v>13368</v>
      </c>
      <c r="C1204" s="3">
        <v>4086</v>
      </c>
      <c r="D1204" s="3" t="s">
        <v>390</v>
      </c>
      <c r="E1204" s="3" t="s">
        <v>798</v>
      </c>
      <c r="F1204" s="3">
        <v>8735</v>
      </c>
      <c r="G1204" s="3" t="s">
        <v>402</v>
      </c>
      <c r="H1204" s="3" t="s">
        <v>38</v>
      </c>
      <c r="I1204" s="3">
        <v>1166712</v>
      </c>
      <c r="J1204" s="3">
        <v>990577</v>
      </c>
      <c r="K1204" s="3">
        <v>176135</v>
      </c>
      <c r="L1204" s="3">
        <v>804500</v>
      </c>
      <c r="M1204" s="3">
        <v>698700</v>
      </c>
      <c r="N1204" s="3">
        <v>89200</v>
      </c>
    </row>
    <row r="1205" spans="1:14" ht="14.4">
      <c r="A1205" s="3">
        <v>13367</v>
      </c>
      <c r="B1205" s="3">
        <v>13368</v>
      </c>
      <c r="C1205" s="3">
        <v>4086</v>
      </c>
      <c r="D1205" s="3" t="s">
        <v>390</v>
      </c>
      <c r="E1205" s="3" t="s">
        <v>798</v>
      </c>
      <c r="F1205" s="3">
        <v>8738</v>
      </c>
      <c r="G1205" s="3" t="s">
        <v>402</v>
      </c>
      <c r="H1205" s="3" t="s">
        <v>38</v>
      </c>
      <c r="I1205" s="3">
        <v>118193</v>
      </c>
      <c r="J1205" s="3">
        <v>64478</v>
      </c>
      <c r="K1205" s="3">
        <v>53715</v>
      </c>
      <c r="L1205" s="3">
        <v>0</v>
      </c>
      <c r="M1205" s="3">
        <v>0</v>
      </c>
      <c r="N1205" s="3">
        <v>0</v>
      </c>
    </row>
    <row r="1206" spans="1:14" ht="14.4">
      <c r="A1206" s="3">
        <v>13367</v>
      </c>
      <c r="B1206" s="3">
        <v>13368</v>
      </c>
      <c r="C1206" s="3">
        <v>4086</v>
      </c>
      <c r="D1206" s="3" t="s">
        <v>390</v>
      </c>
      <c r="E1206" s="3" t="s">
        <v>798</v>
      </c>
      <c r="F1206" s="3">
        <v>8751</v>
      </c>
      <c r="G1206" s="3" t="s">
        <v>402</v>
      </c>
      <c r="H1206" s="3" t="s">
        <v>38</v>
      </c>
      <c r="I1206" s="3">
        <v>28442</v>
      </c>
      <c r="J1206" s="3">
        <v>25542</v>
      </c>
      <c r="K1206" s="3">
        <v>2900</v>
      </c>
      <c r="L1206" s="3">
        <v>28500</v>
      </c>
      <c r="M1206" s="3">
        <v>25600</v>
      </c>
      <c r="N1206" s="3">
        <v>2900</v>
      </c>
    </row>
    <row r="1207" spans="1:14" ht="14.4">
      <c r="A1207" s="3">
        <v>13367</v>
      </c>
      <c r="B1207" s="3">
        <v>13368</v>
      </c>
      <c r="C1207" s="3">
        <v>4086</v>
      </c>
      <c r="D1207" s="3" t="s">
        <v>390</v>
      </c>
      <c r="E1207" s="3" t="s">
        <v>798</v>
      </c>
      <c r="F1207" s="3">
        <v>8753</v>
      </c>
      <c r="G1207" s="3" t="s">
        <v>402</v>
      </c>
      <c r="H1207" s="3" t="s">
        <v>38</v>
      </c>
      <c r="I1207" s="3">
        <v>11611456</v>
      </c>
      <c r="J1207" s="3">
        <v>9230940</v>
      </c>
      <c r="K1207" s="3">
        <v>2380516</v>
      </c>
      <c r="L1207" s="3">
        <v>3995400</v>
      </c>
      <c r="M1207" s="3">
        <v>2397700</v>
      </c>
      <c r="N1207" s="3">
        <v>1145500</v>
      </c>
    </row>
    <row r="1208" spans="1:14" ht="14.4">
      <c r="A1208" s="3">
        <v>13367</v>
      </c>
      <c r="B1208" s="3">
        <v>13368</v>
      </c>
      <c r="C1208" s="3">
        <v>4086</v>
      </c>
      <c r="D1208" s="3" t="s">
        <v>390</v>
      </c>
      <c r="E1208" s="3" t="s">
        <v>798</v>
      </c>
      <c r="F1208" s="3">
        <v>8755</v>
      </c>
      <c r="G1208" s="3" t="s">
        <v>402</v>
      </c>
      <c r="H1208" s="3" t="s">
        <v>38</v>
      </c>
      <c r="I1208" s="3">
        <v>1555615</v>
      </c>
      <c r="J1208" s="3">
        <v>1324027</v>
      </c>
      <c r="K1208" s="3">
        <v>231588</v>
      </c>
      <c r="L1208" s="3">
        <v>481200</v>
      </c>
      <c r="M1208" s="3">
        <v>8000</v>
      </c>
      <c r="N1208" s="3">
        <v>14000</v>
      </c>
    </row>
    <row r="1209" spans="1:14" ht="14.4">
      <c r="A1209" s="3">
        <v>13367</v>
      </c>
      <c r="B1209" s="3">
        <v>13368</v>
      </c>
      <c r="C1209" s="3">
        <v>4086</v>
      </c>
      <c r="D1209" s="3" t="s">
        <v>390</v>
      </c>
      <c r="E1209" s="3" t="s">
        <v>798</v>
      </c>
      <c r="F1209" s="3">
        <v>8757</v>
      </c>
      <c r="G1209" s="3" t="s">
        <v>402</v>
      </c>
      <c r="H1209" s="3" t="s">
        <v>38</v>
      </c>
      <c r="I1209" s="3">
        <v>406644</v>
      </c>
      <c r="J1209" s="3">
        <v>139700</v>
      </c>
      <c r="K1209" s="3">
        <v>266944</v>
      </c>
      <c r="L1209" s="3">
        <v>458200</v>
      </c>
      <c r="M1209" s="3">
        <v>139800</v>
      </c>
      <c r="N1209" s="3">
        <v>259500</v>
      </c>
    </row>
    <row r="1210" spans="1:14" ht="14.4">
      <c r="A1210" s="3">
        <v>13367</v>
      </c>
      <c r="B1210" s="3">
        <v>13368</v>
      </c>
      <c r="C1210" s="3">
        <v>4086</v>
      </c>
      <c r="D1210" s="3" t="s">
        <v>390</v>
      </c>
      <c r="E1210" s="3" t="s">
        <v>799</v>
      </c>
      <c r="F1210" s="3">
        <v>8735</v>
      </c>
      <c r="G1210" s="3" t="s">
        <v>402</v>
      </c>
      <c r="H1210" s="3" t="s">
        <v>38</v>
      </c>
      <c r="I1210" s="3">
        <v>78225</v>
      </c>
      <c r="J1210" s="3">
        <v>63725</v>
      </c>
      <c r="K1210" s="3">
        <v>14500</v>
      </c>
      <c r="L1210" s="3">
        <v>0</v>
      </c>
      <c r="M1210" s="3">
        <v>0</v>
      </c>
      <c r="N1210" s="3">
        <v>0</v>
      </c>
    </row>
    <row r="1211" spans="1:14" ht="14.4">
      <c r="A1211" s="3">
        <v>13367</v>
      </c>
      <c r="B1211" s="3">
        <v>13368</v>
      </c>
      <c r="C1211" s="3">
        <v>4086</v>
      </c>
      <c r="D1211" s="3" t="s">
        <v>390</v>
      </c>
      <c r="E1211" s="3" t="s">
        <v>800</v>
      </c>
      <c r="F1211" s="3">
        <v>8008</v>
      </c>
      <c r="G1211" s="3" t="s">
        <v>402</v>
      </c>
      <c r="H1211" s="3" t="s">
        <v>38</v>
      </c>
      <c r="I1211" s="3">
        <v>137029</v>
      </c>
      <c r="J1211" s="3">
        <v>115829</v>
      </c>
      <c r="K1211" s="3">
        <v>21200</v>
      </c>
      <c r="L1211" s="3">
        <v>137100</v>
      </c>
      <c r="M1211" s="3">
        <v>115900</v>
      </c>
      <c r="N1211" s="3">
        <v>21200</v>
      </c>
    </row>
    <row r="1212" spans="1:14" ht="14.4">
      <c r="A1212" s="3">
        <v>13367</v>
      </c>
      <c r="B1212" s="3">
        <v>13368</v>
      </c>
      <c r="C1212" s="3">
        <v>4086</v>
      </c>
      <c r="D1212" s="3" t="s">
        <v>390</v>
      </c>
      <c r="E1212" s="3" t="s">
        <v>801</v>
      </c>
      <c r="F1212" s="3">
        <v>8609</v>
      </c>
      <c r="G1212" s="3" t="s">
        <v>37</v>
      </c>
      <c r="H1212" s="3" t="s">
        <v>38</v>
      </c>
      <c r="I1212" s="3">
        <v>1450</v>
      </c>
      <c r="J1212" s="3">
        <v>0</v>
      </c>
      <c r="K1212" s="3">
        <v>1450</v>
      </c>
      <c r="L1212" s="3">
        <v>0</v>
      </c>
      <c r="M1212" s="3">
        <v>0</v>
      </c>
      <c r="N1212" s="3">
        <v>0</v>
      </c>
    </row>
    <row r="1213" spans="1:14" ht="14.4">
      <c r="A1213" s="3">
        <v>13367</v>
      </c>
      <c r="B1213" s="3">
        <v>13368</v>
      </c>
      <c r="C1213" s="3">
        <v>4086</v>
      </c>
      <c r="D1213" s="3" t="s">
        <v>390</v>
      </c>
      <c r="E1213" s="3" t="s">
        <v>801</v>
      </c>
      <c r="F1213" s="3">
        <v>8690</v>
      </c>
      <c r="G1213" s="3" t="s">
        <v>496</v>
      </c>
      <c r="H1213" s="3" t="s">
        <v>38</v>
      </c>
      <c r="I1213" s="3">
        <v>39054</v>
      </c>
      <c r="J1213" s="3">
        <v>34254</v>
      </c>
      <c r="K1213" s="3">
        <v>4800</v>
      </c>
      <c r="L1213" s="3">
        <v>0</v>
      </c>
      <c r="M1213" s="3">
        <v>0</v>
      </c>
      <c r="N1213" s="3">
        <v>0</v>
      </c>
    </row>
    <row r="1214" spans="1:14" ht="14.4">
      <c r="A1214" s="3">
        <v>13367</v>
      </c>
      <c r="B1214" s="3">
        <v>13368</v>
      </c>
      <c r="C1214" s="3">
        <v>4086</v>
      </c>
      <c r="D1214" s="3" t="s">
        <v>390</v>
      </c>
      <c r="E1214" s="3" t="s">
        <v>802</v>
      </c>
      <c r="F1214" s="3">
        <v>8087</v>
      </c>
      <c r="G1214" s="3" t="s">
        <v>402</v>
      </c>
      <c r="H1214" s="3" t="s">
        <v>38</v>
      </c>
      <c r="I1214" s="3">
        <v>4682297</v>
      </c>
      <c r="J1214" s="3">
        <v>3709649</v>
      </c>
      <c r="K1214" s="3">
        <v>972648</v>
      </c>
      <c r="L1214" s="3">
        <v>1333800</v>
      </c>
      <c r="M1214" s="3">
        <v>827000</v>
      </c>
      <c r="N1214" s="3">
        <v>139200</v>
      </c>
    </row>
    <row r="1215" spans="1:14" ht="14.4">
      <c r="A1215" s="3">
        <v>13367</v>
      </c>
      <c r="B1215" s="3">
        <v>13368</v>
      </c>
      <c r="C1215" s="3">
        <v>4086</v>
      </c>
      <c r="D1215" s="3" t="s">
        <v>390</v>
      </c>
      <c r="E1215" s="3" t="s">
        <v>435</v>
      </c>
      <c r="F1215" s="3">
        <v>7081</v>
      </c>
      <c r="G1215" s="3" t="s">
        <v>435</v>
      </c>
      <c r="H1215" s="3" t="s">
        <v>38</v>
      </c>
      <c r="I1215" s="3">
        <v>61596</v>
      </c>
      <c r="J1215" s="3">
        <v>1596</v>
      </c>
      <c r="K1215" s="3">
        <v>60000</v>
      </c>
      <c r="L1215" s="3">
        <v>0</v>
      </c>
      <c r="M1215" s="3">
        <v>0</v>
      </c>
      <c r="N1215" s="3">
        <v>0</v>
      </c>
    </row>
    <row r="1216" spans="1:14" ht="14.4">
      <c r="A1216" s="3">
        <v>13367</v>
      </c>
      <c r="B1216" s="3">
        <v>13368</v>
      </c>
      <c r="C1216" s="3">
        <v>4086</v>
      </c>
      <c r="D1216" s="3" t="s">
        <v>390</v>
      </c>
      <c r="E1216" s="3" t="s">
        <v>435</v>
      </c>
      <c r="F1216" s="3">
        <v>7083</v>
      </c>
      <c r="G1216" s="3" t="s">
        <v>435</v>
      </c>
      <c r="H1216" s="3" t="s">
        <v>38</v>
      </c>
      <c r="I1216" s="3">
        <v>204945</v>
      </c>
      <c r="J1216" s="3">
        <v>2541</v>
      </c>
      <c r="K1216" s="3">
        <v>202404</v>
      </c>
      <c r="L1216" s="3">
        <v>227000</v>
      </c>
      <c r="M1216" s="3">
        <v>0</v>
      </c>
      <c r="N1216" s="3">
        <v>188100</v>
      </c>
    </row>
    <row r="1217" spans="1:14" ht="14.4">
      <c r="A1217" s="3">
        <v>13367</v>
      </c>
      <c r="B1217" s="3">
        <v>13368</v>
      </c>
      <c r="C1217" s="3">
        <v>4086</v>
      </c>
      <c r="D1217" s="3" t="s">
        <v>390</v>
      </c>
      <c r="E1217" s="3" t="s">
        <v>803</v>
      </c>
      <c r="F1217" s="3">
        <v>7733</v>
      </c>
      <c r="G1217" s="3" t="s">
        <v>392</v>
      </c>
      <c r="H1217" s="3" t="s">
        <v>38</v>
      </c>
      <c r="I1217" s="3">
        <v>67622</v>
      </c>
      <c r="J1217" s="3">
        <v>66322</v>
      </c>
      <c r="K1217" s="3">
        <v>1300</v>
      </c>
      <c r="L1217" s="3">
        <v>0</v>
      </c>
      <c r="M1217" s="3">
        <v>0</v>
      </c>
      <c r="N1217" s="3">
        <v>0</v>
      </c>
    </row>
    <row r="1218" spans="1:14" ht="14.4">
      <c r="A1218" s="3">
        <v>13367</v>
      </c>
      <c r="B1218" s="3">
        <v>13368</v>
      </c>
      <c r="C1218" s="3">
        <v>4086</v>
      </c>
      <c r="D1218" s="3" t="s">
        <v>390</v>
      </c>
      <c r="E1218" s="3" t="s">
        <v>803</v>
      </c>
      <c r="F1218" s="3">
        <v>7735</v>
      </c>
      <c r="G1218" s="3" t="s">
        <v>392</v>
      </c>
      <c r="H1218" s="3" t="s">
        <v>38</v>
      </c>
      <c r="I1218" s="3">
        <v>8156697</v>
      </c>
      <c r="J1218" s="3">
        <v>7183138</v>
      </c>
      <c r="K1218" s="3">
        <v>973559</v>
      </c>
      <c r="L1218" s="3">
        <v>2277100</v>
      </c>
      <c r="M1218" s="3">
        <v>1564600</v>
      </c>
      <c r="N1218" s="3">
        <v>460600</v>
      </c>
    </row>
    <row r="1219" spans="1:14" ht="14.4">
      <c r="A1219" s="3">
        <v>13367</v>
      </c>
      <c r="B1219" s="3">
        <v>13368</v>
      </c>
      <c r="C1219" s="3">
        <v>4086</v>
      </c>
      <c r="D1219" s="3" t="s">
        <v>390</v>
      </c>
      <c r="E1219" s="3" t="s">
        <v>803</v>
      </c>
      <c r="F1219" s="3">
        <v>7735</v>
      </c>
      <c r="G1219" s="3" t="s">
        <v>441</v>
      </c>
      <c r="H1219" s="3" t="s">
        <v>38</v>
      </c>
      <c r="I1219" s="3">
        <v>27836</v>
      </c>
      <c r="J1219" s="3">
        <v>13406</v>
      </c>
      <c r="K1219" s="3">
        <v>14430</v>
      </c>
      <c r="L1219" s="3">
        <v>0</v>
      </c>
      <c r="M1219" s="3">
        <v>0</v>
      </c>
      <c r="N1219" s="3">
        <v>0</v>
      </c>
    </row>
    <row r="1220" spans="1:14" ht="14.4">
      <c r="A1220" s="3">
        <v>13367</v>
      </c>
      <c r="B1220" s="3">
        <v>13368</v>
      </c>
      <c r="C1220" s="3">
        <v>4086</v>
      </c>
      <c r="D1220" s="3" t="s">
        <v>390</v>
      </c>
      <c r="E1220" s="3" t="s">
        <v>804</v>
      </c>
      <c r="F1220" s="3">
        <v>7087</v>
      </c>
      <c r="G1220" s="3" t="s">
        <v>37</v>
      </c>
      <c r="H1220" s="3" t="s">
        <v>38</v>
      </c>
      <c r="I1220" s="3">
        <v>271426</v>
      </c>
      <c r="J1220" s="3">
        <v>173767</v>
      </c>
      <c r="K1220" s="3">
        <v>97659</v>
      </c>
      <c r="L1220" s="3">
        <v>5100</v>
      </c>
      <c r="M1220" s="3">
        <v>0</v>
      </c>
      <c r="N1220" s="3">
        <v>5100</v>
      </c>
    </row>
    <row r="1221" spans="1:14" ht="14.4">
      <c r="A1221" s="3">
        <v>13367</v>
      </c>
      <c r="B1221" s="3">
        <v>13368</v>
      </c>
      <c r="C1221" s="3">
        <v>4086</v>
      </c>
      <c r="D1221" s="3" t="s">
        <v>390</v>
      </c>
      <c r="E1221" s="3" t="s">
        <v>805</v>
      </c>
      <c r="F1221" s="3">
        <v>8406</v>
      </c>
      <c r="G1221" s="3" t="s">
        <v>394</v>
      </c>
      <c r="H1221" s="3" t="s">
        <v>38</v>
      </c>
      <c r="I1221" s="3">
        <v>1796314</v>
      </c>
      <c r="J1221" s="3">
        <v>1380322</v>
      </c>
      <c r="K1221" s="3">
        <v>415992</v>
      </c>
      <c r="L1221" s="3">
        <v>485800</v>
      </c>
      <c r="M1221" s="3">
        <v>268600</v>
      </c>
      <c r="N1221" s="3">
        <v>122000</v>
      </c>
    </row>
    <row r="1222" spans="1:14" ht="14.4">
      <c r="A1222" s="3">
        <v>13367</v>
      </c>
      <c r="B1222" s="3">
        <v>13368</v>
      </c>
      <c r="C1222" s="3">
        <v>4086</v>
      </c>
      <c r="D1222" s="3" t="s">
        <v>390</v>
      </c>
      <c r="E1222" s="3" t="s">
        <v>806</v>
      </c>
      <c r="F1222" s="3">
        <v>8247</v>
      </c>
      <c r="G1222" s="3" t="s">
        <v>394</v>
      </c>
      <c r="H1222" s="3" t="s">
        <v>38</v>
      </c>
      <c r="I1222" s="3">
        <v>5161</v>
      </c>
      <c r="J1222" s="3">
        <v>5161</v>
      </c>
      <c r="K1222" s="3">
        <v>0</v>
      </c>
      <c r="L1222" s="3">
        <v>0</v>
      </c>
      <c r="M1222" s="3">
        <v>0</v>
      </c>
      <c r="N1222" s="3">
        <v>0</v>
      </c>
    </row>
    <row r="1223" spans="1:14" ht="14.4">
      <c r="A1223" s="3">
        <v>13367</v>
      </c>
      <c r="B1223" s="3">
        <v>13368</v>
      </c>
      <c r="C1223" s="3">
        <v>4086</v>
      </c>
      <c r="D1223" s="3" t="s">
        <v>390</v>
      </c>
      <c r="E1223" s="3" t="s">
        <v>806</v>
      </c>
      <c r="F1223" s="3">
        <v>8406</v>
      </c>
      <c r="G1223" s="3" t="s">
        <v>394</v>
      </c>
      <c r="H1223" s="3" t="s">
        <v>38</v>
      </c>
      <c r="I1223" s="3">
        <v>3202977</v>
      </c>
      <c r="J1223" s="3">
        <v>2602430</v>
      </c>
      <c r="K1223" s="3">
        <v>600547</v>
      </c>
      <c r="L1223" s="3">
        <v>395800</v>
      </c>
      <c r="M1223" s="3">
        <v>249300</v>
      </c>
      <c r="N1223" s="3">
        <v>113600</v>
      </c>
    </row>
    <row r="1224" spans="1:14" ht="14.4">
      <c r="A1224" s="3">
        <v>13367</v>
      </c>
      <c r="B1224" s="3">
        <v>13368</v>
      </c>
      <c r="C1224" s="3">
        <v>4086</v>
      </c>
      <c r="D1224" s="3" t="s">
        <v>390</v>
      </c>
      <c r="E1224" s="3" t="s">
        <v>807</v>
      </c>
      <c r="F1224" s="3">
        <v>7044</v>
      </c>
      <c r="G1224" s="3" t="s">
        <v>428</v>
      </c>
      <c r="H1224" s="3" t="s">
        <v>38</v>
      </c>
      <c r="I1224" s="3">
        <v>3608</v>
      </c>
      <c r="J1224" s="3">
        <v>0</v>
      </c>
      <c r="K1224" s="3">
        <v>3608</v>
      </c>
      <c r="L1224" s="3">
        <v>0</v>
      </c>
      <c r="M1224" s="3">
        <v>0</v>
      </c>
      <c r="N1224" s="3">
        <v>0</v>
      </c>
    </row>
    <row r="1225" spans="1:14" ht="14.4">
      <c r="A1225" s="3">
        <v>13367</v>
      </c>
      <c r="B1225" s="3">
        <v>13368</v>
      </c>
      <c r="C1225" s="3">
        <v>4086</v>
      </c>
      <c r="D1225" s="3" t="s">
        <v>390</v>
      </c>
      <c r="E1225" s="3" t="s">
        <v>808</v>
      </c>
      <c r="F1225" s="3">
        <v>8251</v>
      </c>
      <c r="G1225" s="3" t="s">
        <v>404</v>
      </c>
      <c r="H1225" s="3" t="s">
        <v>38</v>
      </c>
      <c r="I1225" s="3">
        <v>104647</v>
      </c>
      <c r="J1225" s="3">
        <v>80922</v>
      </c>
      <c r="K1225" s="3">
        <v>23725</v>
      </c>
      <c r="L1225" s="3">
        <v>0</v>
      </c>
      <c r="M1225" s="3">
        <v>0</v>
      </c>
      <c r="N1225" s="3">
        <v>0</v>
      </c>
    </row>
    <row r="1226" spans="1:14" ht="14.4">
      <c r="A1226" s="3">
        <v>13367</v>
      </c>
      <c r="B1226" s="3">
        <v>13368</v>
      </c>
      <c r="C1226" s="3">
        <v>4086</v>
      </c>
      <c r="D1226" s="3" t="s">
        <v>390</v>
      </c>
      <c r="E1226" s="3" t="s">
        <v>809</v>
      </c>
      <c r="F1226" s="3">
        <v>8360</v>
      </c>
      <c r="G1226" s="3" t="s">
        <v>452</v>
      </c>
      <c r="H1226" s="3" t="s">
        <v>38</v>
      </c>
      <c r="I1226" s="3">
        <v>30152</v>
      </c>
      <c r="J1226" s="3">
        <v>30152</v>
      </c>
      <c r="K1226" s="3">
        <v>0</v>
      </c>
      <c r="L1226" s="3">
        <v>0</v>
      </c>
      <c r="M1226" s="3">
        <v>0</v>
      </c>
      <c r="N1226" s="3">
        <v>0</v>
      </c>
    </row>
    <row r="1227" spans="1:14" ht="14.4">
      <c r="A1227" s="3">
        <v>13367</v>
      </c>
      <c r="B1227" s="3">
        <v>13368</v>
      </c>
      <c r="C1227" s="3">
        <v>4086</v>
      </c>
      <c r="D1227" s="3" t="s">
        <v>390</v>
      </c>
      <c r="E1227" s="3" t="s">
        <v>810</v>
      </c>
      <c r="F1227" s="3">
        <v>7734</v>
      </c>
      <c r="G1227" s="3" t="s">
        <v>392</v>
      </c>
      <c r="H1227" s="3" t="s">
        <v>38</v>
      </c>
      <c r="I1227" s="3">
        <v>5347</v>
      </c>
      <c r="J1227" s="3">
        <v>2941</v>
      </c>
      <c r="K1227" s="3">
        <v>2406</v>
      </c>
      <c r="L1227" s="3">
        <v>0</v>
      </c>
      <c r="M1227" s="3">
        <v>0</v>
      </c>
      <c r="N1227" s="3">
        <v>0</v>
      </c>
    </row>
    <row r="1228" spans="1:14" ht="14.4">
      <c r="A1228" s="3">
        <v>13367</v>
      </c>
      <c r="B1228" s="3">
        <v>13368</v>
      </c>
      <c r="C1228" s="3">
        <v>4086</v>
      </c>
      <c r="D1228" s="3" t="s">
        <v>390</v>
      </c>
      <c r="E1228" s="3" t="s">
        <v>811</v>
      </c>
      <c r="F1228" s="3">
        <v>7719</v>
      </c>
      <c r="G1228" s="3" t="s">
        <v>392</v>
      </c>
      <c r="H1228" s="3" t="s">
        <v>38</v>
      </c>
      <c r="I1228" s="3">
        <v>180092</v>
      </c>
      <c r="J1228" s="3">
        <v>69671</v>
      </c>
      <c r="K1228" s="3">
        <v>110421</v>
      </c>
      <c r="L1228" s="3">
        <v>429800</v>
      </c>
      <c r="M1228" s="3">
        <v>0</v>
      </c>
      <c r="N1228" s="3">
        <v>110500</v>
      </c>
    </row>
    <row r="1229" spans="1:14" ht="14.4">
      <c r="A1229" s="3">
        <v>13367</v>
      </c>
      <c r="B1229" s="3">
        <v>13368</v>
      </c>
      <c r="C1229" s="3">
        <v>4086</v>
      </c>
      <c r="D1229" s="3" t="s">
        <v>390</v>
      </c>
      <c r="E1229" s="3" t="s">
        <v>811</v>
      </c>
      <c r="F1229" s="3">
        <v>7727</v>
      </c>
      <c r="G1229" s="3" t="s">
        <v>392</v>
      </c>
      <c r="H1229" s="3" t="s">
        <v>38</v>
      </c>
      <c r="I1229" s="3">
        <v>176260</v>
      </c>
      <c r="J1229" s="3">
        <v>0</v>
      </c>
      <c r="K1229" s="3">
        <v>176260</v>
      </c>
      <c r="L1229" s="3">
        <v>0</v>
      </c>
      <c r="M1229" s="3">
        <v>0</v>
      </c>
      <c r="N1229" s="3">
        <v>0</v>
      </c>
    </row>
    <row r="1230" spans="1:14" ht="14.4">
      <c r="A1230" s="3">
        <v>13367</v>
      </c>
      <c r="B1230" s="3">
        <v>13368</v>
      </c>
      <c r="C1230" s="3">
        <v>4086</v>
      </c>
      <c r="D1230" s="3" t="s">
        <v>390</v>
      </c>
      <c r="E1230" s="3" t="s">
        <v>812</v>
      </c>
      <c r="F1230" s="3">
        <v>8724</v>
      </c>
      <c r="G1230" s="3" t="s">
        <v>392</v>
      </c>
      <c r="H1230" s="3" t="s">
        <v>38</v>
      </c>
      <c r="I1230" s="3">
        <v>0</v>
      </c>
      <c r="J1230" s="3">
        <v>0</v>
      </c>
      <c r="K1230" s="3">
        <v>0</v>
      </c>
      <c r="L1230" s="3">
        <v>77600</v>
      </c>
      <c r="M1230" s="3">
        <v>0</v>
      </c>
      <c r="N1230" s="3">
        <v>0</v>
      </c>
    </row>
    <row r="1231" spans="1:14" ht="14.4">
      <c r="A1231" s="3">
        <v>13367</v>
      </c>
      <c r="B1231" s="3">
        <v>13368</v>
      </c>
      <c r="C1231" s="3">
        <v>4086</v>
      </c>
      <c r="D1231" s="3" t="s">
        <v>390</v>
      </c>
      <c r="E1231" s="3" t="s">
        <v>813</v>
      </c>
      <c r="F1231" s="3">
        <v>7057</v>
      </c>
      <c r="G1231" s="3" t="s">
        <v>76</v>
      </c>
      <c r="H1231" s="3" t="s">
        <v>38</v>
      </c>
      <c r="I1231" s="3">
        <v>49044</v>
      </c>
      <c r="J1231" s="3">
        <v>12783</v>
      </c>
      <c r="K1231" s="3">
        <v>36261</v>
      </c>
      <c r="L1231" s="3">
        <v>0</v>
      </c>
      <c r="M1231" s="3">
        <v>0</v>
      </c>
      <c r="N1231" s="3">
        <v>0</v>
      </c>
    </row>
    <row r="1232" spans="1:14" ht="14.4">
      <c r="A1232" s="3">
        <v>13367</v>
      </c>
      <c r="B1232" s="3">
        <v>13368</v>
      </c>
      <c r="C1232" s="3">
        <v>4086</v>
      </c>
      <c r="D1232" s="3" t="s">
        <v>390</v>
      </c>
      <c r="E1232" s="3" t="s">
        <v>814</v>
      </c>
      <c r="F1232" s="3">
        <v>7465</v>
      </c>
      <c r="G1232" s="3" t="s">
        <v>429</v>
      </c>
      <c r="H1232" s="3" t="s">
        <v>38</v>
      </c>
      <c r="I1232" s="3">
        <v>4475</v>
      </c>
      <c r="J1232" s="3">
        <v>2175</v>
      </c>
      <c r="K1232" s="3">
        <v>2300</v>
      </c>
      <c r="L1232" s="3">
        <v>0</v>
      </c>
      <c r="M1232" s="3">
        <v>0</v>
      </c>
      <c r="N1232" s="3">
        <v>0</v>
      </c>
    </row>
    <row r="1233" spans="1:14" ht="14.4">
      <c r="A1233" s="3">
        <v>13367</v>
      </c>
      <c r="B1233" s="3">
        <v>13368</v>
      </c>
      <c r="C1233" s="3">
        <v>4086</v>
      </c>
      <c r="D1233" s="3" t="s">
        <v>390</v>
      </c>
      <c r="E1233" s="3" t="s">
        <v>815</v>
      </c>
      <c r="F1233" s="3">
        <v>8757</v>
      </c>
      <c r="G1233" s="3" t="s">
        <v>402</v>
      </c>
      <c r="H1233" s="3" t="s">
        <v>38</v>
      </c>
      <c r="I1233" s="3">
        <v>62872</v>
      </c>
      <c r="J1233" s="3">
        <v>57359</v>
      </c>
      <c r="K1233" s="3">
        <v>5513</v>
      </c>
      <c r="L1233" s="3">
        <v>0</v>
      </c>
      <c r="M1233" s="3">
        <v>0</v>
      </c>
      <c r="N1233" s="3">
        <v>0</v>
      </c>
    </row>
    <row r="1234" spans="1:14" ht="14.4">
      <c r="A1234" s="3">
        <v>13367</v>
      </c>
      <c r="B1234" s="3">
        <v>13368</v>
      </c>
      <c r="C1234" s="3">
        <v>4086</v>
      </c>
      <c r="D1234" s="3" t="s">
        <v>390</v>
      </c>
      <c r="E1234" s="3" t="s">
        <v>815</v>
      </c>
      <c r="F1234" s="3">
        <v>8758</v>
      </c>
      <c r="G1234" s="3" t="s">
        <v>402</v>
      </c>
      <c r="H1234" s="3" t="s">
        <v>38</v>
      </c>
      <c r="I1234" s="3">
        <v>2603104</v>
      </c>
      <c r="J1234" s="3">
        <v>2463289</v>
      </c>
      <c r="K1234" s="3">
        <v>139815</v>
      </c>
      <c r="L1234" s="3">
        <v>596000</v>
      </c>
      <c r="M1234" s="3">
        <v>467400</v>
      </c>
      <c r="N1234" s="3">
        <v>46300</v>
      </c>
    </row>
    <row r="1235" spans="1:14" ht="14.4">
      <c r="A1235" s="3">
        <v>13367</v>
      </c>
      <c r="B1235" s="3">
        <v>13368</v>
      </c>
      <c r="C1235" s="3">
        <v>4086</v>
      </c>
      <c r="D1235" s="3" t="s">
        <v>390</v>
      </c>
      <c r="E1235" s="3" t="s">
        <v>816</v>
      </c>
      <c r="F1235" s="3">
        <v>8758</v>
      </c>
      <c r="G1235" s="3" t="s">
        <v>402</v>
      </c>
      <c r="H1235" s="3" t="s">
        <v>38</v>
      </c>
      <c r="I1235" s="3">
        <v>14350</v>
      </c>
      <c r="J1235" s="3">
        <v>3225</v>
      </c>
      <c r="K1235" s="3">
        <v>11125</v>
      </c>
      <c r="L1235" s="3">
        <v>0</v>
      </c>
      <c r="M1235" s="3">
        <v>0</v>
      </c>
      <c r="N1235" s="3">
        <v>0</v>
      </c>
    </row>
    <row r="1236" spans="1:14" ht="14.4">
      <c r="A1236" s="3">
        <v>13367</v>
      </c>
      <c r="B1236" s="3">
        <v>13368</v>
      </c>
      <c r="C1236" s="3">
        <v>4086</v>
      </c>
      <c r="D1236" s="3" t="s">
        <v>390</v>
      </c>
      <c r="E1236" s="3" t="s">
        <v>398</v>
      </c>
      <c r="F1236" s="3">
        <v>7059</v>
      </c>
      <c r="G1236" s="3" t="s">
        <v>413</v>
      </c>
      <c r="H1236" s="3" t="s">
        <v>38</v>
      </c>
      <c r="I1236" s="3">
        <v>0</v>
      </c>
      <c r="J1236" s="3">
        <v>0</v>
      </c>
      <c r="K1236" s="3">
        <v>0</v>
      </c>
      <c r="L1236" s="3">
        <v>362100</v>
      </c>
      <c r="M1236" s="3">
        <v>0</v>
      </c>
      <c r="N1236" s="3">
        <v>0</v>
      </c>
    </row>
    <row r="1237" spans="1:14" ht="14.4">
      <c r="A1237" s="3">
        <v>13367</v>
      </c>
      <c r="B1237" s="3">
        <v>13368</v>
      </c>
      <c r="C1237" s="3">
        <v>4086</v>
      </c>
      <c r="D1237" s="3" t="s">
        <v>390</v>
      </c>
      <c r="E1237" s="3" t="s">
        <v>817</v>
      </c>
      <c r="F1237" s="3">
        <v>7882</v>
      </c>
      <c r="G1237" s="3" t="s">
        <v>398</v>
      </c>
      <c r="H1237" s="3" t="s">
        <v>38</v>
      </c>
      <c r="I1237" s="3">
        <v>273193</v>
      </c>
      <c r="J1237" s="3">
        <v>171904</v>
      </c>
      <c r="K1237" s="3">
        <v>101289</v>
      </c>
      <c r="L1237" s="3">
        <v>56500</v>
      </c>
      <c r="M1237" s="3">
        <v>0</v>
      </c>
      <c r="N1237" s="3">
        <v>54200</v>
      </c>
    </row>
    <row r="1238" spans="1:14" ht="14.4">
      <c r="A1238" s="3">
        <v>13367</v>
      </c>
      <c r="B1238" s="3">
        <v>13368</v>
      </c>
      <c r="C1238" s="3">
        <v>4086</v>
      </c>
      <c r="D1238" s="3" t="s">
        <v>390</v>
      </c>
      <c r="E1238" s="3" t="s">
        <v>818</v>
      </c>
      <c r="F1238" s="3">
        <v>7069</v>
      </c>
      <c r="G1238" s="3" t="s">
        <v>413</v>
      </c>
      <c r="H1238" s="3" t="s">
        <v>38</v>
      </c>
      <c r="I1238" s="3">
        <v>12171</v>
      </c>
      <c r="J1238" s="3">
        <v>7421</v>
      </c>
      <c r="K1238" s="3">
        <v>4750</v>
      </c>
      <c r="L1238" s="3">
        <v>47700</v>
      </c>
      <c r="M1238" s="3">
        <v>0</v>
      </c>
      <c r="N1238" s="3">
        <v>0</v>
      </c>
    </row>
    <row r="1239" spans="1:14" ht="14.4">
      <c r="A1239" s="3">
        <v>13367</v>
      </c>
      <c r="B1239" s="3">
        <v>13368</v>
      </c>
      <c r="C1239" s="3">
        <v>4086</v>
      </c>
      <c r="D1239" s="3" t="s">
        <v>390</v>
      </c>
      <c r="E1239" s="3" t="s">
        <v>819</v>
      </c>
      <c r="F1239" s="3">
        <v>7470</v>
      </c>
      <c r="G1239" s="3" t="s">
        <v>429</v>
      </c>
      <c r="H1239" s="3" t="s">
        <v>38</v>
      </c>
      <c r="I1239" s="3">
        <v>27940</v>
      </c>
      <c r="J1239" s="3">
        <v>0</v>
      </c>
      <c r="K1239" s="3">
        <v>27940</v>
      </c>
      <c r="L1239" s="3">
        <v>28000</v>
      </c>
      <c r="M1239" s="3">
        <v>0</v>
      </c>
      <c r="N1239" s="3">
        <v>28000</v>
      </c>
    </row>
    <row r="1240" spans="1:14" ht="14.4">
      <c r="A1240" s="3">
        <v>13367</v>
      </c>
      <c r="B1240" s="3">
        <v>13368</v>
      </c>
      <c r="C1240" s="3">
        <v>4086</v>
      </c>
      <c r="D1240" s="3" t="s">
        <v>390</v>
      </c>
      <c r="E1240" s="3" t="s">
        <v>820</v>
      </c>
      <c r="F1240" s="3">
        <v>7086</v>
      </c>
      <c r="G1240" s="3" t="s">
        <v>37</v>
      </c>
      <c r="H1240" s="3" t="s">
        <v>38</v>
      </c>
      <c r="I1240" s="3">
        <v>1764952</v>
      </c>
      <c r="J1240" s="3">
        <v>1282732</v>
      </c>
      <c r="K1240" s="3">
        <v>482220</v>
      </c>
      <c r="L1240" s="3">
        <v>1176100</v>
      </c>
      <c r="M1240" s="3">
        <v>700300</v>
      </c>
      <c r="N1240" s="3">
        <v>437800</v>
      </c>
    </row>
    <row r="1241" spans="1:14" ht="14.4">
      <c r="A1241" s="3">
        <v>13367</v>
      </c>
      <c r="B1241" s="3">
        <v>13368</v>
      </c>
      <c r="C1241" s="3">
        <v>4086</v>
      </c>
      <c r="D1241" s="3" t="s">
        <v>390</v>
      </c>
      <c r="E1241" s="3" t="s">
        <v>821</v>
      </c>
      <c r="F1241" s="3">
        <v>8232</v>
      </c>
      <c r="G1241" s="3" t="s">
        <v>394</v>
      </c>
      <c r="H1241" s="3" t="s">
        <v>38</v>
      </c>
      <c r="I1241" s="3">
        <v>955148</v>
      </c>
      <c r="J1241" s="3">
        <v>709466</v>
      </c>
      <c r="K1241" s="3">
        <v>245682</v>
      </c>
      <c r="L1241" s="3">
        <v>0</v>
      </c>
      <c r="M1241" s="3">
        <v>0</v>
      </c>
      <c r="N1241" s="3">
        <v>0</v>
      </c>
    </row>
    <row r="1242" spans="1:14" ht="14.4">
      <c r="A1242" s="3">
        <v>13367</v>
      </c>
      <c r="B1242" s="3">
        <v>13368</v>
      </c>
      <c r="C1242" s="3">
        <v>4086</v>
      </c>
      <c r="D1242" s="3" t="s">
        <v>390</v>
      </c>
      <c r="E1242" s="3" t="s">
        <v>821</v>
      </c>
      <c r="F1242" s="3">
        <v>8234</v>
      </c>
      <c r="G1242" s="3" t="s">
        <v>394</v>
      </c>
      <c r="H1242" s="3" t="s">
        <v>38</v>
      </c>
      <c r="I1242" s="3">
        <v>461311</v>
      </c>
      <c r="J1242" s="3">
        <v>373373</v>
      </c>
      <c r="K1242" s="3">
        <v>87938</v>
      </c>
      <c r="L1242" s="3">
        <v>266500</v>
      </c>
      <c r="M1242" s="3">
        <v>190200</v>
      </c>
      <c r="N1242" s="3">
        <v>21700</v>
      </c>
    </row>
    <row r="1243" spans="1:14" ht="14.4">
      <c r="A1243" s="3">
        <v>13367</v>
      </c>
      <c r="B1243" s="3">
        <v>13368</v>
      </c>
      <c r="C1243" s="3">
        <v>4086</v>
      </c>
      <c r="D1243" s="3" t="s">
        <v>390</v>
      </c>
      <c r="E1243" s="3" t="s">
        <v>822</v>
      </c>
      <c r="F1243" s="3">
        <v>8092</v>
      </c>
      <c r="G1243" s="3" t="s">
        <v>402</v>
      </c>
      <c r="H1243" s="3" t="s">
        <v>38</v>
      </c>
      <c r="I1243" s="3">
        <v>785170</v>
      </c>
      <c r="J1243" s="3">
        <v>537500</v>
      </c>
      <c r="K1243" s="3">
        <v>247670</v>
      </c>
      <c r="L1243" s="3">
        <v>63600</v>
      </c>
      <c r="M1243" s="3">
        <v>21900</v>
      </c>
      <c r="N1243" s="3">
        <v>3000</v>
      </c>
    </row>
    <row r="1244" spans="1:14" ht="14.4">
      <c r="A1244" s="3">
        <v>13367</v>
      </c>
      <c r="B1244" s="3">
        <v>13368</v>
      </c>
      <c r="C1244" s="3">
        <v>4086</v>
      </c>
      <c r="D1244" s="3" t="s">
        <v>390</v>
      </c>
      <c r="E1244" s="3" t="s">
        <v>823</v>
      </c>
      <c r="F1244" s="3">
        <v>7764</v>
      </c>
      <c r="G1244" s="3" t="s">
        <v>392</v>
      </c>
      <c r="H1244" s="3" t="s">
        <v>38</v>
      </c>
      <c r="I1244" s="3">
        <v>0</v>
      </c>
      <c r="J1244" s="3">
        <v>0</v>
      </c>
      <c r="K1244" s="3">
        <v>0</v>
      </c>
      <c r="L1244" s="3">
        <v>78100</v>
      </c>
      <c r="M1244" s="3">
        <v>0</v>
      </c>
      <c r="N1244" s="3">
        <v>0</v>
      </c>
    </row>
    <row r="1245" spans="1:14" ht="14.4">
      <c r="A1245" s="3">
        <v>13367</v>
      </c>
      <c r="B1245" s="3">
        <v>13368</v>
      </c>
      <c r="C1245" s="3">
        <v>4086</v>
      </c>
      <c r="D1245" s="3" t="s">
        <v>390</v>
      </c>
      <c r="E1245" s="3" t="s">
        <v>824</v>
      </c>
      <c r="F1245" s="3">
        <v>7093</v>
      </c>
      <c r="G1245" s="3" t="s">
        <v>37</v>
      </c>
      <c r="H1245" s="3" t="s">
        <v>38</v>
      </c>
      <c r="I1245" s="3">
        <v>203817</v>
      </c>
      <c r="J1245" s="3">
        <v>38085</v>
      </c>
      <c r="K1245" s="3">
        <v>165732</v>
      </c>
      <c r="L1245" s="3">
        <v>0</v>
      </c>
      <c r="M1245" s="3">
        <v>0</v>
      </c>
      <c r="N1245" s="3">
        <v>0</v>
      </c>
    </row>
    <row r="1246" spans="1:14" ht="14.4">
      <c r="A1246" s="3">
        <v>13367</v>
      </c>
      <c r="B1246" s="3">
        <v>13368</v>
      </c>
      <c r="C1246" s="3">
        <v>4086</v>
      </c>
      <c r="D1246" s="3" t="s">
        <v>390</v>
      </c>
      <c r="E1246" s="3" t="s">
        <v>825</v>
      </c>
      <c r="F1246" s="3">
        <v>7052</v>
      </c>
      <c r="G1246" s="3" t="s">
        <v>428</v>
      </c>
      <c r="H1246" s="3" t="s">
        <v>38</v>
      </c>
      <c r="I1246" s="3">
        <v>148356</v>
      </c>
      <c r="J1246" s="3">
        <v>55506</v>
      </c>
      <c r="K1246" s="3">
        <v>92850</v>
      </c>
      <c r="L1246" s="3">
        <v>1800</v>
      </c>
      <c r="M1246" s="3">
        <v>0</v>
      </c>
      <c r="N1246" s="3">
        <v>0</v>
      </c>
    </row>
    <row r="1247" spans="1:14" ht="14.4">
      <c r="A1247" s="3">
        <v>13367</v>
      </c>
      <c r="B1247" s="3">
        <v>13368</v>
      </c>
      <c r="C1247" s="3">
        <v>4086</v>
      </c>
      <c r="D1247" s="3" t="s">
        <v>390</v>
      </c>
      <c r="E1247" s="3" t="s">
        <v>826</v>
      </c>
      <c r="F1247" s="3">
        <v>8260</v>
      </c>
      <c r="G1247" s="3" t="s">
        <v>404</v>
      </c>
      <c r="H1247" s="3" t="s">
        <v>38</v>
      </c>
      <c r="I1247" s="3">
        <v>940213</v>
      </c>
      <c r="J1247" s="3">
        <v>918693</v>
      </c>
      <c r="K1247" s="3">
        <v>21520</v>
      </c>
      <c r="L1247" s="3">
        <v>121700</v>
      </c>
      <c r="M1247" s="3">
        <v>109500</v>
      </c>
      <c r="N1247" s="3">
        <v>4200</v>
      </c>
    </row>
    <row r="1248" spans="1:14" ht="14.4">
      <c r="A1248" s="3">
        <v>13367</v>
      </c>
      <c r="B1248" s="3">
        <v>13368</v>
      </c>
      <c r="C1248" s="3">
        <v>4086</v>
      </c>
      <c r="D1248" s="3" t="s">
        <v>390</v>
      </c>
      <c r="E1248" s="3" t="s">
        <v>827</v>
      </c>
      <c r="F1248" s="3">
        <v>7090</v>
      </c>
      <c r="G1248" s="3" t="s">
        <v>435</v>
      </c>
      <c r="H1248" s="3" t="s">
        <v>38</v>
      </c>
      <c r="I1248" s="3">
        <v>109100</v>
      </c>
      <c r="J1248" s="3">
        <v>109100</v>
      </c>
      <c r="K1248" s="3">
        <v>0</v>
      </c>
      <c r="L1248" s="3">
        <v>0</v>
      </c>
      <c r="M1248" s="3">
        <v>0</v>
      </c>
      <c r="N1248" s="3">
        <v>0</v>
      </c>
    </row>
    <row r="1249" spans="1:14" ht="14.4">
      <c r="A1249" s="3">
        <v>13367</v>
      </c>
      <c r="B1249" s="3">
        <v>13368</v>
      </c>
      <c r="C1249" s="3">
        <v>4086</v>
      </c>
      <c r="D1249" s="3" t="s">
        <v>390</v>
      </c>
      <c r="E1249" s="3" t="s">
        <v>828</v>
      </c>
      <c r="F1249" s="3">
        <v>8759</v>
      </c>
      <c r="G1249" s="3" t="s">
        <v>402</v>
      </c>
      <c r="H1249" s="3" t="s">
        <v>38</v>
      </c>
      <c r="I1249" s="3">
        <v>8870</v>
      </c>
      <c r="J1249" s="3">
        <v>8870</v>
      </c>
      <c r="K1249" s="3">
        <v>0</v>
      </c>
      <c r="L1249" s="3">
        <v>8900</v>
      </c>
      <c r="M1249" s="3">
        <v>8900</v>
      </c>
      <c r="N1249" s="3">
        <v>0</v>
      </c>
    </row>
    <row r="1250" spans="1:14" ht="14.4">
      <c r="A1250" s="3">
        <v>13367</v>
      </c>
      <c r="B1250" s="3">
        <v>13368</v>
      </c>
      <c r="C1250" s="3">
        <v>4086</v>
      </c>
      <c r="D1250" s="3" t="s">
        <v>390</v>
      </c>
      <c r="E1250" s="3" t="s">
        <v>829</v>
      </c>
      <c r="F1250" s="3">
        <v>8260</v>
      </c>
      <c r="G1250" s="3" t="s">
        <v>394</v>
      </c>
      <c r="H1250" s="3" t="s">
        <v>38</v>
      </c>
      <c r="I1250" s="3">
        <v>3045</v>
      </c>
      <c r="J1250" s="3">
        <v>545</v>
      </c>
      <c r="K1250" s="3">
        <v>2500</v>
      </c>
      <c r="L1250" s="3">
        <v>0</v>
      </c>
      <c r="M1250" s="3">
        <v>0</v>
      </c>
      <c r="N1250" s="3">
        <v>0</v>
      </c>
    </row>
    <row r="1251" spans="1:14" ht="14.4">
      <c r="A1251" s="3">
        <v>13367</v>
      </c>
      <c r="B1251" s="3">
        <v>13368</v>
      </c>
      <c r="C1251" s="3">
        <v>4086</v>
      </c>
      <c r="D1251" s="3" t="s">
        <v>390</v>
      </c>
      <c r="E1251" s="3" t="s">
        <v>829</v>
      </c>
      <c r="F1251" s="3">
        <v>8260</v>
      </c>
      <c r="G1251" s="3" t="s">
        <v>404</v>
      </c>
      <c r="H1251" s="3" t="s">
        <v>38</v>
      </c>
      <c r="I1251" s="3">
        <v>2871658</v>
      </c>
      <c r="J1251" s="3">
        <v>2219485</v>
      </c>
      <c r="K1251" s="3">
        <v>652173</v>
      </c>
      <c r="L1251" s="3">
        <v>1032000</v>
      </c>
      <c r="M1251" s="3">
        <v>551200</v>
      </c>
      <c r="N1251" s="3">
        <v>407700</v>
      </c>
    </row>
    <row r="1252" spans="1:14" ht="14.4">
      <c r="A1252" s="3">
        <v>13367</v>
      </c>
      <c r="B1252" s="3">
        <v>13368</v>
      </c>
      <c r="C1252" s="3">
        <v>4086</v>
      </c>
      <c r="D1252" s="3" t="s">
        <v>390</v>
      </c>
      <c r="E1252" s="3" t="s">
        <v>830</v>
      </c>
      <c r="F1252" s="3">
        <v>8260</v>
      </c>
      <c r="G1252" s="3" t="s">
        <v>404</v>
      </c>
      <c r="H1252" s="3" t="s">
        <v>38</v>
      </c>
      <c r="I1252" s="3">
        <v>424300</v>
      </c>
      <c r="J1252" s="3">
        <v>364455</v>
      </c>
      <c r="K1252" s="3">
        <v>59845</v>
      </c>
      <c r="L1252" s="3">
        <v>377100</v>
      </c>
      <c r="M1252" s="3">
        <v>317300</v>
      </c>
      <c r="N1252" s="3">
        <v>59800</v>
      </c>
    </row>
    <row r="1253" spans="1:14" ht="14.4">
      <c r="A1253" s="3">
        <v>13367</v>
      </c>
      <c r="B1253" s="3">
        <v>13368</v>
      </c>
      <c r="C1253" s="3">
        <v>4086</v>
      </c>
      <c r="D1253" s="3" t="s">
        <v>390</v>
      </c>
      <c r="E1253" s="3" t="s">
        <v>831</v>
      </c>
      <c r="F1253" s="3">
        <v>8060</v>
      </c>
      <c r="G1253" s="3" t="s">
        <v>443</v>
      </c>
      <c r="H1253" s="3" t="s">
        <v>38</v>
      </c>
      <c r="I1253" s="3">
        <v>7132</v>
      </c>
      <c r="J1253" s="3">
        <v>7132</v>
      </c>
      <c r="K1253" s="3">
        <v>0</v>
      </c>
      <c r="L1253" s="3">
        <v>0</v>
      </c>
      <c r="M1253" s="3">
        <v>0</v>
      </c>
      <c r="N1253" s="3">
        <v>0</v>
      </c>
    </row>
    <row r="1254" spans="1:14" ht="14.4">
      <c r="A1254" s="3">
        <v>13367</v>
      </c>
      <c r="B1254" s="3">
        <v>13368</v>
      </c>
      <c r="C1254" s="3">
        <v>4086</v>
      </c>
      <c r="D1254" s="3" t="s">
        <v>390</v>
      </c>
      <c r="E1254" s="3" t="s">
        <v>832</v>
      </c>
      <c r="F1254" s="3">
        <v>7075</v>
      </c>
      <c r="G1254" s="3" t="s">
        <v>76</v>
      </c>
      <c r="H1254" s="3" t="s">
        <v>38</v>
      </c>
      <c r="I1254" s="3">
        <v>31001</v>
      </c>
      <c r="J1254" s="3">
        <v>31001</v>
      </c>
      <c r="K1254" s="3">
        <v>0</v>
      </c>
      <c r="L1254" s="3">
        <v>39200</v>
      </c>
      <c r="M1254" s="3">
        <v>24800</v>
      </c>
      <c r="N1254" s="3">
        <v>0</v>
      </c>
    </row>
    <row r="1255" spans="1:14" ht="14.4">
      <c r="A1255" s="3">
        <v>13367</v>
      </c>
      <c r="B1255" s="3">
        <v>13368</v>
      </c>
      <c r="C1255" s="3">
        <v>4086</v>
      </c>
      <c r="D1255" s="3" t="s">
        <v>390</v>
      </c>
      <c r="E1255" s="3" t="s">
        <v>833</v>
      </c>
      <c r="F1255" s="3">
        <v>7095</v>
      </c>
      <c r="G1255" s="3" t="s">
        <v>406</v>
      </c>
      <c r="H1255" s="3" t="s">
        <v>38</v>
      </c>
      <c r="I1255" s="3">
        <v>196339</v>
      </c>
      <c r="J1255" s="3">
        <v>18505</v>
      </c>
      <c r="K1255" s="3">
        <v>177834</v>
      </c>
      <c r="L1255" s="3">
        <v>13900</v>
      </c>
      <c r="M1255" s="3">
        <v>13900</v>
      </c>
      <c r="N1255" s="3">
        <v>0</v>
      </c>
    </row>
    <row r="1256" spans="1:14" ht="14.4">
      <c r="A1256" s="3">
        <v>13367</v>
      </c>
      <c r="B1256" s="3">
        <v>13368</v>
      </c>
      <c r="C1256" s="3">
        <v>4086</v>
      </c>
      <c r="D1256" s="3" t="s">
        <v>390</v>
      </c>
      <c r="E1256" s="3" t="s">
        <v>833</v>
      </c>
      <c r="F1256" s="3">
        <v>8861</v>
      </c>
      <c r="G1256" s="3" t="s">
        <v>406</v>
      </c>
      <c r="H1256" s="3" t="s">
        <v>38</v>
      </c>
      <c r="I1256" s="3">
        <v>872430</v>
      </c>
      <c r="J1256" s="3">
        <v>27930</v>
      </c>
      <c r="K1256" s="3">
        <v>844500</v>
      </c>
      <c r="L1256" s="3">
        <v>0</v>
      </c>
      <c r="M1256" s="3">
        <v>0</v>
      </c>
      <c r="N1256" s="3">
        <v>0</v>
      </c>
    </row>
    <row r="1257" spans="1:14" ht="14.4">
      <c r="A1257" s="3">
        <v>13367</v>
      </c>
      <c r="B1257" s="3">
        <v>13368</v>
      </c>
      <c r="C1257" s="3">
        <v>4086</v>
      </c>
      <c r="D1257" s="3" t="s">
        <v>390</v>
      </c>
      <c r="E1257" s="3" t="s">
        <v>834</v>
      </c>
      <c r="F1257" s="3">
        <v>7424</v>
      </c>
      <c r="G1257" s="3" t="s">
        <v>429</v>
      </c>
      <c r="H1257" s="3" t="s">
        <v>38</v>
      </c>
      <c r="I1257" s="3">
        <v>9107</v>
      </c>
      <c r="J1257" s="3">
        <v>9107</v>
      </c>
      <c r="K1257" s="3">
        <v>0</v>
      </c>
      <c r="L1257" s="3">
        <v>0</v>
      </c>
      <c r="M1257" s="3">
        <v>0</v>
      </c>
      <c r="N1257" s="3">
        <v>0</v>
      </c>
    </row>
    <row r="1258" spans="1:14" ht="14.4">
      <c r="A1258" s="3">
        <v>13367</v>
      </c>
      <c r="B1258" s="3">
        <v>13368</v>
      </c>
      <c r="C1258" s="3">
        <v>4086</v>
      </c>
      <c r="D1258" s="3" t="s">
        <v>390</v>
      </c>
      <c r="E1258" s="3" t="s">
        <v>835</v>
      </c>
      <c r="F1258" s="3">
        <v>7481</v>
      </c>
      <c r="G1258" s="3" t="s">
        <v>76</v>
      </c>
      <c r="H1258" s="3" t="s">
        <v>38</v>
      </c>
      <c r="I1258" s="3">
        <v>564962</v>
      </c>
      <c r="J1258" s="3">
        <v>464762</v>
      </c>
      <c r="K1258" s="3">
        <v>100200</v>
      </c>
      <c r="L1258" s="3">
        <v>67600</v>
      </c>
      <c r="M1258" s="3">
        <v>18800</v>
      </c>
      <c r="N1258" s="3">
        <v>0</v>
      </c>
    </row>
    <row r="1259" spans="1:14" ht="14.4">
      <c r="A1259" s="3">
        <v>13369</v>
      </c>
      <c r="B1259" s="3">
        <v>13370</v>
      </c>
      <c r="C1259" s="3">
        <v>4087</v>
      </c>
      <c r="D1259" s="3" t="s">
        <v>836</v>
      </c>
      <c r="E1259" s="3" t="s">
        <v>837</v>
      </c>
      <c r="F1259" s="3">
        <v>6405</v>
      </c>
      <c r="G1259" s="3" t="s">
        <v>838</v>
      </c>
      <c r="H1259" s="3" t="s">
        <v>144</v>
      </c>
      <c r="I1259" s="3">
        <v>921037</v>
      </c>
      <c r="J1259" s="3">
        <v>186057</v>
      </c>
      <c r="K1259" s="3">
        <v>734980</v>
      </c>
      <c r="L1259" s="3">
        <v>83800</v>
      </c>
      <c r="M1259" s="3">
        <v>62200</v>
      </c>
      <c r="N1259" s="3">
        <v>8400</v>
      </c>
    </row>
    <row r="1260" spans="1:14" ht="14.4">
      <c r="A1260" s="3">
        <v>13369</v>
      </c>
      <c r="B1260" s="3">
        <v>13370</v>
      </c>
      <c r="C1260" s="3">
        <v>4087</v>
      </c>
      <c r="D1260" s="3" t="s">
        <v>836</v>
      </c>
      <c r="E1260" s="3" t="s">
        <v>839</v>
      </c>
      <c r="F1260" s="3">
        <v>6604</v>
      </c>
      <c r="G1260" s="3" t="s">
        <v>143</v>
      </c>
      <c r="H1260" s="3" t="s">
        <v>144</v>
      </c>
      <c r="I1260" s="3">
        <v>314068</v>
      </c>
      <c r="J1260" s="3">
        <v>213276</v>
      </c>
      <c r="K1260" s="3">
        <v>100792</v>
      </c>
      <c r="L1260" s="3">
        <v>123100</v>
      </c>
      <c r="M1260" s="3">
        <v>67000</v>
      </c>
      <c r="N1260" s="3">
        <v>52700</v>
      </c>
    </row>
    <row r="1261" spans="1:14" ht="14.4">
      <c r="A1261" s="3">
        <v>13369</v>
      </c>
      <c r="B1261" s="3">
        <v>13370</v>
      </c>
      <c r="C1261" s="3">
        <v>4087</v>
      </c>
      <c r="D1261" s="3" t="s">
        <v>836</v>
      </c>
      <c r="E1261" s="3" t="s">
        <v>839</v>
      </c>
      <c r="F1261" s="3">
        <v>6605</v>
      </c>
      <c r="G1261" s="3" t="s">
        <v>143</v>
      </c>
      <c r="H1261" s="3" t="s">
        <v>144</v>
      </c>
      <c r="I1261" s="3">
        <v>517078</v>
      </c>
      <c r="J1261" s="3">
        <v>421976</v>
      </c>
      <c r="K1261" s="3">
        <v>95102</v>
      </c>
      <c r="L1261" s="3">
        <v>181400</v>
      </c>
      <c r="M1261" s="3">
        <v>154600</v>
      </c>
      <c r="N1261" s="3">
        <v>3400</v>
      </c>
    </row>
    <row r="1262" spans="1:14" ht="14.4">
      <c r="A1262" s="3">
        <v>13369</v>
      </c>
      <c r="B1262" s="3">
        <v>13370</v>
      </c>
      <c r="C1262" s="3">
        <v>4087</v>
      </c>
      <c r="D1262" s="3" t="s">
        <v>836</v>
      </c>
      <c r="E1262" s="3" t="s">
        <v>839</v>
      </c>
      <c r="F1262" s="3">
        <v>6606</v>
      </c>
      <c r="G1262" s="3" t="s">
        <v>143</v>
      </c>
      <c r="H1262" s="3" t="s">
        <v>144</v>
      </c>
      <c r="I1262" s="3">
        <v>32386</v>
      </c>
      <c r="J1262" s="3">
        <v>28991</v>
      </c>
      <c r="K1262" s="3">
        <v>3395</v>
      </c>
      <c r="L1262" s="3">
        <v>28900</v>
      </c>
      <c r="M1262" s="3">
        <v>23900</v>
      </c>
      <c r="N1262" s="3">
        <v>0</v>
      </c>
    </row>
    <row r="1263" spans="1:14" ht="14.4">
      <c r="A1263" s="3">
        <v>13369</v>
      </c>
      <c r="B1263" s="3">
        <v>13370</v>
      </c>
      <c r="C1263" s="3">
        <v>4087</v>
      </c>
      <c r="D1263" s="3" t="s">
        <v>836</v>
      </c>
      <c r="E1263" s="3" t="s">
        <v>839</v>
      </c>
      <c r="F1263" s="3">
        <v>6607</v>
      </c>
      <c r="G1263" s="3" t="s">
        <v>143</v>
      </c>
      <c r="H1263" s="3" t="s">
        <v>144</v>
      </c>
      <c r="I1263" s="3">
        <v>1474373</v>
      </c>
      <c r="J1263" s="3">
        <v>99909</v>
      </c>
      <c r="K1263" s="3">
        <v>1374464</v>
      </c>
      <c r="L1263" s="3">
        <v>29700</v>
      </c>
      <c r="M1263" s="3">
        <v>29700</v>
      </c>
      <c r="N1263" s="3">
        <v>0</v>
      </c>
    </row>
    <row r="1264" spans="1:14" ht="14.4">
      <c r="A1264" s="3">
        <v>13369</v>
      </c>
      <c r="B1264" s="3">
        <v>13370</v>
      </c>
      <c r="C1264" s="3">
        <v>4087</v>
      </c>
      <c r="D1264" s="3" t="s">
        <v>836</v>
      </c>
      <c r="E1264" s="3" t="s">
        <v>839</v>
      </c>
      <c r="F1264" s="3">
        <v>6608</v>
      </c>
      <c r="G1264" s="3" t="s">
        <v>143</v>
      </c>
      <c r="H1264" s="3" t="s">
        <v>144</v>
      </c>
      <c r="I1264" s="3">
        <v>137644</v>
      </c>
      <c r="J1264" s="3">
        <v>137644</v>
      </c>
      <c r="K1264" s="3">
        <v>0</v>
      </c>
      <c r="L1264" s="3">
        <v>0</v>
      </c>
      <c r="M1264" s="3">
        <v>0</v>
      </c>
      <c r="N1264" s="3">
        <v>0</v>
      </c>
    </row>
    <row r="1265" spans="1:14" ht="14.4">
      <c r="A1265" s="3">
        <v>13369</v>
      </c>
      <c r="B1265" s="3">
        <v>13370</v>
      </c>
      <c r="C1265" s="3">
        <v>4087</v>
      </c>
      <c r="D1265" s="3" t="s">
        <v>836</v>
      </c>
      <c r="E1265" s="3" t="s">
        <v>839</v>
      </c>
      <c r="F1265" s="3">
        <v>6610</v>
      </c>
      <c r="G1265" s="3" t="s">
        <v>143</v>
      </c>
      <c r="H1265" s="3" t="s">
        <v>144</v>
      </c>
      <c r="I1265" s="3">
        <v>3722</v>
      </c>
      <c r="J1265" s="3">
        <v>3722</v>
      </c>
      <c r="K1265" s="3">
        <v>0</v>
      </c>
      <c r="L1265" s="3">
        <v>11100</v>
      </c>
      <c r="M1265" s="3">
        <v>0</v>
      </c>
      <c r="N1265" s="3">
        <v>0</v>
      </c>
    </row>
    <row r="1266" spans="1:14" ht="14.4">
      <c r="A1266" s="3">
        <v>13369</v>
      </c>
      <c r="B1266" s="3">
        <v>13370</v>
      </c>
      <c r="C1266" s="3">
        <v>4087</v>
      </c>
      <c r="D1266" s="3" t="s">
        <v>836</v>
      </c>
      <c r="E1266" s="3" t="s">
        <v>478</v>
      </c>
      <c r="F1266" s="3">
        <v>6413</v>
      </c>
      <c r="G1266" s="3" t="s">
        <v>406</v>
      </c>
      <c r="H1266" s="3" t="s">
        <v>144</v>
      </c>
      <c r="I1266" s="3">
        <v>210373</v>
      </c>
      <c r="J1266" s="3">
        <v>209773</v>
      </c>
      <c r="K1266" s="3">
        <v>600</v>
      </c>
      <c r="L1266" s="3">
        <v>58300</v>
      </c>
      <c r="M1266" s="3">
        <v>58300</v>
      </c>
      <c r="N1266" s="3">
        <v>0</v>
      </c>
    </row>
    <row r="1267" spans="1:14" ht="14.4">
      <c r="A1267" s="3">
        <v>13369</v>
      </c>
      <c r="B1267" s="3">
        <v>13370</v>
      </c>
      <c r="C1267" s="3">
        <v>4087</v>
      </c>
      <c r="D1267" s="3" t="s">
        <v>836</v>
      </c>
      <c r="E1267" s="3" t="s">
        <v>840</v>
      </c>
      <c r="F1267" s="3">
        <v>6807</v>
      </c>
      <c r="G1267" s="3" t="s">
        <v>143</v>
      </c>
      <c r="H1267" s="3" t="s">
        <v>144</v>
      </c>
      <c r="I1267" s="3">
        <v>169991</v>
      </c>
      <c r="J1267" s="3">
        <v>163141</v>
      </c>
      <c r="K1267" s="3">
        <v>6850</v>
      </c>
      <c r="L1267" s="3">
        <v>0</v>
      </c>
      <c r="M1267" s="3">
        <v>0</v>
      </c>
      <c r="N1267" s="3">
        <v>0</v>
      </c>
    </row>
    <row r="1268" spans="1:14" ht="14.4">
      <c r="A1268" s="3">
        <v>13369</v>
      </c>
      <c r="B1268" s="3">
        <v>13370</v>
      </c>
      <c r="C1268" s="3">
        <v>4087</v>
      </c>
      <c r="D1268" s="3" t="s">
        <v>836</v>
      </c>
      <c r="E1268" s="3" t="s">
        <v>841</v>
      </c>
      <c r="F1268" s="3">
        <v>10518</v>
      </c>
      <c r="G1268" s="3" t="s">
        <v>64</v>
      </c>
      <c r="H1268" s="3" t="s">
        <v>21</v>
      </c>
      <c r="I1268" s="3">
        <v>0</v>
      </c>
      <c r="J1268" s="3">
        <v>0</v>
      </c>
      <c r="K1268" s="3">
        <v>0</v>
      </c>
      <c r="L1268" s="3">
        <v>85800</v>
      </c>
      <c r="M1268" s="3">
        <v>0</v>
      </c>
      <c r="N1268" s="3">
        <v>0</v>
      </c>
    </row>
    <row r="1269" spans="1:14" ht="14.4">
      <c r="A1269" s="3">
        <v>13369</v>
      </c>
      <c r="B1269" s="3">
        <v>13370</v>
      </c>
      <c r="C1269" s="3">
        <v>4087</v>
      </c>
      <c r="D1269" s="3" t="s">
        <v>836</v>
      </c>
      <c r="E1269" s="3" t="s">
        <v>842</v>
      </c>
      <c r="F1269" s="3">
        <v>6810</v>
      </c>
      <c r="G1269" s="3" t="s">
        <v>143</v>
      </c>
      <c r="H1269" s="3" t="s">
        <v>144</v>
      </c>
      <c r="I1269" s="3">
        <v>47475</v>
      </c>
      <c r="J1269" s="3">
        <v>30460</v>
      </c>
      <c r="K1269" s="3">
        <v>17015</v>
      </c>
      <c r="L1269" s="3">
        <v>0</v>
      </c>
      <c r="M1269" s="3">
        <v>0</v>
      </c>
      <c r="N1269" s="3">
        <v>0</v>
      </c>
    </row>
    <row r="1270" spans="1:14" ht="14.4">
      <c r="A1270" s="3">
        <v>13369</v>
      </c>
      <c r="B1270" s="3">
        <v>13370</v>
      </c>
      <c r="C1270" s="3">
        <v>4087</v>
      </c>
      <c r="D1270" s="3" t="s">
        <v>836</v>
      </c>
      <c r="E1270" s="3" t="s">
        <v>843</v>
      </c>
      <c r="F1270" s="3">
        <v>6820</v>
      </c>
      <c r="G1270" s="3" t="s">
        <v>143</v>
      </c>
      <c r="H1270" s="3" t="s">
        <v>144</v>
      </c>
      <c r="I1270" s="3">
        <v>810231</v>
      </c>
      <c r="J1270" s="3">
        <v>738041</v>
      </c>
      <c r="K1270" s="3">
        <v>72190</v>
      </c>
      <c r="L1270" s="3">
        <v>527900</v>
      </c>
      <c r="M1270" s="3">
        <v>486300</v>
      </c>
      <c r="N1270" s="3">
        <v>29100</v>
      </c>
    </row>
    <row r="1271" spans="1:14" ht="14.4">
      <c r="A1271" s="3">
        <v>13369</v>
      </c>
      <c r="B1271" s="3">
        <v>13370</v>
      </c>
      <c r="C1271" s="3">
        <v>4087</v>
      </c>
      <c r="D1271" s="3" t="s">
        <v>836</v>
      </c>
      <c r="E1271" s="3" t="s">
        <v>844</v>
      </c>
      <c r="F1271" s="3">
        <v>6418</v>
      </c>
      <c r="G1271" s="3" t="s">
        <v>838</v>
      </c>
      <c r="H1271" s="3" t="s">
        <v>144</v>
      </c>
      <c r="I1271" s="3">
        <v>5421</v>
      </c>
      <c r="J1271" s="3">
        <v>5421</v>
      </c>
      <c r="K1271" s="3">
        <v>0</v>
      </c>
      <c r="L1271" s="3">
        <v>5500</v>
      </c>
      <c r="M1271" s="3">
        <v>5500</v>
      </c>
      <c r="N1271" s="3">
        <v>0</v>
      </c>
    </row>
    <row r="1272" spans="1:14" ht="14.4">
      <c r="A1272" s="3">
        <v>13369</v>
      </c>
      <c r="B1272" s="3">
        <v>13370</v>
      </c>
      <c r="C1272" s="3">
        <v>4087</v>
      </c>
      <c r="D1272" s="3" t="s">
        <v>836</v>
      </c>
      <c r="E1272" s="3" t="s">
        <v>845</v>
      </c>
      <c r="F1272" s="3">
        <v>6512</v>
      </c>
      <c r="G1272" s="3" t="s">
        <v>838</v>
      </c>
      <c r="H1272" s="3" t="s">
        <v>144</v>
      </c>
      <c r="I1272" s="3">
        <v>293619</v>
      </c>
      <c r="J1272" s="3">
        <v>197045</v>
      </c>
      <c r="K1272" s="3">
        <v>96574</v>
      </c>
      <c r="L1272" s="3">
        <v>198000</v>
      </c>
      <c r="M1272" s="3">
        <v>59000</v>
      </c>
      <c r="N1272" s="3">
        <v>80000</v>
      </c>
    </row>
    <row r="1273" spans="1:14" ht="14.4">
      <c r="A1273" s="3">
        <v>13369</v>
      </c>
      <c r="B1273" s="3">
        <v>13370</v>
      </c>
      <c r="C1273" s="3">
        <v>4087</v>
      </c>
      <c r="D1273" s="3" t="s">
        <v>836</v>
      </c>
      <c r="E1273" s="3" t="s">
        <v>428</v>
      </c>
      <c r="F1273" s="3">
        <v>6426</v>
      </c>
      <c r="G1273" s="3" t="s">
        <v>406</v>
      </c>
      <c r="H1273" s="3" t="s">
        <v>144</v>
      </c>
      <c r="I1273" s="3">
        <v>46128</v>
      </c>
      <c r="J1273" s="3">
        <v>36459</v>
      </c>
      <c r="K1273" s="3">
        <v>9669</v>
      </c>
      <c r="L1273" s="3">
        <v>0</v>
      </c>
      <c r="M1273" s="3">
        <v>0</v>
      </c>
      <c r="N1273" s="3">
        <v>0</v>
      </c>
    </row>
    <row r="1274" spans="1:14" ht="14.4">
      <c r="A1274" s="3">
        <v>13369</v>
      </c>
      <c r="B1274" s="3">
        <v>13370</v>
      </c>
      <c r="C1274" s="3">
        <v>4087</v>
      </c>
      <c r="D1274" s="3" t="s">
        <v>836</v>
      </c>
      <c r="E1274" s="3" t="s">
        <v>143</v>
      </c>
      <c r="F1274" s="3">
        <v>6824</v>
      </c>
      <c r="G1274" s="3" t="s">
        <v>143</v>
      </c>
      <c r="H1274" s="3" t="s">
        <v>144</v>
      </c>
      <c r="I1274" s="3">
        <v>4003328</v>
      </c>
      <c r="J1274" s="3">
        <v>3640653</v>
      </c>
      <c r="K1274" s="3">
        <v>362675</v>
      </c>
      <c r="L1274" s="3">
        <v>2930700</v>
      </c>
      <c r="M1274" s="3">
        <v>2433400</v>
      </c>
      <c r="N1274" s="3">
        <v>160000</v>
      </c>
    </row>
    <row r="1275" spans="1:14" ht="14.4">
      <c r="A1275" s="3">
        <v>13369</v>
      </c>
      <c r="B1275" s="3">
        <v>13370</v>
      </c>
      <c r="C1275" s="3">
        <v>4087</v>
      </c>
      <c r="D1275" s="3" t="s">
        <v>836</v>
      </c>
      <c r="E1275" s="3" t="s">
        <v>526</v>
      </c>
      <c r="F1275" s="3">
        <v>6830</v>
      </c>
      <c r="G1275" s="3" t="s">
        <v>143</v>
      </c>
      <c r="H1275" s="3" t="s">
        <v>144</v>
      </c>
      <c r="I1275" s="3">
        <v>34582</v>
      </c>
      <c r="J1275" s="3">
        <v>33582</v>
      </c>
      <c r="K1275" s="3">
        <v>1000</v>
      </c>
      <c r="L1275" s="3">
        <v>0</v>
      </c>
      <c r="M1275" s="3">
        <v>0</v>
      </c>
      <c r="N1275" s="3">
        <v>0</v>
      </c>
    </row>
    <row r="1276" spans="1:14" ht="14.4">
      <c r="A1276" s="3">
        <v>13369</v>
      </c>
      <c r="B1276" s="3">
        <v>13370</v>
      </c>
      <c r="C1276" s="3">
        <v>4087</v>
      </c>
      <c r="D1276" s="3" t="s">
        <v>836</v>
      </c>
      <c r="E1276" s="3" t="s">
        <v>846</v>
      </c>
      <c r="F1276" s="3">
        <v>6340</v>
      </c>
      <c r="G1276" s="3" t="s">
        <v>847</v>
      </c>
      <c r="H1276" s="3" t="s">
        <v>144</v>
      </c>
      <c r="I1276" s="3">
        <v>317322</v>
      </c>
      <c r="J1276" s="3">
        <v>296472</v>
      </c>
      <c r="K1276" s="3">
        <v>20850</v>
      </c>
      <c r="L1276" s="3">
        <v>297900</v>
      </c>
      <c r="M1276" s="3">
        <v>280600</v>
      </c>
      <c r="N1276" s="3">
        <v>17300</v>
      </c>
    </row>
    <row r="1277" spans="1:14" ht="14.4">
      <c r="A1277" s="3">
        <v>13369</v>
      </c>
      <c r="B1277" s="3">
        <v>13370</v>
      </c>
      <c r="C1277" s="3">
        <v>4087</v>
      </c>
      <c r="D1277" s="3" t="s">
        <v>836</v>
      </c>
      <c r="E1277" s="3" t="s">
        <v>156</v>
      </c>
      <c r="F1277" s="3">
        <v>10706</v>
      </c>
      <c r="G1277" s="3" t="s">
        <v>64</v>
      </c>
      <c r="H1277" s="3" t="s">
        <v>21</v>
      </c>
      <c r="I1277" s="3">
        <v>0</v>
      </c>
      <c r="J1277" s="3">
        <v>0</v>
      </c>
      <c r="K1277" s="3">
        <v>0</v>
      </c>
      <c r="L1277" s="3">
        <v>4400</v>
      </c>
      <c r="M1277" s="3">
        <v>0</v>
      </c>
      <c r="N1277" s="3">
        <v>0</v>
      </c>
    </row>
    <row r="1278" spans="1:14" ht="14.4">
      <c r="A1278" s="3">
        <v>13369</v>
      </c>
      <c r="B1278" s="3">
        <v>13370</v>
      </c>
      <c r="C1278" s="3">
        <v>4087</v>
      </c>
      <c r="D1278" s="3" t="s">
        <v>836</v>
      </c>
      <c r="E1278" s="3" t="s">
        <v>171</v>
      </c>
      <c r="F1278" s="3">
        <v>10533</v>
      </c>
      <c r="G1278" s="3" t="s">
        <v>64</v>
      </c>
      <c r="H1278" s="3" t="s">
        <v>21</v>
      </c>
      <c r="I1278" s="3">
        <v>0</v>
      </c>
      <c r="J1278" s="3">
        <v>0</v>
      </c>
      <c r="K1278" s="3">
        <v>0</v>
      </c>
      <c r="L1278" s="3">
        <v>13900</v>
      </c>
      <c r="M1278" s="3">
        <v>0</v>
      </c>
      <c r="N1278" s="3">
        <v>0</v>
      </c>
    </row>
    <row r="1279" spans="1:14" ht="14.4">
      <c r="A1279" s="3">
        <v>13369</v>
      </c>
      <c r="B1279" s="3">
        <v>13370</v>
      </c>
      <c r="C1279" s="3">
        <v>4087</v>
      </c>
      <c r="D1279" s="3" t="s">
        <v>836</v>
      </c>
      <c r="E1279" s="3" t="s">
        <v>191</v>
      </c>
      <c r="F1279" s="3">
        <v>10538</v>
      </c>
      <c r="G1279" s="3" t="s">
        <v>64</v>
      </c>
      <c r="H1279" s="3" t="s">
        <v>21</v>
      </c>
      <c r="I1279" s="3">
        <v>0</v>
      </c>
      <c r="J1279" s="3">
        <v>0</v>
      </c>
      <c r="K1279" s="3">
        <v>0</v>
      </c>
      <c r="L1279" s="3">
        <v>22700</v>
      </c>
      <c r="M1279" s="3">
        <v>0</v>
      </c>
      <c r="N1279" s="3">
        <v>0</v>
      </c>
    </row>
    <row r="1280" spans="1:14" ht="14.4">
      <c r="A1280" s="3">
        <v>13369</v>
      </c>
      <c r="B1280" s="3">
        <v>13370</v>
      </c>
      <c r="C1280" s="3">
        <v>4087</v>
      </c>
      <c r="D1280" s="3" t="s">
        <v>836</v>
      </c>
      <c r="E1280" s="3" t="s">
        <v>848</v>
      </c>
      <c r="F1280" s="3">
        <v>6443</v>
      </c>
      <c r="G1280" s="3" t="s">
        <v>838</v>
      </c>
      <c r="H1280" s="3" t="s">
        <v>144</v>
      </c>
      <c r="I1280" s="3">
        <v>352986</v>
      </c>
      <c r="J1280" s="3">
        <v>349786</v>
      </c>
      <c r="K1280" s="3">
        <v>3200</v>
      </c>
      <c r="L1280" s="3">
        <v>0</v>
      </c>
      <c r="M1280" s="3">
        <v>0</v>
      </c>
      <c r="N1280" s="3">
        <v>0</v>
      </c>
    </row>
    <row r="1281" spans="1:14" ht="14.4">
      <c r="A1281" s="3">
        <v>13369</v>
      </c>
      <c r="B1281" s="3">
        <v>13370</v>
      </c>
      <c r="C1281" s="3">
        <v>4087</v>
      </c>
      <c r="D1281" s="3" t="s">
        <v>836</v>
      </c>
      <c r="E1281" s="3" t="s">
        <v>226</v>
      </c>
      <c r="F1281" s="3">
        <v>6459</v>
      </c>
      <c r="G1281" s="3" t="s">
        <v>406</v>
      </c>
      <c r="H1281" s="3" t="s">
        <v>144</v>
      </c>
      <c r="I1281" s="3">
        <v>110233</v>
      </c>
      <c r="J1281" s="3">
        <v>110233</v>
      </c>
      <c r="K1281" s="3">
        <v>0</v>
      </c>
      <c r="L1281" s="3">
        <v>0</v>
      </c>
      <c r="M1281" s="3">
        <v>0</v>
      </c>
      <c r="N1281" s="3">
        <v>0</v>
      </c>
    </row>
    <row r="1282" spans="1:14" ht="14.4">
      <c r="A1282" s="3">
        <v>13369</v>
      </c>
      <c r="B1282" s="3">
        <v>13370</v>
      </c>
      <c r="C1282" s="3">
        <v>4087</v>
      </c>
      <c r="D1282" s="3" t="s">
        <v>836</v>
      </c>
      <c r="E1282" s="3" t="s">
        <v>849</v>
      </c>
      <c r="F1282" s="3">
        <v>6460</v>
      </c>
      <c r="G1282" s="3" t="s">
        <v>143</v>
      </c>
      <c r="H1282" s="3" t="s">
        <v>144</v>
      </c>
      <c r="I1282" s="3">
        <v>5749</v>
      </c>
      <c r="J1282" s="3">
        <v>0</v>
      </c>
      <c r="K1282" s="3">
        <v>5749</v>
      </c>
      <c r="L1282" s="3">
        <v>0</v>
      </c>
      <c r="M1282" s="3">
        <v>0</v>
      </c>
      <c r="N1282" s="3">
        <v>0</v>
      </c>
    </row>
    <row r="1283" spans="1:14" ht="14.4">
      <c r="A1283" s="3">
        <v>13369</v>
      </c>
      <c r="B1283" s="3">
        <v>13370</v>
      </c>
      <c r="C1283" s="3">
        <v>4087</v>
      </c>
      <c r="D1283" s="3" t="s">
        <v>836</v>
      </c>
      <c r="E1283" s="3" t="s">
        <v>849</v>
      </c>
      <c r="F1283" s="3">
        <v>6460</v>
      </c>
      <c r="G1283" s="3" t="s">
        <v>838</v>
      </c>
      <c r="H1283" s="3" t="s">
        <v>144</v>
      </c>
      <c r="I1283" s="3">
        <v>2720362</v>
      </c>
      <c r="J1283" s="3">
        <v>2631344</v>
      </c>
      <c r="K1283" s="3">
        <v>89018</v>
      </c>
      <c r="L1283" s="3">
        <v>268300</v>
      </c>
      <c r="M1283" s="3">
        <v>233500</v>
      </c>
      <c r="N1283" s="3">
        <v>11600</v>
      </c>
    </row>
    <row r="1284" spans="1:14" ht="14.4">
      <c r="A1284" s="3">
        <v>13369</v>
      </c>
      <c r="B1284" s="3">
        <v>13370</v>
      </c>
      <c r="C1284" s="3">
        <v>4087</v>
      </c>
      <c r="D1284" s="3" t="s">
        <v>836</v>
      </c>
      <c r="E1284" s="3" t="s">
        <v>850</v>
      </c>
      <c r="F1284" s="3">
        <v>6355</v>
      </c>
      <c r="G1284" s="3" t="s">
        <v>847</v>
      </c>
      <c r="H1284" s="3" t="s">
        <v>144</v>
      </c>
      <c r="I1284" s="3">
        <v>988781</v>
      </c>
      <c r="J1284" s="3">
        <v>959313</v>
      </c>
      <c r="K1284" s="3">
        <v>29468</v>
      </c>
      <c r="L1284" s="3">
        <v>48500</v>
      </c>
      <c r="M1284" s="3">
        <v>30700</v>
      </c>
      <c r="N1284" s="3">
        <v>12800</v>
      </c>
    </row>
    <row r="1285" spans="1:14" ht="14.4">
      <c r="A1285" s="3">
        <v>13369</v>
      </c>
      <c r="B1285" s="3">
        <v>13370</v>
      </c>
      <c r="C1285" s="3">
        <v>4087</v>
      </c>
      <c r="D1285" s="3" t="s">
        <v>836</v>
      </c>
      <c r="E1285" s="3" t="s">
        <v>851</v>
      </c>
      <c r="F1285" s="3">
        <v>6840</v>
      </c>
      <c r="G1285" s="3" t="s">
        <v>143</v>
      </c>
      <c r="H1285" s="3" t="s">
        <v>144</v>
      </c>
      <c r="I1285" s="3">
        <v>82375</v>
      </c>
      <c r="J1285" s="3">
        <v>7407</v>
      </c>
      <c r="K1285" s="3">
        <v>74968</v>
      </c>
      <c r="L1285" s="3">
        <v>181000</v>
      </c>
      <c r="M1285" s="3">
        <v>0</v>
      </c>
      <c r="N1285" s="3">
        <v>64400</v>
      </c>
    </row>
    <row r="1286" spans="1:14" ht="14.4">
      <c r="A1286" s="3">
        <v>13369</v>
      </c>
      <c r="B1286" s="3">
        <v>13370</v>
      </c>
      <c r="C1286" s="3">
        <v>4087</v>
      </c>
      <c r="D1286" s="3" t="s">
        <v>836</v>
      </c>
      <c r="E1286" s="3" t="s">
        <v>838</v>
      </c>
      <c r="F1286" s="3">
        <v>6510</v>
      </c>
      <c r="G1286" s="3" t="s">
        <v>143</v>
      </c>
      <c r="H1286" s="3" t="s">
        <v>144</v>
      </c>
      <c r="I1286" s="3">
        <v>0</v>
      </c>
      <c r="J1286" s="3">
        <v>0</v>
      </c>
      <c r="K1286" s="3">
        <v>0</v>
      </c>
      <c r="L1286" s="3">
        <v>132000</v>
      </c>
      <c r="M1286" s="3">
        <v>0</v>
      </c>
      <c r="N1286" s="3">
        <v>0</v>
      </c>
    </row>
    <row r="1287" spans="1:14" ht="14.4">
      <c r="A1287" s="3">
        <v>13369</v>
      </c>
      <c r="B1287" s="3">
        <v>13370</v>
      </c>
      <c r="C1287" s="3">
        <v>4087</v>
      </c>
      <c r="D1287" s="3" t="s">
        <v>836</v>
      </c>
      <c r="E1287" s="3" t="s">
        <v>838</v>
      </c>
      <c r="F1287" s="3">
        <v>6511</v>
      </c>
      <c r="G1287" s="3" t="s">
        <v>838</v>
      </c>
      <c r="H1287" s="3" t="s">
        <v>144</v>
      </c>
      <c r="I1287" s="3">
        <v>71639</v>
      </c>
      <c r="J1287" s="3">
        <v>71639</v>
      </c>
      <c r="K1287" s="3">
        <v>0</v>
      </c>
      <c r="L1287" s="3">
        <v>206000</v>
      </c>
      <c r="M1287" s="3">
        <v>55600</v>
      </c>
      <c r="N1287" s="3">
        <v>0</v>
      </c>
    </row>
    <row r="1288" spans="1:14" ht="14.4">
      <c r="A1288" s="3">
        <v>13369</v>
      </c>
      <c r="B1288" s="3">
        <v>13370</v>
      </c>
      <c r="C1288" s="3">
        <v>4087</v>
      </c>
      <c r="D1288" s="3" t="s">
        <v>836</v>
      </c>
      <c r="E1288" s="3" t="s">
        <v>838</v>
      </c>
      <c r="F1288" s="3">
        <v>6512</v>
      </c>
      <c r="G1288" s="3" t="s">
        <v>838</v>
      </c>
      <c r="H1288" s="3" t="s">
        <v>144</v>
      </c>
      <c r="I1288" s="3">
        <v>20713</v>
      </c>
      <c r="J1288" s="3">
        <v>0</v>
      </c>
      <c r="K1288" s="3">
        <v>20713</v>
      </c>
      <c r="L1288" s="3">
        <v>0</v>
      </c>
      <c r="M1288" s="3">
        <v>0</v>
      </c>
      <c r="N1288" s="3">
        <v>0</v>
      </c>
    </row>
    <row r="1289" spans="1:14" ht="14.4">
      <c r="A1289" s="3">
        <v>13369</v>
      </c>
      <c r="B1289" s="3">
        <v>13370</v>
      </c>
      <c r="C1289" s="3">
        <v>4087</v>
      </c>
      <c r="D1289" s="3" t="s">
        <v>836</v>
      </c>
      <c r="E1289" s="3" t="s">
        <v>838</v>
      </c>
      <c r="F1289" s="3">
        <v>6513</v>
      </c>
      <c r="G1289" s="3" t="s">
        <v>838</v>
      </c>
      <c r="H1289" s="3" t="s">
        <v>144</v>
      </c>
      <c r="I1289" s="3">
        <v>23680</v>
      </c>
      <c r="J1289" s="3">
        <v>23680</v>
      </c>
      <c r="K1289" s="3">
        <v>0</v>
      </c>
      <c r="L1289" s="3">
        <v>20800</v>
      </c>
      <c r="M1289" s="3">
        <v>20800</v>
      </c>
      <c r="N1289" s="3">
        <v>0</v>
      </c>
    </row>
    <row r="1290" spans="1:14" ht="14.4">
      <c r="A1290" s="3">
        <v>13369</v>
      </c>
      <c r="B1290" s="3">
        <v>13370</v>
      </c>
      <c r="C1290" s="3">
        <v>4087</v>
      </c>
      <c r="D1290" s="3" t="s">
        <v>836</v>
      </c>
      <c r="E1290" s="3" t="s">
        <v>838</v>
      </c>
      <c r="F1290" s="3">
        <v>6515</v>
      </c>
      <c r="G1290" s="3" t="s">
        <v>838</v>
      </c>
      <c r="H1290" s="3" t="s">
        <v>144</v>
      </c>
      <c r="I1290" s="3">
        <v>27763</v>
      </c>
      <c r="J1290" s="3">
        <v>27763</v>
      </c>
      <c r="K1290" s="3">
        <v>0</v>
      </c>
      <c r="L1290" s="3">
        <v>12100</v>
      </c>
      <c r="M1290" s="3">
        <v>12100</v>
      </c>
      <c r="N1290" s="3">
        <v>0</v>
      </c>
    </row>
    <row r="1291" spans="1:14" ht="14.4">
      <c r="A1291" s="3">
        <v>13369</v>
      </c>
      <c r="B1291" s="3">
        <v>13370</v>
      </c>
      <c r="C1291" s="3">
        <v>4087</v>
      </c>
      <c r="D1291" s="3" t="s">
        <v>836</v>
      </c>
      <c r="E1291" s="3" t="s">
        <v>838</v>
      </c>
      <c r="F1291" s="3">
        <v>6519</v>
      </c>
      <c r="G1291" s="3" t="s">
        <v>838</v>
      </c>
      <c r="H1291" s="3" t="s">
        <v>144</v>
      </c>
      <c r="I1291" s="3">
        <v>2128776</v>
      </c>
      <c r="J1291" s="3">
        <v>2104200</v>
      </c>
      <c r="K1291" s="3">
        <v>24576</v>
      </c>
      <c r="L1291" s="3">
        <v>2000000</v>
      </c>
      <c r="M1291" s="3">
        <v>1975400</v>
      </c>
      <c r="N1291" s="3">
        <v>24600</v>
      </c>
    </row>
    <row r="1292" spans="1:14" ht="14.4">
      <c r="A1292" s="3">
        <v>13369</v>
      </c>
      <c r="B1292" s="3">
        <v>13370</v>
      </c>
      <c r="C1292" s="3">
        <v>4087</v>
      </c>
      <c r="D1292" s="3" t="s">
        <v>836</v>
      </c>
      <c r="E1292" s="3" t="s">
        <v>847</v>
      </c>
      <c r="F1292" s="3">
        <v>6320</v>
      </c>
      <c r="G1292" s="3" t="s">
        <v>847</v>
      </c>
      <c r="H1292" s="3" t="s">
        <v>144</v>
      </c>
      <c r="I1292" s="3">
        <v>665500</v>
      </c>
      <c r="J1292" s="3">
        <v>566015</v>
      </c>
      <c r="K1292" s="3">
        <v>99485</v>
      </c>
      <c r="L1292" s="3">
        <v>257000</v>
      </c>
      <c r="M1292" s="3">
        <v>219500</v>
      </c>
      <c r="N1292" s="3">
        <v>3700</v>
      </c>
    </row>
    <row r="1293" spans="1:14" ht="14.4">
      <c r="A1293" s="3">
        <v>13369</v>
      </c>
      <c r="B1293" s="3">
        <v>13370</v>
      </c>
      <c r="C1293" s="3">
        <v>4087</v>
      </c>
      <c r="D1293" s="3" t="s">
        <v>836</v>
      </c>
      <c r="E1293" s="3" t="s">
        <v>852</v>
      </c>
      <c r="F1293" s="3">
        <v>6357</v>
      </c>
      <c r="G1293" s="3" t="s">
        <v>847</v>
      </c>
      <c r="H1293" s="3" t="s">
        <v>144</v>
      </c>
      <c r="I1293" s="3">
        <v>193107</v>
      </c>
      <c r="J1293" s="3">
        <v>190532</v>
      </c>
      <c r="K1293" s="3">
        <v>2575</v>
      </c>
      <c r="L1293" s="3">
        <v>193100</v>
      </c>
      <c r="M1293" s="3">
        <v>190500</v>
      </c>
      <c r="N1293" s="3">
        <v>2600</v>
      </c>
    </row>
    <row r="1294" spans="1:14" ht="14.4">
      <c r="A1294" s="3">
        <v>13369</v>
      </c>
      <c r="B1294" s="3">
        <v>13370</v>
      </c>
      <c r="C1294" s="3">
        <v>4087</v>
      </c>
      <c r="D1294" s="3" t="s">
        <v>836</v>
      </c>
      <c r="E1294" s="3" t="s">
        <v>853</v>
      </c>
      <c r="F1294" s="3">
        <v>6850</v>
      </c>
      <c r="G1294" s="3" t="s">
        <v>143</v>
      </c>
      <c r="H1294" s="3" t="s">
        <v>144</v>
      </c>
      <c r="I1294" s="3">
        <v>7568</v>
      </c>
      <c r="J1294" s="3">
        <v>7568</v>
      </c>
      <c r="K1294" s="3">
        <v>0</v>
      </c>
      <c r="L1294" s="3">
        <v>7600</v>
      </c>
      <c r="M1294" s="3">
        <v>7600</v>
      </c>
      <c r="N1294" s="3">
        <v>0</v>
      </c>
    </row>
    <row r="1295" spans="1:14" ht="14.4">
      <c r="A1295" s="3">
        <v>13369</v>
      </c>
      <c r="B1295" s="3">
        <v>13370</v>
      </c>
      <c r="C1295" s="3">
        <v>4087</v>
      </c>
      <c r="D1295" s="3" t="s">
        <v>836</v>
      </c>
      <c r="E1295" s="3" t="s">
        <v>853</v>
      </c>
      <c r="F1295" s="3">
        <v>6853</v>
      </c>
      <c r="G1295" s="3" t="s">
        <v>143</v>
      </c>
      <c r="H1295" s="3" t="s">
        <v>144</v>
      </c>
      <c r="I1295" s="3">
        <v>223988</v>
      </c>
      <c r="J1295" s="3">
        <v>142943</v>
      </c>
      <c r="K1295" s="3">
        <v>81045</v>
      </c>
      <c r="L1295" s="3">
        <v>84000</v>
      </c>
      <c r="M1295" s="3">
        <v>74700</v>
      </c>
      <c r="N1295" s="3">
        <v>3200</v>
      </c>
    </row>
    <row r="1296" spans="1:14" ht="14.4">
      <c r="A1296" s="3">
        <v>13369</v>
      </c>
      <c r="B1296" s="3">
        <v>13370</v>
      </c>
      <c r="C1296" s="3">
        <v>4087</v>
      </c>
      <c r="D1296" s="3" t="s">
        <v>836</v>
      </c>
      <c r="E1296" s="3" t="s">
        <v>853</v>
      </c>
      <c r="F1296" s="3">
        <v>6854</v>
      </c>
      <c r="G1296" s="3" t="s">
        <v>143</v>
      </c>
      <c r="H1296" s="3" t="s">
        <v>144</v>
      </c>
      <c r="I1296" s="3">
        <v>1656251</v>
      </c>
      <c r="J1296" s="3">
        <v>1421003</v>
      </c>
      <c r="K1296" s="3">
        <v>235248</v>
      </c>
      <c r="L1296" s="3">
        <v>947400</v>
      </c>
      <c r="M1296" s="3">
        <v>786800</v>
      </c>
      <c r="N1296" s="3">
        <v>145900</v>
      </c>
    </row>
    <row r="1297" spans="1:14" ht="14.4">
      <c r="A1297" s="3">
        <v>13369</v>
      </c>
      <c r="B1297" s="3">
        <v>13370</v>
      </c>
      <c r="C1297" s="3">
        <v>4087</v>
      </c>
      <c r="D1297" s="3" t="s">
        <v>836</v>
      </c>
      <c r="E1297" s="3" t="s">
        <v>853</v>
      </c>
      <c r="F1297" s="3">
        <v>6855</v>
      </c>
      <c r="G1297" s="3" t="s">
        <v>143</v>
      </c>
      <c r="H1297" s="3" t="s">
        <v>144</v>
      </c>
      <c r="I1297" s="3">
        <v>65649</v>
      </c>
      <c r="J1297" s="3">
        <v>21706</v>
      </c>
      <c r="K1297" s="3">
        <v>43943</v>
      </c>
      <c r="L1297" s="3">
        <v>60700</v>
      </c>
      <c r="M1297" s="3">
        <v>21800</v>
      </c>
      <c r="N1297" s="3">
        <v>38900</v>
      </c>
    </row>
    <row r="1298" spans="1:14" ht="14.4">
      <c r="A1298" s="3">
        <v>13369</v>
      </c>
      <c r="B1298" s="3">
        <v>13370</v>
      </c>
      <c r="C1298" s="3">
        <v>4087</v>
      </c>
      <c r="D1298" s="3" t="s">
        <v>836</v>
      </c>
      <c r="E1298" s="3" t="s">
        <v>854</v>
      </c>
      <c r="F1298" s="3">
        <v>6360</v>
      </c>
      <c r="G1298" s="3" t="s">
        <v>847</v>
      </c>
      <c r="H1298" s="3" t="s">
        <v>144</v>
      </c>
      <c r="I1298" s="3">
        <v>116525</v>
      </c>
      <c r="J1298" s="3">
        <v>116525</v>
      </c>
      <c r="K1298" s="3">
        <v>0</v>
      </c>
      <c r="L1298" s="3">
        <v>0</v>
      </c>
      <c r="M1298" s="3">
        <v>0</v>
      </c>
      <c r="N1298" s="3">
        <v>0</v>
      </c>
    </row>
    <row r="1299" spans="1:14" ht="14.4">
      <c r="A1299" s="3">
        <v>13369</v>
      </c>
      <c r="B1299" s="3">
        <v>13370</v>
      </c>
      <c r="C1299" s="3">
        <v>4087</v>
      </c>
      <c r="D1299" s="3" t="s">
        <v>836</v>
      </c>
      <c r="E1299" s="3" t="s">
        <v>855</v>
      </c>
      <c r="F1299" s="3">
        <v>6824</v>
      </c>
      <c r="G1299" s="3" t="s">
        <v>143</v>
      </c>
      <c r="H1299" s="3" t="s">
        <v>144</v>
      </c>
      <c r="I1299" s="3">
        <v>320726</v>
      </c>
      <c r="J1299" s="3">
        <v>314176</v>
      </c>
      <c r="K1299" s="3">
        <v>6550</v>
      </c>
      <c r="L1299" s="3">
        <v>297500</v>
      </c>
      <c r="M1299" s="3">
        <v>278100</v>
      </c>
      <c r="N1299" s="3">
        <v>6600</v>
      </c>
    </row>
    <row r="1300" spans="1:14" ht="14.4">
      <c r="A1300" s="3">
        <v>13369</v>
      </c>
      <c r="B1300" s="3">
        <v>13370</v>
      </c>
      <c r="C1300" s="3">
        <v>4087</v>
      </c>
      <c r="D1300" s="3" t="s">
        <v>836</v>
      </c>
      <c r="E1300" s="3" t="s">
        <v>855</v>
      </c>
      <c r="F1300" s="3">
        <v>6870</v>
      </c>
      <c r="G1300" s="3" t="s">
        <v>143</v>
      </c>
      <c r="H1300" s="3" t="s">
        <v>144</v>
      </c>
      <c r="I1300" s="3">
        <v>463728</v>
      </c>
      <c r="J1300" s="3">
        <v>411653</v>
      </c>
      <c r="K1300" s="3">
        <v>52075</v>
      </c>
      <c r="L1300" s="3">
        <v>332700</v>
      </c>
      <c r="M1300" s="3">
        <v>224300</v>
      </c>
      <c r="N1300" s="3">
        <v>17300</v>
      </c>
    </row>
    <row r="1301" spans="1:14" ht="14.4">
      <c r="A1301" s="3">
        <v>13369</v>
      </c>
      <c r="B1301" s="3">
        <v>13370</v>
      </c>
      <c r="C1301" s="3">
        <v>4087</v>
      </c>
      <c r="D1301" s="3" t="s">
        <v>836</v>
      </c>
      <c r="E1301" s="3" t="s">
        <v>856</v>
      </c>
      <c r="F1301" s="3">
        <v>6371</v>
      </c>
      <c r="G1301" s="3" t="s">
        <v>847</v>
      </c>
      <c r="H1301" s="3" t="s">
        <v>144</v>
      </c>
      <c r="I1301" s="3">
        <v>100739</v>
      </c>
      <c r="J1301" s="3">
        <v>88554</v>
      </c>
      <c r="K1301" s="3">
        <v>12185</v>
      </c>
      <c r="L1301" s="3">
        <v>0</v>
      </c>
      <c r="M1301" s="3">
        <v>0</v>
      </c>
      <c r="N1301" s="3">
        <v>0</v>
      </c>
    </row>
    <row r="1302" spans="1:14" ht="14.4">
      <c r="A1302" s="3">
        <v>13369</v>
      </c>
      <c r="B1302" s="3">
        <v>13370</v>
      </c>
      <c r="C1302" s="3">
        <v>4087</v>
      </c>
      <c r="D1302" s="3" t="s">
        <v>836</v>
      </c>
      <c r="E1302" s="3" t="s">
        <v>857</v>
      </c>
      <c r="F1302" s="3">
        <v>6475</v>
      </c>
      <c r="G1302" s="3" t="s">
        <v>406</v>
      </c>
      <c r="H1302" s="3" t="s">
        <v>144</v>
      </c>
      <c r="I1302" s="3">
        <v>2241425</v>
      </c>
      <c r="J1302" s="3">
        <v>2241425</v>
      </c>
      <c r="K1302" s="3">
        <v>0</v>
      </c>
      <c r="L1302" s="3">
        <v>9800</v>
      </c>
      <c r="M1302" s="3">
        <v>9800</v>
      </c>
      <c r="N1302" s="3">
        <v>0</v>
      </c>
    </row>
    <row r="1303" spans="1:14" ht="14.4">
      <c r="A1303" s="3">
        <v>13369</v>
      </c>
      <c r="B1303" s="3">
        <v>13370</v>
      </c>
      <c r="C1303" s="3">
        <v>4087</v>
      </c>
      <c r="D1303" s="3" t="s">
        <v>836</v>
      </c>
      <c r="E1303" s="3" t="s">
        <v>287</v>
      </c>
      <c r="F1303" s="3">
        <v>10573</v>
      </c>
      <c r="G1303" s="3" t="s">
        <v>64</v>
      </c>
      <c r="H1303" s="3" t="s">
        <v>21</v>
      </c>
      <c r="I1303" s="3">
        <v>0</v>
      </c>
      <c r="J1303" s="3">
        <v>0</v>
      </c>
      <c r="K1303" s="3">
        <v>0</v>
      </c>
      <c r="L1303" s="3">
        <v>5000</v>
      </c>
      <c r="M1303" s="3">
        <v>0</v>
      </c>
      <c r="N1303" s="3">
        <v>0</v>
      </c>
    </row>
    <row r="1304" spans="1:14" ht="14.4">
      <c r="A1304" s="3">
        <v>13369</v>
      </c>
      <c r="B1304" s="3">
        <v>13370</v>
      </c>
      <c r="C1304" s="3">
        <v>4087</v>
      </c>
      <c r="D1304" s="3" t="s">
        <v>836</v>
      </c>
      <c r="E1304" s="3" t="s">
        <v>858</v>
      </c>
      <c r="F1304" s="3">
        <v>6375</v>
      </c>
      <c r="G1304" s="3" t="s">
        <v>847</v>
      </c>
      <c r="H1304" s="3" t="s">
        <v>144</v>
      </c>
      <c r="I1304" s="3">
        <v>75142</v>
      </c>
      <c r="J1304" s="3">
        <v>71942</v>
      </c>
      <c r="K1304" s="3">
        <v>3200</v>
      </c>
      <c r="L1304" s="3">
        <v>17200</v>
      </c>
      <c r="M1304" s="3">
        <v>14000</v>
      </c>
      <c r="N1304" s="3">
        <v>3200</v>
      </c>
    </row>
    <row r="1305" spans="1:14" ht="14.4">
      <c r="A1305" s="3">
        <v>13369</v>
      </c>
      <c r="B1305" s="3">
        <v>13370</v>
      </c>
      <c r="C1305" s="3">
        <v>4087</v>
      </c>
      <c r="D1305" s="3" t="s">
        <v>836</v>
      </c>
      <c r="E1305" s="3" t="s">
        <v>859</v>
      </c>
      <c r="F1305" s="3">
        <v>6853</v>
      </c>
      <c r="G1305" s="3" t="s">
        <v>143</v>
      </c>
      <c r="H1305" s="3" t="s">
        <v>144</v>
      </c>
      <c r="I1305" s="3">
        <v>2935959</v>
      </c>
      <c r="J1305" s="3">
        <v>2732065</v>
      </c>
      <c r="K1305" s="3">
        <v>203894</v>
      </c>
      <c r="L1305" s="3">
        <v>1651400</v>
      </c>
      <c r="M1305" s="3">
        <v>1651400</v>
      </c>
      <c r="N1305" s="3">
        <v>0</v>
      </c>
    </row>
    <row r="1306" spans="1:14" ht="14.4">
      <c r="A1306" s="3">
        <v>13369</v>
      </c>
      <c r="B1306" s="3">
        <v>13370</v>
      </c>
      <c r="C1306" s="3">
        <v>4087</v>
      </c>
      <c r="D1306" s="3" t="s">
        <v>836</v>
      </c>
      <c r="E1306" s="3" t="s">
        <v>860</v>
      </c>
      <c r="F1306" s="3">
        <v>6484</v>
      </c>
      <c r="G1306" s="3" t="s">
        <v>143</v>
      </c>
      <c r="H1306" s="3" t="s">
        <v>144</v>
      </c>
      <c r="I1306" s="3">
        <v>62495</v>
      </c>
      <c r="J1306" s="3">
        <v>13780</v>
      </c>
      <c r="K1306" s="3">
        <v>48715</v>
      </c>
      <c r="L1306" s="3">
        <v>11000</v>
      </c>
      <c r="M1306" s="3">
        <v>0</v>
      </c>
      <c r="N1306" s="3">
        <v>11000</v>
      </c>
    </row>
    <row r="1307" spans="1:14" ht="14.4">
      <c r="A1307" s="3">
        <v>13369</v>
      </c>
      <c r="B1307" s="3">
        <v>13370</v>
      </c>
      <c r="C1307" s="3">
        <v>4087</v>
      </c>
      <c r="D1307" s="3" t="s">
        <v>836</v>
      </c>
      <c r="E1307" s="3" t="s">
        <v>861</v>
      </c>
      <c r="F1307" s="3">
        <v>6854</v>
      </c>
      <c r="G1307" s="3" t="s">
        <v>143</v>
      </c>
      <c r="H1307" s="3" t="s">
        <v>144</v>
      </c>
      <c r="I1307" s="3">
        <v>481229</v>
      </c>
      <c r="J1307" s="3">
        <v>140377</v>
      </c>
      <c r="K1307" s="3">
        <v>340852</v>
      </c>
      <c r="L1307" s="3">
        <v>369900</v>
      </c>
      <c r="M1307" s="3">
        <v>1000</v>
      </c>
      <c r="N1307" s="3">
        <v>340900</v>
      </c>
    </row>
    <row r="1308" spans="1:14" ht="14.4">
      <c r="A1308" s="3">
        <v>13369</v>
      </c>
      <c r="B1308" s="3">
        <v>13370</v>
      </c>
      <c r="C1308" s="3">
        <v>4087</v>
      </c>
      <c r="D1308" s="3" t="s">
        <v>836</v>
      </c>
      <c r="E1308" s="3" t="s">
        <v>776</v>
      </c>
      <c r="F1308" s="3">
        <v>8882</v>
      </c>
      <c r="G1308" s="3" t="s">
        <v>406</v>
      </c>
      <c r="H1308" s="3" t="s">
        <v>38</v>
      </c>
      <c r="I1308" s="3">
        <v>22758</v>
      </c>
      <c r="J1308" s="3">
        <v>6713</v>
      </c>
      <c r="K1308" s="3">
        <v>16045</v>
      </c>
      <c r="L1308" s="3">
        <v>0</v>
      </c>
      <c r="M1308" s="3">
        <v>0</v>
      </c>
      <c r="N1308" s="3">
        <v>0</v>
      </c>
    </row>
    <row r="1309" spans="1:14" ht="14.4">
      <c r="A1309" s="3">
        <v>13369</v>
      </c>
      <c r="B1309" s="3">
        <v>13370</v>
      </c>
      <c r="C1309" s="3">
        <v>4087</v>
      </c>
      <c r="D1309" s="3" t="s">
        <v>836</v>
      </c>
      <c r="E1309" s="3" t="s">
        <v>862</v>
      </c>
      <c r="F1309" s="3">
        <v>6890</v>
      </c>
      <c r="G1309" s="3" t="s">
        <v>143</v>
      </c>
      <c r="H1309" s="3" t="s">
        <v>144</v>
      </c>
      <c r="I1309" s="3">
        <v>235424</v>
      </c>
      <c r="J1309" s="3">
        <v>221877</v>
      </c>
      <c r="K1309" s="3">
        <v>13547</v>
      </c>
      <c r="L1309" s="3">
        <v>0</v>
      </c>
      <c r="M1309" s="3">
        <v>0</v>
      </c>
      <c r="N1309" s="3">
        <v>0</v>
      </c>
    </row>
    <row r="1310" spans="1:14" ht="14.4">
      <c r="A1310" s="3">
        <v>13369</v>
      </c>
      <c r="B1310" s="3">
        <v>13370</v>
      </c>
      <c r="C1310" s="3">
        <v>4087</v>
      </c>
      <c r="D1310" s="3" t="s">
        <v>836</v>
      </c>
      <c r="E1310" s="3" t="s">
        <v>863</v>
      </c>
      <c r="F1310" s="3">
        <v>6902</v>
      </c>
      <c r="G1310" s="3" t="s">
        <v>143</v>
      </c>
      <c r="H1310" s="3" t="s">
        <v>144</v>
      </c>
      <c r="I1310" s="3">
        <v>221097</v>
      </c>
      <c r="J1310" s="3">
        <v>202287</v>
      </c>
      <c r="K1310" s="3">
        <v>18810</v>
      </c>
      <c r="L1310" s="3">
        <v>74300</v>
      </c>
      <c r="M1310" s="3">
        <v>68300</v>
      </c>
      <c r="N1310" s="3">
        <v>6000</v>
      </c>
    </row>
    <row r="1311" spans="1:14" ht="14.4">
      <c r="A1311" s="3">
        <v>13369</v>
      </c>
      <c r="B1311" s="3">
        <v>13370</v>
      </c>
      <c r="C1311" s="3">
        <v>4087</v>
      </c>
      <c r="D1311" s="3" t="s">
        <v>836</v>
      </c>
      <c r="E1311" s="3" t="s">
        <v>863</v>
      </c>
      <c r="F1311" s="3">
        <v>6903</v>
      </c>
      <c r="G1311" s="3" t="s">
        <v>143</v>
      </c>
      <c r="H1311" s="3" t="s">
        <v>144</v>
      </c>
      <c r="I1311" s="3">
        <v>20617</v>
      </c>
      <c r="J1311" s="3">
        <v>20617</v>
      </c>
      <c r="K1311" s="3">
        <v>0</v>
      </c>
      <c r="L1311" s="3">
        <v>0</v>
      </c>
      <c r="M1311" s="3">
        <v>0</v>
      </c>
      <c r="N1311" s="3">
        <v>0</v>
      </c>
    </row>
    <row r="1312" spans="1:14" ht="14.4">
      <c r="A1312" s="3">
        <v>13369</v>
      </c>
      <c r="B1312" s="3">
        <v>13370</v>
      </c>
      <c r="C1312" s="3">
        <v>4087</v>
      </c>
      <c r="D1312" s="3" t="s">
        <v>836</v>
      </c>
      <c r="E1312" s="3" t="s">
        <v>863</v>
      </c>
      <c r="F1312" s="3">
        <v>6906</v>
      </c>
      <c r="G1312" s="3" t="s">
        <v>143</v>
      </c>
      <c r="H1312" s="3" t="s">
        <v>144</v>
      </c>
      <c r="I1312" s="3">
        <v>121538</v>
      </c>
      <c r="J1312" s="3">
        <v>118338</v>
      </c>
      <c r="K1312" s="3">
        <v>3200</v>
      </c>
      <c r="L1312" s="3">
        <v>0</v>
      </c>
      <c r="M1312" s="3">
        <v>0</v>
      </c>
      <c r="N1312" s="3">
        <v>0</v>
      </c>
    </row>
    <row r="1313" spans="1:14" ht="14.4">
      <c r="A1313" s="3">
        <v>13369</v>
      </c>
      <c r="B1313" s="3">
        <v>13370</v>
      </c>
      <c r="C1313" s="3">
        <v>4087</v>
      </c>
      <c r="D1313" s="3" t="s">
        <v>836</v>
      </c>
      <c r="E1313" s="3" t="s">
        <v>864</v>
      </c>
      <c r="F1313" s="3">
        <v>6614</v>
      </c>
      <c r="G1313" s="3" t="s">
        <v>143</v>
      </c>
      <c r="H1313" s="3" t="s">
        <v>144</v>
      </c>
      <c r="I1313" s="3">
        <v>10027</v>
      </c>
      <c r="J1313" s="3">
        <v>10027</v>
      </c>
      <c r="K1313" s="3">
        <v>0</v>
      </c>
      <c r="L1313" s="3">
        <v>14500</v>
      </c>
      <c r="M1313" s="3">
        <v>10100</v>
      </c>
      <c r="N1313" s="3">
        <v>0</v>
      </c>
    </row>
    <row r="1314" spans="1:14" ht="14.4">
      <c r="A1314" s="3">
        <v>13369</v>
      </c>
      <c r="B1314" s="3">
        <v>13370</v>
      </c>
      <c r="C1314" s="3">
        <v>4087</v>
      </c>
      <c r="D1314" s="3" t="s">
        <v>836</v>
      </c>
      <c r="E1314" s="3" t="s">
        <v>864</v>
      </c>
      <c r="F1314" s="3">
        <v>6615</v>
      </c>
      <c r="G1314" s="3" t="s">
        <v>143</v>
      </c>
      <c r="H1314" s="3" t="s">
        <v>144</v>
      </c>
      <c r="I1314" s="3">
        <v>745056</v>
      </c>
      <c r="J1314" s="3">
        <v>642581</v>
      </c>
      <c r="K1314" s="3">
        <v>102475</v>
      </c>
      <c r="L1314" s="3">
        <v>271000</v>
      </c>
      <c r="M1314" s="3">
        <v>143800</v>
      </c>
      <c r="N1314" s="3">
        <v>15600</v>
      </c>
    </row>
    <row r="1315" spans="1:14" ht="14.4">
      <c r="A1315" s="3">
        <v>13369</v>
      </c>
      <c r="B1315" s="3">
        <v>13370</v>
      </c>
      <c r="C1315" s="3">
        <v>4087</v>
      </c>
      <c r="D1315" s="3" t="s">
        <v>836</v>
      </c>
      <c r="E1315" s="3" t="s">
        <v>864</v>
      </c>
      <c r="F1315" s="3">
        <v>6614</v>
      </c>
      <c r="G1315" s="3" t="s">
        <v>838</v>
      </c>
      <c r="H1315" s="3" t="s">
        <v>144</v>
      </c>
      <c r="I1315" s="3">
        <v>72474</v>
      </c>
      <c r="J1315" s="3">
        <v>72474</v>
      </c>
      <c r="K1315" s="3">
        <v>0</v>
      </c>
      <c r="L1315" s="3">
        <v>76500</v>
      </c>
      <c r="M1315" s="3">
        <v>72500</v>
      </c>
      <c r="N1315" s="3">
        <v>0</v>
      </c>
    </row>
    <row r="1316" spans="1:14" ht="14.4">
      <c r="A1316" s="3">
        <v>13369</v>
      </c>
      <c r="B1316" s="3">
        <v>13370</v>
      </c>
      <c r="C1316" s="3">
        <v>4087</v>
      </c>
      <c r="D1316" s="3" t="s">
        <v>836</v>
      </c>
      <c r="E1316" s="3" t="s">
        <v>865</v>
      </c>
      <c r="F1316" s="3">
        <v>6705</v>
      </c>
      <c r="G1316" s="3" t="s">
        <v>838</v>
      </c>
      <c r="H1316" s="3" t="s">
        <v>144</v>
      </c>
      <c r="I1316" s="3">
        <v>16535</v>
      </c>
      <c r="J1316" s="3">
        <v>16535</v>
      </c>
      <c r="K1316" s="3">
        <v>0</v>
      </c>
      <c r="L1316" s="3">
        <v>0</v>
      </c>
      <c r="M1316" s="3">
        <v>0</v>
      </c>
      <c r="N1316" s="3">
        <v>0</v>
      </c>
    </row>
    <row r="1317" spans="1:14" ht="14.4">
      <c r="A1317" s="3">
        <v>13369</v>
      </c>
      <c r="B1317" s="3">
        <v>13370</v>
      </c>
      <c r="C1317" s="3">
        <v>4087</v>
      </c>
      <c r="D1317" s="3" t="s">
        <v>836</v>
      </c>
      <c r="E1317" s="3" t="s">
        <v>865</v>
      </c>
      <c r="F1317" s="3">
        <v>6710</v>
      </c>
      <c r="G1317" s="3" t="s">
        <v>838</v>
      </c>
      <c r="H1317" s="3" t="s">
        <v>144</v>
      </c>
      <c r="I1317" s="3">
        <v>59312</v>
      </c>
      <c r="J1317" s="3">
        <v>59312</v>
      </c>
      <c r="K1317" s="3">
        <v>0</v>
      </c>
      <c r="L1317" s="3">
        <v>0</v>
      </c>
      <c r="M1317" s="3">
        <v>0</v>
      </c>
      <c r="N1317" s="3">
        <v>0</v>
      </c>
    </row>
    <row r="1318" spans="1:14" ht="14.4">
      <c r="A1318" s="3">
        <v>13369</v>
      </c>
      <c r="B1318" s="3">
        <v>13370</v>
      </c>
      <c r="C1318" s="3">
        <v>4087</v>
      </c>
      <c r="D1318" s="3" t="s">
        <v>836</v>
      </c>
      <c r="E1318" s="3" t="s">
        <v>866</v>
      </c>
      <c r="F1318" s="3">
        <v>6516</v>
      </c>
      <c r="G1318" s="3" t="s">
        <v>838</v>
      </c>
      <c r="H1318" s="3" t="s">
        <v>144</v>
      </c>
      <c r="I1318" s="3">
        <v>1181920</v>
      </c>
      <c r="J1318" s="3">
        <v>1165070</v>
      </c>
      <c r="K1318" s="3">
        <v>16850</v>
      </c>
      <c r="L1318" s="3">
        <v>1144900</v>
      </c>
      <c r="M1318" s="3">
        <v>1129300</v>
      </c>
      <c r="N1318" s="3">
        <v>15600</v>
      </c>
    </row>
    <row r="1319" spans="1:14" ht="14.4">
      <c r="A1319" s="3">
        <v>13369</v>
      </c>
      <c r="B1319" s="3">
        <v>13370</v>
      </c>
      <c r="C1319" s="3">
        <v>4087</v>
      </c>
      <c r="D1319" s="3" t="s">
        <v>836</v>
      </c>
      <c r="E1319" s="3" t="s">
        <v>867</v>
      </c>
      <c r="F1319" s="3">
        <v>6388</v>
      </c>
      <c r="G1319" s="3" t="s">
        <v>847</v>
      </c>
      <c r="H1319" s="3" t="s">
        <v>144</v>
      </c>
      <c r="I1319" s="3">
        <v>72199</v>
      </c>
      <c r="J1319" s="3">
        <v>69436</v>
      </c>
      <c r="K1319" s="3">
        <v>2763</v>
      </c>
      <c r="L1319" s="3">
        <v>78000</v>
      </c>
      <c r="M1319" s="3">
        <v>69500</v>
      </c>
      <c r="N1319" s="3">
        <v>2700</v>
      </c>
    </row>
    <row r="1320" spans="1:14" ht="14.4">
      <c r="A1320" s="3">
        <v>13369</v>
      </c>
      <c r="B1320" s="3">
        <v>13370</v>
      </c>
      <c r="C1320" s="3">
        <v>4087</v>
      </c>
      <c r="D1320" s="3" t="s">
        <v>836</v>
      </c>
      <c r="E1320" s="3" t="s">
        <v>868</v>
      </c>
      <c r="F1320" s="3">
        <v>6498</v>
      </c>
      <c r="G1320" s="3" t="s">
        <v>406</v>
      </c>
      <c r="H1320" s="3" t="s">
        <v>144</v>
      </c>
      <c r="I1320" s="3">
        <v>338916</v>
      </c>
      <c r="J1320" s="3">
        <v>297130</v>
      </c>
      <c r="K1320" s="3">
        <v>41786</v>
      </c>
      <c r="L1320" s="3">
        <v>170800</v>
      </c>
      <c r="M1320" s="3">
        <v>135800</v>
      </c>
      <c r="N1320" s="3">
        <v>32800</v>
      </c>
    </row>
    <row r="1321" spans="1:14" ht="14.4">
      <c r="A1321" s="3">
        <v>13369</v>
      </c>
      <c r="B1321" s="3">
        <v>13370</v>
      </c>
      <c r="C1321" s="3">
        <v>4087</v>
      </c>
      <c r="D1321" s="3" t="s">
        <v>836</v>
      </c>
      <c r="E1321" s="3" t="s">
        <v>869</v>
      </c>
      <c r="F1321" s="3">
        <v>6880</v>
      </c>
      <c r="G1321" s="3" t="s">
        <v>143</v>
      </c>
      <c r="H1321" s="3" t="s">
        <v>144</v>
      </c>
      <c r="I1321" s="3">
        <v>1662008</v>
      </c>
      <c r="J1321" s="3">
        <v>1540708</v>
      </c>
      <c r="K1321" s="3">
        <v>121300</v>
      </c>
      <c r="L1321" s="3">
        <v>191700</v>
      </c>
      <c r="M1321" s="3">
        <v>129900</v>
      </c>
      <c r="N1321" s="3">
        <v>0</v>
      </c>
    </row>
    <row r="1322" spans="1:14" ht="14.4">
      <c r="A1322" s="3">
        <v>13369</v>
      </c>
      <c r="B1322" s="3">
        <v>13370</v>
      </c>
      <c r="C1322" s="3">
        <v>4087</v>
      </c>
      <c r="D1322" s="3" t="s">
        <v>836</v>
      </c>
      <c r="E1322" s="3" t="s">
        <v>870</v>
      </c>
      <c r="F1322" s="3">
        <v>6897</v>
      </c>
      <c r="G1322" s="3" t="s">
        <v>143</v>
      </c>
      <c r="H1322" s="3" t="s">
        <v>144</v>
      </c>
      <c r="I1322" s="3">
        <v>156366</v>
      </c>
      <c r="J1322" s="3">
        <v>156366</v>
      </c>
      <c r="K1322" s="3">
        <v>0</v>
      </c>
      <c r="L1322" s="3">
        <v>0</v>
      </c>
      <c r="M1322" s="3">
        <v>0</v>
      </c>
      <c r="N1322" s="3">
        <v>0</v>
      </c>
    </row>
    <row r="1323" spans="1:14" ht="14.4">
      <c r="A1323" s="3">
        <v>13387</v>
      </c>
      <c r="B1323" s="3">
        <v>13388</v>
      </c>
      <c r="C1323" s="3">
        <v>4089</v>
      </c>
      <c r="D1323" s="3" t="s">
        <v>871</v>
      </c>
      <c r="E1323" s="3" t="s">
        <v>872</v>
      </c>
      <c r="F1323" s="3">
        <v>2813</v>
      </c>
      <c r="G1323" s="3" t="s">
        <v>817</v>
      </c>
      <c r="H1323" s="3" t="s">
        <v>873</v>
      </c>
      <c r="I1323" s="3">
        <v>99767</v>
      </c>
      <c r="J1323" s="3">
        <v>99767</v>
      </c>
      <c r="K1323" s="3">
        <v>0</v>
      </c>
      <c r="L1323" s="3">
        <v>0</v>
      </c>
      <c r="M1323" s="3">
        <v>0</v>
      </c>
      <c r="N1323" s="3">
        <v>0</v>
      </c>
    </row>
    <row r="1324" spans="1:14" ht="14.4">
      <c r="A1324" s="3">
        <v>13387</v>
      </c>
      <c r="B1324" s="3">
        <v>13388</v>
      </c>
      <c r="C1324" s="3">
        <v>4089</v>
      </c>
      <c r="D1324" s="3" t="s">
        <v>871</v>
      </c>
      <c r="E1324" s="3" t="s">
        <v>874</v>
      </c>
      <c r="F1324" s="3">
        <v>2882</v>
      </c>
      <c r="G1324" s="3" t="s">
        <v>655</v>
      </c>
      <c r="H1324" s="3" t="s">
        <v>873</v>
      </c>
      <c r="I1324" s="3">
        <v>80425</v>
      </c>
      <c r="J1324" s="3">
        <v>42947</v>
      </c>
      <c r="K1324" s="3">
        <v>37478</v>
      </c>
      <c r="L1324" s="3">
        <v>105600</v>
      </c>
      <c r="M1324" s="3">
        <v>33000</v>
      </c>
      <c r="N1324" s="3">
        <v>24500</v>
      </c>
    </row>
    <row r="1325" spans="1:14" ht="14.4">
      <c r="A1325" s="3">
        <v>13387</v>
      </c>
      <c r="B1325" s="3">
        <v>13388</v>
      </c>
      <c r="C1325" s="3">
        <v>4089</v>
      </c>
      <c r="D1325" s="3" t="s">
        <v>871</v>
      </c>
      <c r="E1325" s="3" t="s">
        <v>874</v>
      </c>
      <c r="F1325" s="3">
        <v>2882</v>
      </c>
      <c r="G1325" s="3" t="s">
        <v>817</v>
      </c>
      <c r="H1325" s="3" t="s">
        <v>873</v>
      </c>
      <c r="I1325" s="3">
        <v>1263026</v>
      </c>
      <c r="J1325" s="3">
        <v>847164</v>
      </c>
      <c r="K1325" s="3">
        <v>415862</v>
      </c>
      <c r="L1325" s="3">
        <v>1072700</v>
      </c>
      <c r="M1325" s="3">
        <v>190300</v>
      </c>
      <c r="N1325" s="3">
        <v>287000</v>
      </c>
    </row>
    <row r="1326" spans="1:14" ht="14.4">
      <c r="A1326" s="3">
        <v>13387</v>
      </c>
      <c r="B1326" s="3">
        <v>13388</v>
      </c>
      <c r="C1326" s="3">
        <v>4089</v>
      </c>
      <c r="D1326" s="3" t="s">
        <v>871</v>
      </c>
      <c r="E1326" s="3" t="s">
        <v>655</v>
      </c>
      <c r="F1326" s="3">
        <v>2840</v>
      </c>
      <c r="G1326" s="3" t="s">
        <v>655</v>
      </c>
      <c r="H1326" s="3" t="s">
        <v>873</v>
      </c>
      <c r="I1326" s="3">
        <v>159073</v>
      </c>
      <c r="J1326" s="3">
        <v>159073</v>
      </c>
      <c r="K1326" s="3">
        <v>0</v>
      </c>
      <c r="L1326" s="3">
        <v>10000</v>
      </c>
      <c r="M1326" s="3">
        <v>10000</v>
      </c>
      <c r="N1326" s="3">
        <v>0</v>
      </c>
    </row>
    <row r="1327" spans="1:14" ht="14.4">
      <c r="A1327" s="3">
        <v>13387</v>
      </c>
      <c r="B1327" s="3">
        <v>13388</v>
      </c>
      <c r="C1327" s="3">
        <v>4089</v>
      </c>
      <c r="D1327" s="3" t="s">
        <v>871</v>
      </c>
      <c r="E1327" s="3" t="s">
        <v>875</v>
      </c>
      <c r="F1327" s="3">
        <v>2879</v>
      </c>
      <c r="G1327" s="3" t="s">
        <v>817</v>
      </c>
      <c r="H1327" s="3" t="s">
        <v>873</v>
      </c>
      <c r="I1327" s="3">
        <v>158291</v>
      </c>
      <c r="J1327" s="3">
        <v>142435</v>
      </c>
      <c r="K1327" s="3">
        <v>15856</v>
      </c>
      <c r="L1327" s="3">
        <v>0</v>
      </c>
      <c r="M1327" s="3">
        <v>0</v>
      </c>
      <c r="N1327" s="3">
        <v>0</v>
      </c>
    </row>
    <row r="1328" spans="1:14" ht="14.4">
      <c r="A1328" s="3">
        <v>13387</v>
      </c>
      <c r="B1328" s="3">
        <v>13388</v>
      </c>
      <c r="C1328" s="3">
        <v>4089</v>
      </c>
      <c r="D1328" s="3" t="s">
        <v>871</v>
      </c>
      <c r="E1328" s="3" t="s">
        <v>876</v>
      </c>
      <c r="F1328" s="3">
        <v>2879</v>
      </c>
      <c r="G1328" s="3" t="s">
        <v>817</v>
      </c>
      <c r="H1328" s="3" t="s">
        <v>873</v>
      </c>
      <c r="I1328" s="3">
        <v>152670</v>
      </c>
      <c r="J1328" s="3">
        <v>146380</v>
      </c>
      <c r="K1328" s="3">
        <v>6290</v>
      </c>
      <c r="L1328" s="3">
        <v>45000</v>
      </c>
      <c r="M1328" s="3">
        <v>45000</v>
      </c>
      <c r="N1328" s="3">
        <v>0</v>
      </c>
    </row>
    <row r="1329" spans="1:14" ht="14.4">
      <c r="A1329" s="3">
        <v>13387</v>
      </c>
      <c r="B1329" s="3">
        <v>13388</v>
      </c>
      <c r="C1329" s="3">
        <v>4089</v>
      </c>
      <c r="D1329" s="3" t="s">
        <v>871</v>
      </c>
      <c r="E1329" s="3" t="s">
        <v>877</v>
      </c>
      <c r="F1329" s="3">
        <v>2891</v>
      </c>
      <c r="G1329" s="3" t="s">
        <v>817</v>
      </c>
      <c r="H1329" s="3" t="s">
        <v>873</v>
      </c>
      <c r="I1329" s="3">
        <v>1681619</v>
      </c>
      <c r="J1329" s="3">
        <v>1543205</v>
      </c>
      <c r="K1329" s="3">
        <v>138414</v>
      </c>
      <c r="L1329" s="3">
        <v>177900</v>
      </c>
      <c r="M1329" s="3">
        <v>88900</v>
      </c>
      <c r="N1329" s="3">
        <v>56500</v>
      </c>
    </row>
    <row r="1330" spans="1:14" ht="14.4">
      <c r="A1330" s="3">
        <v>13425</v>
      </c>
      <c r="B1330" s="3">
        <v>13426</v>
      </c>
      <c r="C1330" s="3">
        <v>4091</v>
      </c>
      <c r="D1330" s="3" t="s">
        <v>878</v>
      </c>
      <c r="E1330" s="3" t="s">
        <v>879</v>
      </c>
      <c r="F1330" s="3">
        <v>21817</v>
      </c>
      <c r="G1330" s="3" t="s">
        <v>413</v>
      </c>
      <c r="H1330" s="3" t="s">
        <v>880</v>
      </c>
      <c r="I1330" s="3">
        <v>2978531</v>
      </c>
      <c r="J1330" s="3">
        <v>1845791</v>
      </c>
      <c r="K1330" s="3">
        <v>1132740</v>
      </c>
      <c r="L1330" s="3">
        <v>542700</v>
      </c>
      <c r="M1330" s="3">
        <v>306700</v>
      </c>
      <c r="N1330" s="3">
        <v>192700</v>
      </c>
    </row>
    <row r="1331" spans="1:14" ht="14.4">
      <c r="A1331" s="3">
        <v>13425</v>
      </c>
      <c r="B1331" s="3">
        <v>13426</v>
      </c>
      <c r="C1331" s="3">
        <v>4091</v>
      </c>
      <c r="D1331" s="3" t="s">
        <v>878</v>
      </c>
      <c r="E1331" s="3" t="s">
        <v>879</v>
      </c>
      <c r="F1331" s="3">
        <v>91618</v>
      </c>
      <c r="G1331" s="3" t="s">
        <v>413</v>
      </c>
      <c r="H1331" s="3" t="s">
        <v>880</v>
      </c>
      <c r="I1331" s="3">
        <v>3500</v>
      </c>
      <c r="J1331" s="3">
        <v>0</v>
      </c>
      <c r="K1331" s="3">
        <v>3500</v>
      </c>
      <c r="L1331" s="3">
        <v>0</v>
      </c>
      <c r="M1331" s="3">
        <v>0</v>
      </c>
      <c r="N1331" s="3">
        <v>0</v>
      </c>
    </row>
    <row r="1332" spans="1:14" ht="14.4">
      <c r="A1332" s="3">
        <v>13425</v>
      </c>
      <c r="B1332" s="3">
        <v>13426</v>
      </c>
      <c r="C1332" s="3">
        <v>4091</v>
      </c>
      <c r="D1332" s="3" t="s">
        <v>878</v>
      </c>
      <c r="E1332" s="3" t="s">
        <v>881</v>
      </c>
      <c r="F1332" s="3">
        <v>21821</v>
      </c>
      <c r="G1332" s="3" t="s">
        <v>413</v>
      </c>
      <c r="H1332" s="3" t="s">
        <v>880</v>
      </c>
      <c r="I1332" s="3">
        <v>25664</v>
      </c>
      <c r="J1332" s="3">
        <v>25664</v>
      </c>
      <c r="K1332" s="3">
        <v>0</v>
      </c>
      <c r="L1332" s="3">
        <v>0</v>
      </c>
      <c r="M1332" s="3">
        <v>0</v>
      </c>
      <c r="N1332" s="3">
        <v>0</v>
      </c>
    </row>
    <row r="1333" spans="1:14" ht="14.4">
      <c r="A1333" s="3">
        <v>13425</v>
      </c>
      <c r="B1333" s="3">
        <v>13426</v>
      </c>
      <c r="C1333" s="3">
        <v>4091</v>
      </c>
      <c r="D1333" s="3" t="s">
        <v>878</v>
      </c>
      <c r="E1333" s="3" t="s">
        <v>882</v>
      </c>
      <c r="F1333" s="3">
        <v>21824</v>
      </c>
      <c r="G1333" s="3" t="s">
        <v>413</v>
      </c>
      <c r="H1333" s="3" t="s">
        <v>880</v>
      </c>
      <c r="I1333" s="3">
        <v>598285</v>
      </c>
      <c r="J1333" s="3">
        <v>462415</v>
      </c>
      <c r="K1333" s="3">
        <v>135870</v>
      </c>
      <c r="L1333" s="3">
        <v>90700</v>
      </c>
      <c r="M1333" s="3">
        <v>19100</v>
      </c>
      <c r="N1333" s="3">
        <v>39100</v>
      </c>
    </row>
    <row r="1334" spans="1:14" ht="14.4">
      <c r="A1334" s="3">
        <v>13425</v>
      </c>
      <c r="B1334" s="3">
        <v>13426</v>
      </c>
      <c r="C1334" s="3">
        <v>4091</v>
      </c>
      <c r="D1334" s="3" t="s">
        <v>878</v>
      </c>
      <c r="E1334" s="3" t="s">
        <v>883</v>
      </c>
      <c r="F1334" s="3">
        <v>21838</v>
      </c>
      <c r="G1334" s="3" t="s">
        <v>413</v>
      </c>
      <c r="H1334" s="3" t="s">
        <v>880</v>
      </c>
      <c r="I1334" s="3">
        <v>42983</v>
      </c>
      <c r="J1334" s="3">
        <v>27433</v>
      </c>
      <c r="K1334" s="3">
        <v>15550</v>
      </c>
      <c r="L1334" s="3">
        <v>0</v>
      </c>
      <c r="M1334" s="3">
        <v>0</v>
      </c>
      <c r="N1334" s="3">
        <v>0</v>
      </c>
    </row>
    <row r="1335" spans="1:14" ht="14.4">
      <c r="A1335" s="3">
        <v>13425</v>
      </c>
      <c r="B1335" s="3">
        <v>13426</v>
      </c>
      <c r="C1335" s="3">
        <v>4091</v>
      </c>
      <c r="D1335" s="3" t="s">
        <v>878</v>
      </c>
      <c r="E1335" s="3" t="s">
        <v>884</v>
      </c>
      <c r="F1335" s="3">
        <v>21851</v>
      </c>
      <c r="G1335" s="3" t="s">
        <v>413</v>
      </c>
      <c r="H1335" s="3" t="s">
        <v>880</v>
      </c>
      <c r="I1335" s="3">
        <v>130283</v>
      </c>
      <c r="J1335" s="3">
        <v>79118</v>
      </c>
      <c r="K1335" s="3">
        <v>51165</v>
      </c>
      <c r="L1335" s="3">
        <v>0</v>
      </c>
      <c r="M1335" s="3">
        <v>0</v>
      </c>
      <c r="N1335" s="3">
        <v>0</v>
      </c>
    </row>
    <row r="1336" spans="1:14" ht="14.4">
      <c r="A1336" s="3">
        <v>13425</v>
      </c>
      <c r="B1336" s="3">
        <v>13426</v>
      </c>
      <c r="C1336" s="3">
        <v>4091</v>
      </c>
      <c r="D1336" s="3" t="s">
        <v>878</v>
      </c>
      <c r="E1336" s="3" t="s">
        <v>885</v>
      </c>
      <c r="F1336" s="3">
        <v>21866</v>
      </c>
      <c r="G1336" s="3" t="s">
        <v>413</v>
      </c>
      <c r="H1336" s="3" t="s">
        <v>880</v>
      </c>
      <c r="I1336" s="3">
        <v>29318</v>
      </c>
      <c r="J1336" s="3">
        <v>28118</v>
      </c>
      <c r="K1336" s="3">
        <v>1200</v>
      </c>
      <c r="L1336" s="3">
        <v>29400</v>
      </c>
      <c r="M1336" s="3">
        <v>28200</v>
      </c>
      <c r="N1336" s="3">
        <v>1200</v>
      </c>
    </row>
    <row r="1337" spans="1:14" ht="14.4">
      <c r="A1337" s="3">
        <v>13425</v>
      </c>
      <c r="B1337" s="3">
        <v>13426</v>
      </c>
      <c r="C1337" s="3">
        <v>4091</v>
      </c>
      <c r="D1337" s="3" t="s">
        <v>878</v>
      </c>
      <c r="E1337" s="3" t="s">
        <v>886</v>
      </c>
      <c r="F1337" s="3">
        <v>21871</v>
      </c>
      <c r="G1337" s="3" t="s">
        <v>413</v>
      </c>
      <c r="H1337" s="3" t="s">
        <v>880</v>
      </c>
      <c r="I1337" s="3">
        <v>20707</v>
      </c>
      <c r="J1337" s="3">
        <v>20707</v>
      </c>
      <c r="K1337" s="3">
        <v>0</v>
      </c>
      <c r="L1337" s="3">
        <v>0</v>
      </c>
      <c r="M1337" s="3">
        <v>0</v>
      </c>
      <c r="N1337" s="3">
        <v>0</v>
      </c>
    </row>
    <row r="1338" spans="1:14" ht="14.4">
      <c r="A1338" s="3">
        <v>13425</v>
      </c>
      <c r="B1338" s="3">
        <v>13426</v>
      </c>
      <c r="C1338" s="3">
        <v>4091</v>
      </c>
      <c r="D1338" s="3" t="s">
        <v>878</v>
      </c>
      <c r="E1338" s="3" t="s">
        <v>887</v>
      </c>
      <c r="F1338" s="3">
        <v>21871</v>
      </c>
      <c r="G1338" s="3" t="s">
        <v>413</v>
      </c>
      <c r="H1338" s="3" t="s">
        <v>880</v>
      </c>
      <c r="I1338" s="3">
        <v>296446</v>
      </c>
      <c r="J1338" s="3">
        <v>179928</v>
      </c>
      <c r="K1338" s="3">
        <v>116518</v>
      </c>
      <c r="L1338" s="3">
        <v>174000</v>
      </c>
      <c r="M1338" s="3">
        <v>89600</v>
      </c>
      <c r="N1338" s="3">
        <v>84400</v>
      </c>
    </row>
    <row r="1339" spans="1:14" ht="14.4">
      <c r="A1339" s="3">
        <v>13492</v>
      </c>
      <c r="B1339" s="3">
        <v>13493</v>
      </c>
      <c r="C1339" s="3">
        <v>4101</v>
      </c>
      <c r="D1339" s="3" t="s">
        <v>888</v>
      </c>
      <c r="E1339" s="3" t="s">
        <v>889</v>
      </c>
      <c r="F1339" s="3">
        <v>39401</v>
      </c>
      <c r="G1339" s="3" t="s">
        <v>890</v>
      </c>
      <c r="H1339" s="3" t="s">
        <v>891</v>
      </c>
      <c r="I1339" s="3">
        <v>3483953</v>
      </c>
      <c r="J1339" s="3">
        <v>2962339</v>
      </c>
      <c r="K1339" s="3">
        <v>521614</v>
      </c>
      <c r="L1339" s="3">
        <v>1142100</v>
      </c>
      <c r="M1339" s="3">
        <v>789800</v>
      </c>
      <c r="N1339" s="3">
        <v>352300</v>
      </c>
    </row>
    <row r="1340" spans="1:14" ht="14.4">
      <c r="A1340" s="3">
        <v>13492</v>
      </c>
      <c r="B1340" s="3">
        <v>13493</v>
      </c>
      <c r="C1340" s="3">
        <v>4101</v>
      </c>
      <c r="D1340" s="3" t="s">
        <v>888</v>
      </c>
      <c r="E1340" s="3" t="s">
        <v>889</v>
      </c>
      <c r="F1340" s="3">
        <v>39402</v>
      </c>
      <c r="G1340" s="3" t="s">
        <v>890</v>
      </c>
      <c r="H1340" s="3" t="s">
        <v>891</v>
      </c>
      <c r="I1340" s="3">
        <v>278990</v>
      </c>
      <c r="J1340" s="3">
        <v>0</v>
      </c>
      <c r="K1340" s="3">
        <v>278990</v>
      </c>
      <c r="L1340" s="3">
        <v>0</v>
      </c>
      <c r="M1340" s="3">
        <v>0</v>
      </c>
      <c r="N1340" s="3">
        <v>0</v>
      </c>
    </row>
    <row r="1341" spans="1:14" ht="14.4">
      <c r="A1341" s="3">
        <v>13492</v>
      </c>
      <c r="B1341" s="3">
        <v>13493</v>
      </c>
      <c r="C1341" s="3">
        <v>4101</v>
      </c>
      <c r="D1341" s="3" t="s">
        <v>888</v>
      </c>
      <c r="E1341" s="3" t="s">
        <v>889</v>
      </c>
      <c r="F1341" s="3">
        <v>39402</v>
      </c>
      <c r="G1341" s="3" t="s">
        <v>892</v>
      </c>
      <c r="H1341" s="3" t="s">
        <v>891</v>
      </c>
      <c r="I1341" s="3">
        <v>244261</v>
      </c>
      <c r="J1341" s="3">
        <v>241831</v>
      </c>
      <c r="K1341" s="3">
        <v>2430</v>
      </c>
      <c r="L1341" s="3">
        <v>0</v>
      </c>
      <c r="M1341" s="3">
        <v>0</v>
      </c>
      <c r="N1341" s="3">
        <v>0</v>
      </c>
    </row>
    <row r="1342" spans="1:14" ht="14.4">
      <c r="A1342" s="3">
        <v>13492</v>
      </c>
      <c r="B1342" s="3">
        <v>13493</v>
      </c>
      <c r="C1342" s="3">
        <v>4101</v>
      </c>
      <c r="D1342" s="3" t="s">
        <v>888</v>
      </c>
      <c r="E1342" s="3" t="s">
        <v>893</v>
      </c>
      <c r="F1342" s="3">
        <v>39465</v>
      </c>
      <c r="G1342" s="3" t="s">
        <v>890</v>
      </c>
      <c r="H1342" s="3" t="s">
        <v>891</v>
      </c>
      <c r="I1342" s="3">
        <v>1348923</v>
      </c>
      <c r="J1342" s="3">
        <v>1123249</v>
      </c>
      <c r="K1342" s="3">
        <v>225674</v>
      </c>
      <c r="L1342" s="3">
        <v>0</v>
      </c>
      <c r="M1342" s="3">
        <v>0</v>
      </c>
      <c r="N1342" s="3">
        <v>0</v>
      </c>
    </row>
    <row r="1343" spans="1:14" ht="14.4">
      <c r="A1343" s="3">
        <v>13492</v>
      </c>
      <c r="B1343" s="3">
        <v>13493</v>
      </c>
      <c r="C1343" s="3">
        <v>4101</v>
      </c>
      <c r="D1343" s="3" t="s">
        <v>888</v>
      </c>
      <c r="E1343" s="3" t="s">
        <v>894</v>
      </c>
      <c r="F1343" s="3">
        <v>39474</v>
      </c>
      <c r="G1343" s="3" t="s">
        <v>895</v>
      </c>
      <c r="H1343" s="3" t="s">
        <v>891</v>
      </c>
      <c r="I1343" s="3">
        <v>66410</v>
      </c>
      <c r="J1343" s="3">
        <v>66410</v>
      </c>
      <c r="K1343" s="3">
        <v>0</v>
      </c>
      <c r="L1343" s="3">
        <v>24800</v>
      </c>
      <c r="M1343" s="3">
        <v>24800</v>
      </c>
      <c r="N1343" s="3">
        <v>0</v>
      </c>
    </row>
    <row r="1344" spans="1:14" ht="14.4">
      <c r="A1344" s="3">
        <v>13492</v>
      </c>
      <c r="B1344" s="3">
        <v>13493</v>
      </c>
      <c r="C1344" s="3">
        <v>4101</v>
      </c>
      <c r="D1344" s="3" t="s">
        <v>888</v>
      </c>
      <c r="E1344" s="3" t="s">
        <v>896</v>
      </c>
      <c r="F1344" s="3">
        <v>39367</v>
      </c>
      <c r="G1344" s="3" t="s">
        <v>819</v>
      </c>
      <c r="H1344" s="3" t="s">
        <v>891</v>
      </c>
      <c r="I1344" s="3">
        <v>23902</v>
      </c>
      <c r="J1344" s="3">
        <v>20652</v>
      </c>
      <c r="K1344" s="3">
        <v>3250</v>
      </c>
      <c r="L1344" s="3">
        <v>24000</v>
      </c>
      <c r="M1344" s="3">
        <v>20700</v>
      </c>
      <c r="N1344" s="3">
        <v>3300</v>
      </c>
    </row>
    <row r="1345" spans="1:14" ht="14.4">
      <c r="A1345" s="3">
        <v>13579</v>
      </c>
      <c r="B1345" s="3">
        <v>13580</v>
      </c>
      <c r="C1345" s="3">
        <v>4116</v>
      </c>
      <c r="D1345" s="3" t="s">
        <v>897</v>
      </c>
      <c r="E1345" s="3" t="s">
        <v>898</v>
      </c>
      <c r="F1345" s="3">
        <v>60101</v>
      </c>
      <c r="G1345" s="3" t="s">
        <v>899</v>
      </c>
      <c r="H1345" s="3" t="s">
        <v>900</v>
      </c>
      <c r="I1345" s="3">
        <v>12612</v>
      </c>
      <c r="J1345" s="3">
        <v>0</v>
      </c>
      <c r="K1345" s="3">
        <v>12612</v>
      </c>
      <c r="L1345" s="3">
        <v>0</v>
      </c>
      <c r="M1345" s="3">
        <v>0</v>
      </c>
      <c r="N1345" s="3">
        <v>0</v>
      </c>
    </row>
    <row r="1346" spans="1:14" ht="14.4">
      <c r="A1346" s="3">
        <v>13579</v>
      </c>
      <c r="B1346" s="3">
        <v>13580</v>
      </c>
      <c r="C1346" s="3">
        <v>4116</v>
      </c>
      <c r="D1346" s="3" t="s">
        <v>897</v>
      </c>
      <c r="E1346" s="3" t="s">
        <v>901</v>
      </c>
      <c r="F1346" s="3">
        <v>60002</v>
      </c>
      <c r="G1346" s="3" t="s">
        <v>902</v>
      </c>
      <c r="H1346" s="3" t="s">
        <v>900</v>
      </c>
      <c r="I1346" s="3">
        <v>94473</v>
      </c>
      <c r="J1346" s="3">
        <v>94473</v>
      </c>
      <c r="K1346" s="3">
        <v>0</v>
      </c>
      <c r="L1346" s="3">
        <v>0</v>
      </c>
      <c r="M1346" s="3">
        <v>0</v>
      </c>
      <c r="N1346" s="3">
        <v>0</v>
      </c>
    </row>
    <row r="1347" spans="1:14" ht="14.4">
      <c r="A1347" s="3">
        <v>13579</v>
      </c>
      <c r="B1347" s="3">
        <v>13580</v>
      </c>
      <c r="C1347" s="3">
        <v>4116</v>
      </c>
      <c r="D1347" s="3" t="s">
        <v>897</v>
      </c>
      <c r="E1347" s="3" t="s">
        <v>903</v>
      </c>
      <c r="F1347" s="3">
        <v>61235</v>
      </c>
      <c r="G1347" s="3" t="s">
        <v>904</v>
      </c>
      <c r="H1347" s="3" t="s">
        <v>900</v>
      </c>
      <c r="I1347" s="3">
        <v>2190</v>
      </c>
      <c r="J1347" s="3">
        <v>0</v>
      </c>
      <c r="K1347" s="3">
        <v>2190</v>
      </c>
      <c r="L1347" s="3">
        <v>2200</v>
      </c>
      <c r="M1347" s="3">
        <v>0</v>
      </c>
      <c r="N1347" s="3">
        <v>2200</v>
      </c>
    </row>
    <row r="1348" spans="1:14" ht="14.4">
      <c r="A1348" s="3">
        <v>13579</v>
      </c>
      <c r="B1348" s="3">
        <v>13580</v>
      </c>
      <c r="C1348" s="3">
        <v>4116</v>
      </c>
      <c r="D1348" s="3" t="s">
        <v>897</v>
      </c>
      <c r="E1348" s="3" t="s">
        <v>905</v>
      </c>
      <c r="F1348" s="3">
        <v>60504</v>
      </c>
      <c r="G1348" s="3" t="s">
        <v>899</v>
      </c>
      <c r="H1348" s="3" t="s">
        <v>900</v>
      </c>
      <c r="I1348" s="3">
        <v>14280</v>
      </c>
      <c r="J1348" s="3">
        <v>14280</v>
      </c>
      <c r="K1348" s="3">
        <v>0</v>
      </c>
      <c r="L1348" s="3">
        <v>14000</v>
      </c>
      <c r="M1348" s="3">
        <v>14000</v>
      </c>
      <c r="N1348" s="3">
        <v>0</v>
      </c>
    </row>
    <row r="1349" spans="1:14" ht="14.4">
      <c r="A1349" s="3">
        <v>13579</v>
      </c>
      <c r="B1349" s="3">
        <v>13580</v>
      </c>
      <c r="C1349" s="3">
        <v>4116</v>
      </c>
      <c r="D1349" s="3" t="s">
        <v>897</v>
      </c>
      <c r="E1349" s="3" t="s">
        <v>905</v>
      </c>
      <c r="F1349" s="3">
        <v>60506</v>
      </c>
      <c r="G1349" s="3" t="s">
        <v>906</v>
      </c>
      <c r="H1349" s="3" t="s">
        <v>900</v>
      </c>
      <c r="I1349" s="3">
        <v>12155</v>
      </c>
      <c r="J1349" s="3">
        <v>9355</v>
      </c>
      <c r="K1349" s="3">
        <v>2800</v>
      </c>
      <c r="L1349" s="3">
        <v>10200</v>
      </c>
      <c r="M1349" s="3">
        <v>9400</v>
      </c>
      <c r="N1349" s="3">
        <v>800</v>
      </c>
    </row>
    <row r="1350" spans="1:14" ht="14.4">
      <c r="A1350" s="3">
        <v>13579</v>
      </c>
      <c r="B1350" s="3">
        <v>13580</v>
      </c>
      <c r="C1350" s="3">
        <v>4116</v>
      </c>
      <c r="D1350" s="3" t="s">
        <v>897</v>
      </c>
      <c r="E1350" s="3" t="s">
        <v>907</v>
      </c>
      <c r="F1350" s="3">
        <v>61607</v>
      </c>
      <c r="G1350" s="3" t="s">
        <v>908</v>
      </c>
      <c r="H1350" s="3" t="s">
        <v>900</v>
      </c>
      <c r="I1350" s="3">
        <v>151201</v>
      </c>
      <c r="J1350" s="3">
        <v>151201</v>
      </c>
      <c r="K1350" s="3">
        <v>0</v>
      </c>
      <c r="L1350" s="3">
        <v>0</v>
      </c>
      <c r="M1350" s="3">
        <v>0</v>
      </c>
      <c r="N1350" s="3">
        <v>0</v>
      </c>
    </row>
    <row r="1351" spans="1:14" ht="14.4">
      <c r="A1351" s="3">
        <v>13579</v>
      </c>
      <c r="B1351" s="3">
        <v>13580</v>
      </c>
      <c r="C1351" s="3">
        <v>4116</v>
      </c>
      <c r="D1351" s="3" t="s">
        <v>897</v>
      </c>
      <c r="E1351" s="3" t="s">
        <v>909</v>
      </c>
      <c r="F1351" s="3">
        <v>60510</v>
      </c>
      <c r="G1351" s="3" t="s">
        <v>906</v>
      </c>
      <c r="H1351" s="3" t="s">
        <v>900</v>
      </c>
      <c r="I1351" s="3">
        <v>29188</v>
      </c>
      <c r="J1351" s="3">
        <v>29188</v>
      </c>
      <c r="K1351" s="3">
        <v>0</v>
      </c>
      <c r="L1351" s="3">
        <v>14000</v>
      </c>
      <c r="M1351" s="3">
        <v>14000</v>
      </c>
      <c r="N1351" s="3">
        <v>0</v>
      </c>
    </row>
    <row r="1352" spans="1:14" ht="14.4">
      <c r="A1352" s="3">
        <v>13579</v>
      </c>
      <c r="B1352" s="3">
        <v>13580</v>
      </c>
      <c r="C1352" s="3">
        <v>4116</v>
      </c>
      <c r="D1352" s="3" t="s">
        <v>897</v>
      </c>
      <c r="E1352" s="3" t="s">
        <v>910</v>
      </c>
      <c r="F1352" s="3">
        <v>62006</v>
      </c>
      <c r="G1352" s="3" t="s">
        <v>911</v>
      </c>
      <c r="H1352" s="3" t="s">
        <v>900</v>
      </c>
      <c r="I1352" s="3">
        <v>0</v>
      </c>
      <c r="J1352" s="3">
        <v>0</v>
      </c>
      <c r="K1352" s="3">
        <v>0</v>
      </c>
      <c r="L1352" s="3">
        <v>75600</v>
      </c>
      <c r="M1352" s="3">
        <v>0</v>
      </c>
      <c r="N1352" s="3">
        <v>0</v>
      </c>
    </row>
    <row r="1353" spans="1:14" ht="14.4">
      <c r="A1353" s="3">
        <v>13579</v>
      </c>
      <c r="B1353" s="3">
        <v>13580</v>
      </c>
      <c r="C1353" s="3">
        <v>4116</v>
      </c>
      <c r="D1353" s="3" t="s">
        <v>897</v>
      </c>
      <c r="E1353" s="3" t="s">
        <v>912</v>
      </c>
      <c r="F1353" s="3">
        <v>60087</v>
      </c>
      <c r="G1353" s="3" t="s">
        <v>902</v>
      </c>
      <c r="H1353" s="3" t="s">
        <v>900</v>
      </c>
      <c r="I1353" s="3">
        <v>23538</v>
      </c>
      <c r="J1353" s="3">
        <v>21038</v>
      </c>
      <c r="K1353" s="3">
        <v>2500</v>
      </c>
      <c r="L1353" s="3">
        <v>0</v>
      </c>
      <c r="M1353" s="3">
        <v>0</v>
      </c>
      <c r="N1353" s="3">
        <v>0</v>
      </c>
    </row>
    <row r="1354" spans="1:14" ht="14.4">
      <c r="A1354" s="3">
        <v>13579</v>
      </c>
      <c r="B1354" s="3">
        <v>13580</v>
      </c>
      <c r="C1354" s="3">
        <v>4116</v>
      </c>
      <c r="D1354" s="3" t="s">
        <v>897</v>
      </c>
      <c r="E1354" s="3" t="s">
        <v>913</v>
      </c>
      <c r="F1354" s="3">
        <v>60104</v>
      </c>
      <c r="G1354" s="3" t="s">
        <v>914</v>
      </c>
      <c r="H1354" s="3" t="s">
        <v>900</v>
      </c>
      <c r="I1354" s="3">
        <v>89058</v>
      </c>
      <c r="J1354" s="3">
        <v>71388</v>
      </c>
      <c r="K1354" s="3">
        <v>17670</v>
      </c>
      <c r="L1354" s="3">
        <v>22900</v>
      </c>
      <c r="M1354" s="3">
        <v>14400</v>
      </c>
      <c r="N1354" s="3">
        <v>8500</v>
      </c>
    </row>
    <row r="1355" spans="1:14" ht="14.4">
      <c r="A1355" s="3">
        <v>13579</v>
      </c>
      <c r="B1355" s="3">
        <v>13580</v>
      </c>
      <c r="C1355" s="3">
        <v>4116</v>
      </c>
      <c r="D1355" s="3" t="s">
        <v>897</v>
      </c>
      <c r="E1355" s="3" t="s">
        <v>915</v>
      </c>
      <c r="F1355" s="3">
        <v>60163</v>
      </c>
      <c r="G1355" s="3" t="s">
        <v>914</v>
      </c>
      <c r="H1355" s="3" t="s">
        <v>900</v>
      </c>
      <c r="I1355" s="3">
        <v>20360</v>
      </c>
      <c r="J1355" s="3">
        <v>20360</v>
      </c>
      <c r="K1355" s="3">
        <v>0</v>
      </c>
      <c r="L1355" s="3">
        <v>20400</v>
      </c>
      <c r="M1355" s="3">
        <v>20400</v>
      </c>
      <c r="N1355" s="3">
        <v>0</v>
      </c>
    </row>
    <row r="1356" spans="1:14" ht="14.4">
      <c r="A1356" s="3">
        <v>13579</v>
      </c>
      <c r="B1356" s="3">
        <v>13580</v>
      </c>
      <c r="C1356" s="3">
        <v>4116</v>
      </c>
      <c r="D1356" s="3" t="s">
        <v>897</v>
      </c>
      <c r="E1356" s="3" t="s">
        <v>916</v>
      </c>
      <c r="F1356" s="3">
        <v>60440</v>
      </c>
      <c r="G1356" s="3" t="s">
        <v>917</v>
      </c>
      <c r="H1356" s="3" t="s">
        <v>900</v>
      </c>
      <c r="I1356" s="3">
        <v>436387</v>
      </c>
      <c r="J1356" s="3">
        <v>4067</v>
      </c>
      <c r="K1356" s="3">
        <v>432320</v>
      </c>
      <c r="L1356" s="3">
        <v>0</v>
      </c>
      <c r="M1356" s="3">
        <v>0</v>
      </c>
      <c r="N1356" s="3">
        <v>0</v>
      </c>
    </row>
    <row r="1357" spans="1:14" ht="14.4">
      <c r="A1357" s="3">
        <v>13579</v>
      </c>
      <c r="B1357" s="3">
        <v>13580</v>
      </c>
      <c r="C1357" s="3">
        <v>4116</v>
      </c>
      <c r="D1357" s="3" t="s">
        <v>897</v>
      </c>
      <c r="E1357" s="3" t="s">
        <v>916</v>
      </c>
      <c r="F1357" s="3">
        <v>60490</v>
      </c>
      <c r="G1357" s="3" t="s">
        <v>917</v>
      </c>
      <c r="H1357" s="3" t="s">
        <v>900</v>
      </c>
      <c r="I1357" s="3">
        <v>2156</v>
      </c>
      <c r="J1357" s="3">
        <v>1156</v>
      </c>
      <c r="K1357" s="3">
        <v>1000</v>
      </c>
      <c r="L1357" s="3">
        <v>0</v>
      </c>
      <c r="M1357" s="3">
        <v>0</v>
      </c>
      <c r="N1357" s="3">
        <v>0</v>
      </c>
    </row>
    <row r="1358" spans="1:14" ht="14.4">
      <c r="A1358" s="3">
        <v>13579</v>
      </c>
      <c r="B1358" s="3">
        <v>13580</v>
      </c>
      <c r="C1358" s="3">
        <v>4116</v>
      </c>
      <c r="D1358" s="3" t="s">
        <v>897</v>
      </c>
      <c r="E1358" s="3" t="s">
        <v>918</v>
      </c>
      <c r="F1358" s="3">
        <v>60155</v>
      </c>
      <c r="G1358" s="3" t="s">
        <v>914</v>
      </c>
      <c r="H1358" s="3" t="s">
        <v>900</v>
      </c>
      <c r="I1358" s="3">
        <v>44943</v>
      </c>
      <c r="J1358" s="3">
        <v>42968</v>
      </c>
      <c r="K1358" s="3">
        <v>1975</v>
      </c>
      <c r="L1358" s="3">
        <v>42600</v>
      </c>
      <c r="M1358" s="3">
        <v>41200</v>
      </c>
      <c r="N1358" s="3">
        <v>1400</v>
      </c>
    </row>
    <row r="1359" spans="1:14" ht="14.4">
      <c r="A1359" s="3">
        <v>13579</v>
      </c>
      <c r="B1359" s="3">
        <v>13580</v>
      </c>
      <c r="C1359" s="3">
        <v>4116</v>
      </c>
      <c r="D1359" s="3" t="s">
        <v>897</v>
      </c>
      <c r="E1359" s="3" t="s">
        <v>919</v>
      </c>
      <c r="F1359" s="3">
        <v>60513</v>
      </c>
      <c r="G1359" s="3" t="s">
        <v>914</v>
      </c>
      <c r="H1359" s="3" t="s">
        <v>900</v>
      </c>
      <c r="I1359" s="3">
        <v>39913</v>
      </c>
      <c r="J1359" s="3">
        <v>22683</v>
      </c>
      <c r="K1359" s="3">
        <v>17230</v>
      </c>
      <c r="L1359" s="3">
        <v>39500</v>
      </c>
      <c r="M1359" s="3">
        <v>22700</v>
      </c>
      <c r="N1359" s="3">
        <v>16800</v>
      </c>
    </row>
    <row r="1360" spans="1:14" ht="14.4">
      <c r="A1360" s="3">
        <v>13579</v>
      </c>
      <c r="B1360" s="3">
        <v>13580</v>
      </c>
      <c r="C1360" s="3">
        <v>4116</v>
      </c>
      <c r="D1360" s="3" t="s">
        <v>897</v>
      </c>
      <c r="E1360" s="3" t="s">
        <v>920</v>
      </c>
      <c r="F1360" s="3">
        <v>60409</v>
      </c>
      <c r="G1360" s="3" t="s">
        <v>914</v>
      </c>
      <c r="H1360" s="3" t="s">
        <v>900</v>
      </c>
      <c r="I1360" s="3">
        <v>308377</v>
      </c>
      <c r="J1360" s="3">
        <v>222476</v>
      </c>
      <c r="K1360" s="3">
        <v>85901</v>
      </c>
      <c r="L1360" s="3">
        <v>70600</v>
      </c>
      <c r="M1360" s="3">
        <v>21400</v>
      </c>
      <c r="N1360" s="3">
        <v>49200</v>
      </c>
    </row>
    <row r="1361" spans="1:14" ht="14.4">
      <c r="A1361" s="3">
        <v>13579</v>
      </c>
      <c r="B1361" s="3">
        <v>13580</v>
      </c>
      <c r="C1361" s="3">
        <v>4116</v>
      </c>
      <c r="D1361" s="3" t="s">
        <v>897</v>
      </c>
      <c r="E1361" s="3" t="s">
        <v>921</v>
      </c>
      <c r="F1361" s="3">
        <v>60827</v>
      </c>
      <c r="G1361" s="3" t="s">
        <v>914</v>
      </c>
      <c r="H1361" s="3" t="s">
        <v>900</v>
      </c>
      <c r="I1361" s="3">
        <v>54569</v>
      </c>
      <c r="J1361" s="3">
        <v>43723</v>
      </c>
      <c r="K1361" s="3">
        <v>10846</v>
      </c>
      <c r="L1361" s="3">
        <v>27600</v>
      </c>
      <c r="M1361" s="3">
        <v>18900</v>
      </c>
      <c r="N1361" s="3">
        <v>8700</v>
      </c>
    </row>
    <row r="1362" spans="1:14" ht="14.4">
      <c r="A1362" s="3">
        <v>13579</v>
      </c>
      <c r="B1362" s="3">
        <v>13580</v>
      </c>
      <c r="C1362" s="3">
        <v>4116</v>
      </c>
      <c r="D1362" s="3" t="s">
        <v>897</v>
      </c>
      <c r="E1362" s="3" t="s">
        <v>922</v>
      </c>
      <c r="F1362" s="3">
        <v>61316</v>
      </c>
      <c r="G1362" s="3" t="s">
        <v>923</v>
      </c>
      <c r="H1362" s="3" t="s">
        <v>900</v>
      </c>
      <c r="I1362" s="3">
        <v>141788</v>
      </c>
      <c r="J1362" s="3">
        <v>136988</v>
      </c>
      <c r="K1362" s="3">
        <v>4800</v>
      </c>
      <c r="L1362" s="3">
        <v>296800</v>
      </c>
      <c r="M1362" s="3">
        <v>137000</v>
      </c>
      <c r="N1362" s="3">
        <v>4800</v>
      </c>
    </row>
    <row r="1363" spans="1:14" ht="14.4">
      <c r="A1363" s="3">
        <v>13579</v>
      </c>
      <c r="B1363" s="3">
        <v>13580</v>
      </c>
      <c r="C1363" s="3">
        <v>4116</v>
      </c>
      <c r="D1363" s="3" t="s">
        <v>897</v>
      </c>
      <c r="E1363" s="3" t="s">
        <v>924</v>
      </c>
      <c r="F1363" s="3">
        <v>60609</v>
      </c>
      <c r="G1363" s="3" t="s">
        <v>914</v>
      </c>
      <c r="H1363" s="3" t="s">
        <v>900</v>
      </c>
      <c r="I1363" s="3">
        <v>6109</v>
      </c>
      <c r="J1363" s="3">
        <v>2219</v>
      </c>
      <c r="K1363" s="3">
        <v>3890</v>
      </c>
      <c r="L1363" s="3">
        <v>0</v>
      </c>
      <c r="M1363" s="3">
        <v>0</v>
      </c>
      <c r="N1363" s="3">
        <v>0</v>
      </c>
    </row>
    <row r="1364" spans="1:14" ht="14.4">
      <c r="A1364" s="3">
        <v>13579</v>
      </c>
      <c r="B1364" s="3">
        <v>13580</v>
      </c>
      <c r="C1364" s="3">
        <v>4116</v>
      </c>
      <c r="D1364" s="3" t="s">
        <v>897</v>
      </c>
      <c r="E1364" s="3" t="s">
        <v>924</v>
      </c>
      <c r="F1364" s="3">
        <v>60612</v>
      </c>
      <c r="G1364" s="3" t="s">
        <v>914</v>
      </c>
      <c r="H1364" s="3" t="s">
        <v>900</v>
      </c>
      <c r="I1364" s="3">
        <v>57134</v>
      </c>
      <c r="J1364" s="3">
        <v>54234</v>
      </c>
      <c r="K1364" s="3">
        <v>2900</v>
      </c>
      <c r="L1364" s="3">
        <v>25000</v>
      </c>
      <c r="M1364" s="3">
        <v>25000</v>
      </c>
      <c r="N1364" s="3">
        <v>0</v>
      </c>
    </row>
    <row r="1365" spans="1:14" ht="14.4">
      <c r="A1365" s="3">
        <v>13579</v>
      </c>
      <c r="B1365" s="3">
        <v>13580</v>
      </c>
      <c r="C1365" s="3">
        <v>4116</v>
      </c>
      <c r="D1365" s="3" t="s">
        <v>897</v>
      </c>
      <c r="E1365" s="3" t="s">
        <v>924</v>
      </c>
      <c r="F1365" s="3">
        <v>60613</v>
      </c>
      <c r="G1365" s="3" t="s">
        <v>914</v>
      </c>
      <c r="H1365" s="3" t="s">
        <v>900</v>
      </c>
      <c r="I1365" s="3">
        <v>16325</v>
      </c>
      <c r="J1365" s="3">
        <v>16325</v>
      </c>
      <c r="K1365" s="3">
        <v>0</v>
      </c>
      <c r="L1365" s="3">
        <v>0</v>
      </c>
      <c r="M1365" s="3">
        <v>0</v>
      </c>
      <c r="N1365" s="3">
        <v>0</v>
      </c>
    </row>
    <row r="1366" spans="1:14" ht="14.4">
      <c r="A1366" s="3">
        <v>13579</v>
      </c>
      <c r="B1366" s="3">
        <v>13580</v>
      </c>
      <c r="C1366" s="3">
        <v>4116</v>
      </c>
      <c r="D1366" s="3" t="s">
        <v>897</v>
      </c>
      <c r="E1366" s="3" t="s">
        <v>924</v>
      </c>
      <c r="F1366" s="3">
        <v>60615</v>
      </c>
      <c r="G1366" s="3" t="s">
        <v>914</v>
      </c>
      <c r="H1366" s="3" t="s">
        <v>900</v>
      </c>
      <c r="I1366" s="3">
        <v>83273</v>
      </c>
      <c r="J1366" s="3">
        <v>82873</v>
      </c>
      <c r="K1366" s="3">
        <v>400</v>
      </c>
      <c r="L1366" s="3">
        <v>41500</v>
      </c>
      <c r="M1366" s="3">
        <v>41500</v>
      </c>
      <c r="N1366" s="3">
        <v>0</v>
      </c>
    </row>
    <row r="1367" spans="1:14" ht="14.4">
      <c r="A1367" s="3">
        <v>13579</v>
      </c>
      <c r="B1367" s="3">
        <v>13580</v>
      </c>
      <c r="C1367" s="3">
        <v>4116</v>
      </c>
      <c r="D1367" s="3" t="s">
        <v>897</v>
      </c>
      <c r="E1367" s="3" t="s">
        <v>924</v>
      </c>
      <c r="F1367" s="3">
        <v>60617</v>
      </c>
      <c r="G1367" s="3" t="s">
        <v>914</v>
      </c>
      <c r="H1367" s="3" t="s">
        <v>900</v>
      </c>
      <c r="I1367" s="3">
        <v>325594</v>
      </c>
      <c r="J1367" s="3">
        <v>317314</v>
      </c>
      <c r="K1367" s="3">
        <v>8280</v>
      </c>
      <c r="L1367" s="3">
        <v>187800</v>
      </c>
      <c r="M1367" s="3">
        <v>183800</v>
      </c>
      <c r="N1367" s="3">
        <v>4000</v>
      </c>
    </row>
    <row r="1368" spans="1:14" ht="14.4">
      <c r="A1368" s="3">
        <v>13579</v>
      </c>
      <c r="B1368" s="3">
        <v>13580</v>
      </c>
      <c r="C1368" s="3">
        <v>4116</v>
      </c>
      <c r="D1368" s="3" t="s">
        <v>897</v>
      </c>
      <c r="E1368" s="3" t="s">
        <v>924</v>
      </c>
      <c r="F1368" s="3">
        <v>60618</v>
      </c>
      <c r="G1368" s="3" t="s">
        <v>914</v>
      </c>
      <c r="H1368" s="3" t="s">
        <v>900</v>
      </c>
      <c r="I1368" s="3">
        <v>68573</v>
      </c>
      <c r="J1368" s="3">
        <v>51279</v>
      </c>
      <c r="K1368" s="3">
        <v>17294</v>
      </c>
      <c r="L1368" s="3">
        <v>14000</v>
      </c>
      <c r="M1368" s="3">
        <v>8600</v>
      </c>
      <c r="N1368" s="3">
        <v>5400</v>
      </c>
    </row>
    <row r="1369" spans="1:14" ht="14.4">
      <c r="A1369" s="3">
        <v>13579</v>
      </c>
      <c r="B1369" s="3">
        <v>13580</v>
      </c>
      <c r="C1369" s="3">
        <v>4116</v>
      </c>
      <c r="D1369" s="3" t="s">
        <v>897</v>
      </c>
      <c r="E1369" s="3" t="s">
        <v>924</v>
      </c>
      <c r="F1369" s="3">
        <v>60619</v>
      </c>
      <c r="G1369" s="3" t="s">
        <v>914</v>
      </c>
      <c r="H1369" s="3" t="s">
        <v>900</v>
      </c>
      <c r="I1369" s="3">
        <v>484548</v>
      </c>
      <c r="J1369" s="3">
        <v>412027</v>
      </c>
      <c r="K1369" s="3">
        <v>72521</v>
      </c>
      <c r="L1369" s="3">
        <v>226700</v>
      </c>
      <c r="M1369" s="3">
        <v>207500</v>
      </c>
      <c r="N1369" s="3">
        <v>17800</v>
      </c>
    </row>
    <row r="1370" spans="1:14" ht="14.4">
      <c r="A1370" s="3">
        <v>13579</v>
      </c>
      <c r="B1370" s="3">
        <v>13580</v>
      </c>
      <c r="C1370" s="3">
        <v>4116</v>
      </c>
      <c r="D1370" s="3" t="s">
        <v>897</v>
      </c>
      <c r="E1370" s="3" t="s">
        <v>924</v>
      </c>
      <c r="F1370" s="3">
        <v>60620</v>
      </c>
      <c r="G1370" s="3" t="s">
        <v>914</v>
      </c>
      <c r="H1370" s="3" t="s">
        <v>900</v>
      </c>
      <c r="I1370" s="3">
        <v>560220</v>
      </c>
      <c r="J1370" s="3">
        <v>523507</v>
      </c>
      <c r="K1370" s="3">
        <v>36713</v>
      </c>
      <c r="L1370" s="3">
        <v>285400</v>
      </c>
      <c r="M1370" s="3">
        <v>264100</v>
      </c>
      <c r="N1370" s="3">
        <v>18400</v>
      </c>
    </row>
    <row r="1371" spans="1:14" ht="14.4">
      <c r="A1371" s="3">
        <v>13579</v>
      </c>
      <c r="B1371" s="3">
        <v>13580</v>
      </c>
      <c r="C1371" s="3">
        <v>4116</v>
      </c>
      <c r="D1371" s="3" t="s">
        <v>897</v>
      </c>
      <c r="E1371" s="3" t="s">
        <v>924</v>
      </c>
      <c r="F1371" s="3">
        <v>60621</v>
      </c>
      <c r="G1371" s="3" t="s">
        <v>914</v>
      </c>
      <c r="H1371" s="3" t="s">
        <v>900</v>
      </c>
      <c r="I1371" s="3">
        <v>213223</v>
      </c>
      <c r="J1371" s="3">
        <v>188411</v>
      </c>
      <c r="K1371" s="3">
        <v>24812</v>
      </c>
      <c r="L1371" s="3">
        <v>120300</v>
      </c>
      <c r="M1371" s="3">
        <v>116500</v>
      </c>
      <c r="N1371" s="3">
        <v>2800</v>
      </c>
    </row>
    <row r="1372" spans="1:14" ht="14.4">
      <c r="A1372" s="3">
        <v>13579</v>
      </c>
      <c r="B1372" s="3">
        <v>13580</v>
      </c>
      <c r="C1372" s="3">
        <v>4116</v>
      </c>
      <c r="D1372" s="3" t="s">
        <v>897</v>
      </c>
      <c r="E1372" s="3" t="s">
        <v>924</v>
      </c>
      <c r="F1372" s="3">
        <v>60623</v>
      </c>
      <c r="G1372" s="3" t="s">
        <v>914</v>
      </c>
      <c r="H1372" s="3" t="s">
        <v>900</v>
      </c>
      <c r="I1372" s="3">
        <v>388346</v>
      </c>
      <c r="J1372" s="3">
        <v>367771</v>
      </c>
      <c r="K1372" s="3">
        <v>20575</v>
      </c>
      <c r="L1372" s="3">
        <v>17700</v>
      </c>
      <c r="M1372" s="3">
        <v>15900</v>
      </c>
      <c r="N1372" s="3">
        <v>1800</v>
      </c>
    </row>
    <row r="1373" spans="1:14" ht="14.4">
      <c r="A1373" s="3">
        <v>13579</v>
      </c>
      <c r="B1373" s="3">
        <v>13580</v>
      </c>
      <c r="C1373" s="3">
        <v>4116</v>
      </c>
      <c r="D1373" s="3" t="s">
        <v>897</v>
      </c>
      <c r="E1373" s="3" t="s">
        <v>924</v>
      </c>
      <c r="F1373" s="3">
        <v>60624</v>
      </c>
      <c r="G1373" s="3" t="s">
        <v>914</v>
      </c>
      <c r="H1373" s="3" t="s">
        <v>900</v>
      </c>
      <c r="I1373" s="3">
        <v>21856</v>
      </c>
      <c r="J1373" s="3">
        <v>20356</v>
      </c>
      <c r="K1373" s="3">
        <v>1500</v>
      </c>
      <c r="L1373" s="3">
        <v>0</v>
      </c>
      <c r="M1373" s="3">
        <v>0</v>
      </c>
      <c r="N1373" s="3">
        <v>0</v>
      </c>
    </row>
    <row r="1374" spans="1:14" ht="14.4">
      <c r="A1374" s="3">
        <v>13579</v>
      </c>
      <c r="B1374" s="3">
        <v>13580</v>
      </c>
      <c r="C1374" s="3">
        <v>4116</v>
      </c>
      <c r="D1374" s="3" t="s">
        <v>897</v>
      </c>
      <c r="E1374" s="3" t="s">
        <v>924</v>
      </c>
      <c r="F1374" s="3">
        <v>60625</v>
      </c>
      <c r="G1374" s="3" t="s">
        <v>914</v>
      </c>
      <c r="H1374" s="3" t="s">
        <v>900</v>
      </c>
      <c r="I1374" s="3">
        <v>7415</v>
      </c>
      <c r="J1374" s="3">
        <v>7415</v>
      </c>
      <c r="K1374" s="3">
        <v>0</v>
      </c>
      <c r="L1374" s="3">
        <v>7500</v>
      </c>
      <c r="M1374" s="3">
        <v>7500</v>
      </c>
      <c r="N1374" s="3">
        <v>0</v>
      </c>
    </row>
    <row r="1375" spans="1:14" ht="14.4">
      <c r="A1375" s="3">
        <v>13579</v>
      </c>
      <c r="B1375" s="3">
        <v>13580</v>
      </c>
      <c r="C1375" s="3">
        <v>4116</v>
      </c>
      <c r="D1375" s="3" t="s">
        <v>897</v>
      </c>
      <c r="E1375" s="3" t="s">
        <v>924</v>
      </c>
      <c r="F1375" s="3">
        <v>60626</v>
      </c>
      <c r="G1375" s="3" t="s">
        <v>914</v>
      </c>
      <c r="H1375" s="3" t="s">
        <v>900</v>
      </c>
      <c r="I1375" s="3">
        <v>1410</v>
      </c>
      <c r="J1375" s="3">
        <v>1410</v>
      </c>
      <c r="K1375" s="3">
        <v>0</v>
      </c>
      <c r="L1375" s="3">
        <v>1500</v>
      </c>
      <c r="M1375" s="3">
        <v>1500</v>
      </c>
      <c r="N1375" s="3">
        <v>0</v>
      </c>
    </row>
    <row r="1376" spans="1:14" ht="14.4">
      <c r="A1376" s="3">
        <v>13579</v>
      </c>
      <c r="B1376" s="3">
        <v>13580</v>
      </c>
      <c r="C1376" s="3">
        <v>4116</v>
      </c>
      <c r="D1376" s="3" t="s">
        <v>897</v>
      </c>
      <c r="E1376" s="3" t="s">
        <v>924</v>
      </c>
      <c r="F1376" s="3">
        <v>60628</v>
      </c>
      <c r="G1376" s="3" t="s">
        <v>914</v>
      </c>
      <c r="H1376" s="3" t="s">
        <v>900</v>
      </c>
      <c r="I1376" s="3">
        <v>754631</v>
      </c>
      <c r="J1376" s="3">
        <v>659128</v>
      </c>
      <c r="K1376" s="3">
        <v>95503</v>
      </c>
      <c r="L1376" s="3">
        <v>434800</v>
      </c>
      <c r="M1376" s="3">
        <v>407200</v>
      </c>
      <c r="N1376" s="3">
        <v>27600</v>
      </c>
    </row>
    <row r="1377" spans="1:14" ht="14.4">
      <c r="A1377" s="3">
        <v>13579</v>
      </c>
      <c r="B1377" s="3">
        <v>13580</v>
      </c>
      <c r="C1377" s="3">
        <v>4116</v>
      </c>
      <c r="D1377" s="3" t="s">
        <v>897</v>
      </c>
      <c r="E1377" s="3" t="s">
        <v>924</v>
      </c>
      <c r="F1377" s="3">
        <v>60629</v>
      </c>
      <c r="G1377" s="3" t="s">
        <v>914</v>
      </c>
      <c r="H1377" s="3" t="s">
        <v>900</v>
      </c>
      <c r="I1377" s="3">
        <v>89536</v>
      </c>
      <c r="J1377" s="3">
        <v>68886</v>
      </c>
      <c r="K1377" s="3">
        <v>20650</v>
      </c>
      <c r="L1377" s="3">
        <v>46100</v>
      </c>
      <c r="M1377" s="3">
        <v>34800</v>
      </c>
      <c r="N1377" s="3">
        <v>11300</v>
      </c>
    </row>
    <row r="1378" spans="1:14" ht="14.4">
      <c r="A1378" s="3">
        <v>13579</v>
      </c>
      <c r="B1378" s="3">
        <v>13580</v>
      </c>
      <c r="C1378" s="3">
        <v>4116</v>
      </c>
      <c r="D1378" s="3" t="s">
        <v>897</v>
      </c>
      <c r="E1378" s="3" t="s">
        <v>924</v>
      </c>
      <c r="F1378" s="3">
        <v>60630</v>
      </c>
      <c r="G1378" s="3" t="s">
        <v>914</v>
      </c>
      <c r="H1378" s="3" t="s">
        <v>900</v>
      </c>
      <c r="I1378" s="3">
        <v>65758</v>
      </c>
      <c r="J1378" s="3">
        <v>47939</v>
      </c>
      <c r="K1378" s="3">
        <v>17819</v>
      </c>
      <c r="L1378" s="3">
        <v>8100</v>
      </c>
      <c r="M1378" s="3">
        <v>0</v>
      </c>
      <c r="N1378" s="3">
        <v>8100</v>
      </c>
    </row>
    <row r="1379" spans="1:14" ht="14.4">
      <c r="A1379" s="3">
        <v>13579</v>
      </c>
      <c r="B1379" s="3">
        <v>13580</v>
      </c>
      <c r="C1379" s="3">
        <v>4116</v>
      </c>
      <c r="D1379" s="3" t="s">
        <v>897</v>
      </c>
      <c r="E1379" s="3" t="s">
        <v>924</v>
      </c>
      <c r="F1379" s="3">
        <v>60631</v>
      </c>
      <c r="G1379" s="3" t="s">
        <v>914</v>
      </c>
      <c r="H1379" s="3" t="s">
        <v>900</v>
      </c>
      <c r="I1379" s="3">
        <v>166881</v>
      </c>
      <c r="J1379" s="3">
        <v>107140</v>
      </c>
      <c r="K1379" s="3">
        <v>59741</v>
      </c>
      <c r="L1379" s="3">
        <v>108300</v>
      </c>
      <c r="M1379" s="3">
        <v>48500</v>
      </c>
      <c r="N1379" s="3">
        <v>59800</v>
      </c>
    </row>
    <row r="1380" spans="1:14" ht="14.4">
      <c r="A1380" s="3">
        <v>13579</v>
      </c>
      <c r="B1380" s="3">
        <v>13580</v>
      </c>
      <c r="C1380" s="3">
        <v>4116</v>
      </c>
      <c r="D1380" s="3" t="s">
        <v>897</v>
      </c>
      <c r="E1380" s="3" t="s">
        <v>924</v>
      </c>
      <c r="F1380" s="3">
        <v>60632</v>
      </c>
      <c r="G1380" s="3" t="s">
        <v>914</v>
      </c>
      <c r="H1380" s="3" t="s">
        <v>900</v>
      </c>
      <c r="I1380" s="3">
        <v>13624</v>
      </c>
      <c r="J1380" s="3">
        <v>13624</v>
      </c>
      <c r="K1380" s="3">
        <v>0</v>
      </c>
      <c r="L1380" s="3">
        <v>0</v>
      </c>
      <c r="M1380" s="3">
        <v>0</v>
      </c>
      <c r="N1380" s="3">
        <v>0</v>
      </c>
    </row>
    <row r="1381" spans="1:14" ht="14.4">
      <c r="A1381" s="3">
        <v>13579</v>
      </c>
      <c r="B1381" s="3">
        <v>13580</v>
      </c>
      <c r="C1381" s="3">
        <v>4116</v>
      </c>
      <c r="D1381" s="3" t="s">
        <v>897</v>
      </c>
      <c r="E1381" s="3" t="s">
        <v>924</v>
      </c>
      <c r="F1381" s="3">
        <v>60634</v>
      </c>
      <c r="G1381" s="3" t="s">
        <v>914</v>
      </c>
      <c r="H1381" s="3" t="s">
        <v>900</v>
      </c>
      <c r="I1381" s="3">
        <v>102801</v>
      </c>
      <c r="J1381" s="3">
        <v>93941</v>
      </c>
      <c r="K1381" s="3">
        <v>8860</v>
      </c>
      <c r="L1381" s="3">
        <v>40700</v>
      </c>
      <c r="M1381" s="3">
        <v>39400</v>
      </c>
      <c r="N1381" s="3">
        <v>1300</v>
      </c>
    </row>
    <row r="1382" spans="1:14" ht="14.4">
      <c r="A1382" s="3">
        <v>13579</v>
      </c>
      <c r="B1382" s="3">
        <v>13580</v>
      </c>
      <c r="C1382" s="3">
        <v>4116</v>
      </c>
      <c r="D1382" s="3" t="s">
        <v>897</v>
      </c>
      <c r="E1382" s="3" t="s">
        <v>924</v>
      </c>
      <c r="F1382" s="3">
        <v>60636</v>
      </c>
      <c r="G1382" s="3" t="s">
        <v>914</v>
      </c>
      <c r="H1382" s="3" t="s">
        <v>900</v>
      </c>
      <c r="I1382" s="3">
        <v>163151</v>
      </c>
      <c r="J1382" s="3">
        <v>149052</v>
      </c>
      <c r="K1382" s="3">
        <v>14099</v>
      </c>
      <c r="L1382" s="3">
        <v>84000</v>
      </c>
      <c r="M1382" s="3">
        <v>84000</v>
      </c>
      <c r="N1382" s="3">
        <v>0</v>
      </c>
    </row>
    <row r="1383" spans="1:14" ht="14.4">
      <c r="A1383" s="3">
        <v>13579</v>
      </c>
      <c r="B1383" s="3">
        <v>13580</v>
      </c>
      <c r="C1383" s="3">
        <v>4116</v>
      </c>
      <c r="D1383" s="3" t="s">
        <v>897</v>
      </c>
      <c r="E1383" s="3" t="s">
        <v>924</v>
      </c>
      <c r="F1383" s="3">
        <v>60637</v>
      </c>
      <c r="G1383" s="3" t="s">
        <v>914</v>
      </c>
      <c r="H1383" s="3" t="s">
        <v>900</v>
      </c>
      <c r="I1383" s="3">
        <v>111996</v>
      </c>
      <c r="J1383" s="3">
        <v>104676</v>
      </c>
      <c r="K1383" s="3">
        <v>7320</v>
      </c>
      <c r="L1383" s="3">
        <v>21000</v>
      </c>
      <c r="M1383" s="3">
        <v>18200</v>
      </c>
      <c r="N1383" s="3">
        <v>300</v>
      </c>
    </row>
    <row r="1384" spans="1:14" ht="14.4">
      <c r="A1384" s="3">
        <v>13579</v>
      </c>
      <c r="B1384" s="3">
        <v>13580</v>
      </c>
      <c r="C1384" s="3">
        <v>4116</v>
      </c>
      <c r="D1384" s="3" t="s">
        <v>897</v>
      </c>
      <c r="E1384" s="3" t="s">
        <v>924</v>
      </c>
      <c r="F1384" s="3">
        <v>60638</v>
      </c>
      <c r="G1384" s="3" t="s">
        <v>914</v>
      </c>
      <c r="H1384" s="3" t="s">
        <v>900</v>
      </c>
      <c r="I1384" s="3">
        <v>27888</v>
      </c>
      <c r="J1384" s="3">
        <v>25998</v>
      </c>
      <c r="K1384" s="3">
        <v>1890</v>
      </c>
      <c r="L1384" s="3">
        <v>0</v>
      </c>
      <c r="M1384" s="3">
        <v>0</v>
      </c>
      <c r="N1384" s="3">
        <v>0</v>
      </c>
    </row>
    <row r="1385" spans="1:14" ht="14.4">
      <c r="A1385" s="3">
        <v>13579</v>
      </c>
      <c r="B1385" s="3">
        <v>13580</v>
      </c>
      <c r="C1385" s="3">
        <v>4116</v>
      </c>
      <c r="D1385" s="3" t="s">
        <v>897</v>
      </c>
      <c r="E1385" s="3" t="s">
        <v>924</v>
      </c>
      <c r="F1385" s="3">
        <v>60639</v>
      </c>
      <c r="G1385" s="3" t="s">
        <v>914</v>
      </c>
      <c r="H1385" s="3" t="s">
        <v>900</v>
      </c>
      <c r="I1385" s="3">
        <v>31107</v>
      </c>
      <c r="J1385" s="3">
        <v>18977</v>
      </c>
      <c r="K1385" s="3">
        <v>12130</v>
      </c>
      <c r="L1385" s="3">
        <v>24100</v>
      </c>
      <c r="M1385" s="3">
        <v>19000</v>
      </c>
      <c r="N1385" s="3">
        <v>5100</v>
      </c>
    </row>
    <row r="1386" spans="1:14" ht="14.4">
      <c r="A1386" s="3">
        <v>13579</v>
      </c>
      <c r="B1386" s="3">
        <v>13580</v>
      </c>
      <c r="C1386" s="3">
        <v>4116</v>
      </c>
      <c r="D1386" s="3" t="s">
        <v>897</v>
      </c>
      <c r="E1386" s="3" t="s">
        <v>924</v>
      </c>
      <c r="F1386" s="3">
        <v>60641</v>
      </c>
      <c r="G1386" s="3" t="s">
        <v>914</v>
      </c>
      <c r="H1386" s="3" t="s">
        <v>900</v>
      </c>
      <c r="I1386" s="3">
        <v>21600</v>
      </c>
      <c r="J1386" s="3">
        <v>21600</v>
      </c>
      <c r="K1386" s="3">
        <v>0</v>
      </c>
      <c r="L1386" s="3">
        <v>0</v>
      </c>
      <c r="M1386" s="3">
        <v>0</v>
      </c>
      <c r="N1386" s="3">
        <v>0</v>
      </c>
    </row>
    <row r="1387" spans="1:14" ht="14.4">
      <c r="A1387" s="3">
        <v>13579</v>
      </c>
      <c r="B1387" s="3">
        <v>13580</v>
      </c>
      <c r="C1387" s="3">
        <v>4116</v>
      </c>
      <c r="D1387" s="3" t="s">
        <v>897</v>
      </c>
      <c r="E1387" s="3" t="s">
        <v>924</v>
      </c>
      <c r="F1387" s="3">
        <v>60643</v>
      </c>
      <c r="G1387" s="3" t="s">
        <v>914</v>
      </c>
      <c r="H1387" s="3" t="s">
        <v>900</v>
      </c>
      <c r="I1387" s="3">
        <v>105082</v>
      </c>
      <c r="J1387" s="3">
        <v>96093</v>
      </c>
      <c r="K1387" s="3">
        <v>8989</v>
      </c>
      <c r="L1387" s="3">
        <v>91500</v>
      </c>
      <c r="M1387" s="3">
        <v>91500</v>
      </c>
      <c r="N1387" s="3">
        <v>0</v>
      </c>
    </row>
    <row r="1388" spans="1:14" ht="14.4">
      <c r="A1388" s="3">
        <v>13579</v>
      </c>
      <c r="B1388" s="3">
        <v>13580</v>
      </c>
      <c r="C1388" s="3">
        <v>4116</v>
      </c>
      <c r="D1388" s="3" t="s">
        <v>897</v>
      </c>
      <c r="E1388" s="3" t="s">
        <v>924</v>
      </c>
      <c r="F1388" s="3">
        <v>60644</v>
      </c>
      <c r="G1388" s="3" t="s">
        <v>914</v>
      </c>
      <c r="H1388" s="3" t="s">
        <v>900</v>
      </c>
      <c r="I1388" s="3">
        <v>127589</v>
      </c>
      <c r="J1388" s="3">
        <v>120364</v>
      </c>
      <c r="K1388" s="3">
        <v>7225</v>
      </c>
      <c r="L1388" s="3">
        <v>65900</v>
      </c>
      <c r="M1388" s="3">
        <v>64100</v>
      </c>
      <c r="N1388" s="3">
        <v>1800</v>
      </c>
    </row>
    <row r="1389" spans="1:14" ht="14.4">
      <c r="A1389" s="3">
        <v>13579</v>
      </c>
      <c r="B1389" s="3">
        <v>13580</v>
      </c>
      <c r="C1389" s="3">
        <v>4116</v>
      </c>
      <c r="D1389" s="3" t="s">
        <v>897</v>
      </c>
      <c r="E1389" s="3" t="s">
        <v>924</v>
      </c>
      <c r="F1389" s="3">
        <v>60645</v>
      </c>
      <c r="G1389" s="3" t="s">
        <v>914</v>
      </c>
      <c r="H1389" s="3" t="s">
        <v>900</v>
      </c>
      <c r="I1389" s="3">
        <v>17833</v>
      </c>
      <c r="J1389" s="3">
        <v>13493</v>
      </c>
      <c r="K1389" s="3">
        <v>4340</v>
      </c>
      <c r="L1389" s="3">
        <v>4400</v>
      </c>
      <c r="M1389" s="3">
        <v>0</v>
      </c>
      <c r="N1389" s="3">
        <v>4400</v>
      </c>
    </row>
    <row r="1390" spans="1:14" ht="14.4">
      <c r="A1390" s="3">
        <v>13579</v>
      </c>
      <c r="B1390" s="3">
        <v>13580</v>
      </c>
      <c r="C1390" s="3">
        <v>4116</v>
      </c>
      <c r="D1390" s="3" t="s">
        <v>897</v>
      </c>
      <c r="E1390" s="3" t="s">
        <v>924</v>
      </c>
      <c r="F1390" s="3">
        <v>60646</v>
      </c>
      <c r="G1390" s="3" t="s">
        <v>914</v>
      </c>
      <c r="H1390" s="3" t="s">
        <v>900</v>
      </c>
      <c r="I1390" s="3">
        <v>62850</v>
      </c>
      <c r="J1390" s="3">
        <v>60050</v>
      </c>
      <c r="K1390" s="3">
        <v>2800</v>
      </c>
      <c r="L1390" s="3">
        <v>62800</v>
      </c>
      <c r="M1390" s="3">
        <v>60000</v>
      </c>
      <c r="N1390" s="3">
        <v>2800</v>
      </c>
    </row>
    <row r="1391" spans="1:14" ht="14.4">
      <c r="A1391" s="3">
        <v>13579</v>
      </c>
      <c r="B1391" s="3">
        <v>13580</v>
      </c>
      <c r="C1391" s="3">
        <v>4116</v>
      </c>
      <c r="D1391" s="3" t="s">
        <v>897</v>
      </c>
      <c r="E1391" s="3" t="s">
        <v>924</v>
      </c>
      <c r="F1391" s="3">
        <v>60649</v>
      </c>
      <c r="G1391" s="3" t="s">
        <v>914</v>
      </c>
      <c r="H1391" s="3" t="s">
        <v>900</v>
      </c>
      <c r="I1391" s="3">
        <v>67223</v>
      </c>
      <c r="J1391" s="3">
        <v>45503</v>
      </c>
      <c r="K1391" s="3">
        <v>21720</v>
      </c>
      <c r="L1391" s="3">
        <v>25600</v>
      </c>
      <c r="M1391" s="3">
        <v>17500</v>
      </c>
      <c r="N1391" s="3">
        <v>4800</v>
      </c>
    </row>
    <row r="1392" spans="1:14" ht="14.4">
      <c r="A1392" s="3">
        <v>13579</v>
      </c>
      <c r="B1392" s="3">
        <v>13580</v>
      </c>
      <c r="C1392" s="3">
        <v>4116</v>
      </c>
      <c r="D1392" s="3" t="s">
        <v>897</v>
      </c>
      <c r="E1392" s="3" t="s">
        <v>924</v>
      </c>
      <c r="F1392" s="3">
        <v>60651</v>
      </c>
      <c r="G1392" s="3" t="s">
        <v>914</v>
      </c>
      <c r="H1392" s="3" t="s">
        <v>900</v>
      </c>
      <c r="I1392" s="3">
        <v>173425</v>
      </c>
      <c r="J1392" s="3">
        <v>155149</v>
      </c>
      <c r="K1392" s="3">
        <v>18276</v>
      </c>
      <c r="L1392" s="3">
        <v>46100</v>
      </c>
      <c r="M1392" s="3">
        <v>33100</v>
      </c>
      <c r="N1392" s="3">
        <v>13000</v>
      </c>
    </row>
    <row r="1393" spans="1:14" ht="14.4">
      <c r="A1393" s="3">
        <v>13579</v>
      </c>
      <c r="B1393" s="3">
        <v>13580</v>
      </c>
      <c r="C1393" s="3">
        <v>4116</v>
      </c>
      <c r="D1393" s="3" t="s">
        <v>897</v>
      </c>
      <c r="E1393" s="3" t="s">
        <v>924</v>
      </c>
      <c r="F1393" s="3">
        <v>60652</v>
      </c>
      <c r="G1393" s="3" t="s">
        <v>914</v>
      </c>
      <c r="H1393" s="3" t="s">
        <v>900</v>
      </c>
      <c r="I1393" s="3">
        <v>189248</v>
      </c>
      <c r="J1393" s="3">
        <v>177373</v>
      </c>
      <c r="K1393" s="3">
        <v>11875</v>
      </c>
      <c r="L1393" s="3">
        <v>31000</v>
      </c>
      <c r="M1393" s="3">
        <v>27800</v>
      </c>
      <c r="N1393" s="3">
        <v>3200</v>
      </c>
    </row>
    <row r="1394" spans="1:14" ht="14.4">
      <c r="A1394" s="3">
        <v>13579</v>
      </c>
      <c r="B1394" s="3">
        <v>13580</v>
      </c>
      <c r="C1394" s="3">
        <v>4116</v>
      </c>
      <c r="D1394" s="3" t="s">
        <v>897</v>
      </c>
      <c r="E1394" s="3" t="s">
        <v>924</v>
      </c>
      <c r="F1394" s="3">
        <v>60653</v>
      </c>
      <c r="G1394" s="3" t="s">
        <v>914</v>
      </c>
      <c r="H1394" s="3" t="s">
        <v>900</v>
      </c>
      <c r="I1394" s="3">
        <v>8663</v>
      </c>
      <c r="J1394" s="3">
        <v>8063</v>
      </c>
      <c r="K1394" s="3">
        <v>600</v>
      </c>
      <c r="L1394" s="3">
        <v>8600</v>
      </c>
      <c r="M1394" s="3">
        <v>8100</v>
      </c>
      <c r="N1394" s="3">
        <v>0</v>
      </c>
    </row>
    <row r="1395" spans="1:14" ht="14.4">
      <c r="A1395" s="3">
        <v>13579</v>
      </c>
      <c r="B1395" s="3">
        <v>13580</v>
      </c>
      <c r="C1395" s="3">
        <v>4116</v>
      </c>
      <c r="D1395" s="3" t="s">
        <v>897</v>
      </c>
      <c r="E1395" s="3" t="s">
        <v>924</v>
      </c>
      <c r="F1395" s="3">
        <v>60827</v>
      </c>
      <c r="G1395" s="3" t="s">
        <v>914</v>
      </c>
      <c r="H1395" s="3" t="s">
        <v>900</v>
      </c>
      <c r="I1395" s="3">
        <v>1200</v>
      </c>
      <c r="J1395" s="3">
        <v>0</v>
      </c>
      <c r="K1395" s="3">
        <v>1200</v>
      </c>
      <c r="L1395" s="3">
        <v>0</v>
      </c>
      <c r="M1395" s="3">
        <v>0</v>
      </c>
      <c r="N1395" s="3">
        <v>0</v>
      </c>
    </row>
    <row r="1396" spans="1:14" ht="14.4">
      <c r="A1396" s="3">
        <v>13579</v>
      </c>
      <c r="B1396" s="3">
        <v>13580</v>
      </c>
      <c r="C1396" s="3">
        <v>4116</v>
      </c>
      <c r="D1396" s="3" t="s">
        <v>897</v>
      </c>
      <c r="E1396" s="3" t="s">
        <v>925</v>
      </c>
      <c r="F1396" s="3">
        <v>60411</v>
      </c>
      <c r="G1396" s="3" t="s">
        <v>914</v>
      </c>
      <c r="H1396" s="3" t="s">
        <v>900</v>
      </c>
      <c r="I1396" s="3">
        <v>59438</v>
      </c>
      <c r="J1396" s="3">
        <v>50646</v>
      </c>
      <c r="K1396" s="3">
        <v>8792</v>
      </c>
      <c r="L1396" s="3">
        <v>16400</v>
      </c>
      <c r="M1396" s="3">
        <v>12000</v>
      </c>
      <c r="N1396" s="3">
        <v>2000</v>
      </c>
    </row>
    <row r="1397" spans="1:14" ht="14.4">
      <c r="A1397" s="3">
        <v>13579</v>
      </c>
      <c r="B1397" s="3">
        <v>13580</v>
      </c>
      <c r="C1397" s="3">
        <v>4116</v>
      </c>
      <c r="D1397" s="3" t="s">
        <v>897</v>
      </c>
      <c r="E1397" s="3" t="s">
        <v>926</v>
      </c>
      <c r="F1397" s="3">
        <v>60411</v>
      </c>
      <c r="G1397" s="3" t="s">
        <v>914</v>
      </c>
      <c r="H1397" s="3" t="s">
        <v>900</v>
      </c>
      <c r="I1397" s="3">
        <v>11986</v>
      </c>
      <c r="J1397" s="3">
        <v>7350</v>
      </c>
      <c r="K1397" s="3">
        <v>4636</v>
      </c>
      <c r="L1397" s="3">
        <v>12000</v>
      </c>
      <c r="M1397" s="3">
        <v>7400</v>
      </c>
      <c r="N1397" s="3">
        <v>4600</v>
      </c>
    </row>
    <row r="1398" spans="1:14" ht="14.4">
      <c r="A1398" s="3">
        <v>13579</v>
      </c>
      <c r="B1398" s="3">
        <v>13580</v>
      </c>
      <c r="C1398" s="3">
        <v>4116</v>
      </c>
      <c r="D1398" s="3" t="s">
        <v>897</v>
      </c>
      <c r="E1398" s="3" t="s">
        <v>927</v>
      </c>
      <c r="F1398" s="3">
        <v>61523</v>
      </c>
      <c r="G1398" s="3" t="s">
        <v>908</v>
      </c>
      <c r="H1398" s="3" t="s">
        <v>900</v>
      </c>
      <c r="I1398" s="3">
        <v>493814</v>
      </c>
      <c r="J1398" s="3">
        <v>459299</v>
      </c>
      <c r="K1398" s="3">
        <v>34515</v>
      </c>
      <c r="L1398" s="3">
        <v>165900</v>
      </c>
      <c r="M1398" s="3">
        <v>149600</v>
      </c>
      <c r="N1398" s="3">
        <v>6900</v>
      </c>
    </row>
    <row r="1399" spans="1:14" ht="14.4">
      <c r="A1399" s="3">
        <v>13579</v>
      </c>
      <c r="B1399" s="3">
        <v>13580</v>
      </c>
      <c r="C1399" s="3">
        <v>4116</v>
      </c>
      <c r="D1399" s="3" t="s">
        <v>897</v>
      </c>
      <c r="E1399" s="3" t="s">
        <v>928</v>
      </c>
      <c r="F1399" s="3">
        <v>60478</v>
      </c>
      <c r="G1399" s="3" t="s">
        <v>914</v>
      </c>
      <c r="H1399" s="3" t="s">
        <v>900</v>
      </c>
      <c r="I1399" s="3">
        <v>99411</v>
      </c>
      <c r="J1399" s="3">
        <v>87396</v>
      </c>
      <c r="K1399" s="3">
        <v>12015</v>
      </c>
      <c r="L1399" s="3">
        <v>14000</v>
      </c>
      <c r="M1399" s="3">
        <v>14000</v>
      </c>
      <c r="N1399" s="3">
        <v>0</v>
      </c>
    </row>
    <row r="1400" spans="1:14" ht="14.4">
      <c r="A1400" s="3">
        <v>13579</v>
      </c>
      <c r="B1400" s="3">
        <v>13580</v>
      </c>
      <c r="C1400" s="3">
        <v>4116</v>
      </c>
      <c r="D1400" s="3" t="s">
        <v>897</v>
      </c>
      <c r="E1400" s="3" t="s">
        <v>929</v>
      </c>
      <c r="F1400" s="3">
        <v>61427</v>
      </c>
      <c r="G1400" s="3" t="s">
        <v>930</v>
      </c>
      <c r="H1400" s="3" t="s">
        <v>900</v>
      </c>
      <c r="I1400" s="3">
        <v>8025</v>
      </c>
      <c r="J1400" s="3">
        <v>7525</v>
      </c>
      <c r="K1400" s="3">
        <v>500</v>
      </c>
      <c r="L1400" s="3">
        <v>0</v>
      </c>
      <c r="M1400" s="3">
        <v>0</v>
      </c>
      <c r="N1400" s="3">
        <v>0</v>
      </c>
    </row>
    <row r="1401" spans="1:14" ht="14.4">
      <c r="A1401" s="3">
        <v>13579</v>
      </c>
      <c r="B1401" s="3">
        <v>13580</v>
      </c>
      <c r="C1401" s="3">
        <v>4116</v>
      </c>
      <c r="D1401" s="3" t="s">
        <v>897</v>
      </c>
      <c r="E1401" s="3" t="s">
        <v>931</v>
      </c>
      <c r="F1401" s="3">
        <v>60015</v>
      </c>
      <c r="G1401" s="3" t="s">
        <v>902</v>
      </c>
      <c r="H1401" s="3" t="s">
        <v>900</v>
      </c>
      <c r="I1401" s="3">
        <v>4000</v>
      </c>
      <c r="J1401" s="3">
        <v>0</v>
      </c>
      <c r="K1401" s="3">
        <v>4000</v>
      </c>
      <c r="L1401" s="3">
        <v>0</v>
      </c>
      <c r="M1401" s="3">
        <v>0</v>
      </c>
      <c r="N1401" s="3">
        <v>0</v>
      </c>
    </row>
    <row r="1402" spans="1:14" ht="14.4">
      <c r="A1402" s="3">
        <v>13579</v>
      </c>
      <c r="B1402" s="3">
        <v>13580</v>
      </c>
      <c r="C1402" s="3">
        <v>4116</v>
      </c>
      <c r="D1402" s="3" t="s">
        <v>897</v>
      </c>
      <c r="E1402" s="3" t="s">
        <v>932</v>
      </c>
      <c r="F1402" s="3">
        <v>60016</v>
      </c>
      <c r="G1402" s="3" t="s">
        <v>914</v>
      </c>
      <c r="H1402" s="3" t="s">
        <v>900</v>
      </c>
      <c r="I1402" s="3">
        <v>234142</v>
      </c>
      <c r="J1402" s="3">
        <v>187178</v>
      </c>
      <c r="K1402" s="3">
        <v>46964</v>
      </c>
      <c r="L1402" s="3">
        <v>0</v>
      </c>
      <c r="M1402" s="3">
        <v>0</v>
      </c>
      <c r="N1402" s="3">
        <v>0</v>
      </c>
    </row>
    <row r="1403" spans="1:14" ht="14.4">
      <c r="A1403" s="3">
        <v>13579</v>
      </c>
      <c r="B1403" s="3">
        <v>13580</v>
      </c>
      <c r="C1403" s="3">
        <v>4116</v>
      </c>
      <c r="D1403" s="3" t="s">
        <v>897</v>
      </c>
      <c r="E1403" s="3" t="s">
        <v>932</v>
      </c>
      <c r="F1403" s="3">
        <v>60018</v>
      </c>
      <c r="G1403" s="3" t="s">
        <v>914</v>
      </c>
      <c r="H1403" s="3" t="s">
        <v>900</v>
      </c>
      <c r="I1403" s="3">
        <v>190422</v>
      </c>
      <c r="J1403" s="3">
        <v>26740</v>
      </c>
      <c r="K1403" s="3">
        <v>163682</v>
      </c>
      <c r="L1403" s="3">
        <v>0</v>
      </c>
      <c r="M1403" s="3">
        <v>0</v>
      </c>
      <c r="N1403" s="3">
        <v>0</v>
      </c>
    </row>
    <row r="1404" spans="1:14" ht="14.4">
      <c r="A1404" s="3">
        <v>13579</v>
      </c>
      <c r="B1404" s="3">
        <v>13580</v>
      </c>
      <c r="C1404" s="3">
        <v>4116</v>
      </c>
      <c r="D1404" s="3" t="s">
        <v>897</v>
      </c>
      <c r="E1404" s="3" t="s">
        <v>933</v>
      </c>
      <c r="F1404" s="3">
        <v>60419</v>
      </c>
      <c r="G1404" s="3" t="s">
        <v>914</v>
      </c>
      <c r="H1404" s="3" t="s">
        <v>900</v>
      </c>
      <c r="I1404" s="3">
        <v>208072</v>
      </c>
      <c r="J1404" s="3">
        <v>183924</v>
      </c>
      <c r="K1404" s="3">
        <v>24148</v>
      </c>
      <c r="L1404" s="3">
        <v>84700</v>
      </c>
      <c r="M1404" s="3">
        <v>72800</v>
      </c>
      <c r="N1404" s="3">
        <v>6900</v>
      </c>
    </row>
    <row r="1405" spans="1:14" ht="14.4">
      <c r="A1405" s="3">
        <v>13579</v>
      </c>
      <c r="B1405" s="3">
        <v>13580</v>
      </c>
      <c r="C1405" s="3">
        <v>4116</v>
      </c>
      <c r="D1405" s="3" t="s">
        <v>897</v>
      </c>
      <c r="E1405" s="3" t="s">
        <v>934</v>
      </c>
      <c r="F1405" s="3">
        <v>60515</v>
      </c>
      <c r="G1405" s="3" t="s">
        <v>899</v>
      </c>
      <c r="H1405" s="3" t="s">
        <v>900</v>
      </c>
      <c r="I1405" s="3">
        <v>76440</v>
      </c>
      <c r="J1405" s="3">
        <v>38225</v>
      </c>
      <c r="K1405" s="3">
        <v>38215</v>
      </c>
      <c r="L1405" s="3">
        <v>35900</v>
      </c>
      <c r="M1405" s="3">
        <v>35900</v>
      </c>
      <c r="N1405" s="3">
        <v>0</v>
      </c>
    </row>
    <row r="1406" spans="1:14" ht="14.4">
      <c r="A1406" s="3">
        <v>13579</v>
      </c>
      <c r="B1406" s="3">
        <v>13580</v>
      </c>
      <c r="C1406" s="3">
        <v>4116</v>
      </c>
      <c r="D1406" s="3" t="s">
        <v>897</v>
      </c>
      <c r="E1406" s="3" t="s">
        <v>934</v>
      </c>
      <c r="F1406" s="3">
        <v>60516</v>
      </c>
      <c r="G1406" s="3" t="s">
        <v>899</v>
      </c>
      <c r="H1406" s="3" t="s">
        <v>900</v>
      </c>
      <c r="I1406" s="3">
        <v>4878</v>
      </c>
      <c r="J1406" s="3">
        <v>4878</v>
      </c>
      <c r="K1406" s="3">
        <v>0</v>
      </c>
      <c r="L1406" s="3">
        <v>0</v>
      </c>
      <c r="M1406" s="3">
        <v>0</v>
      </c>
      <c r="N1406" s="3">
        <v>0</v>
      </c>
    </row>
    <row r="1407" spans="1:14" ht="14.4">
      <c r="A1407" s="3">
        <v>13579</v>
      </c>
      <c r="B1407" s="3">
        <v>13580</v>
      </c>
      <c r="C1407" s="3">
        <v>4116</v>
      </c>
      <c r="D1407" s="3" t="s">
        <v>897</v>
      </c>
      <c r="E1407" s="3" t="s">
        <v>935</v>
      </c>
      <c r="F1407" s="3">
        <v>60429</v>
      </c>
      <c r="G1407" s="3" t="s">
        <v>914</v>
      </c>
      <c r="H1407" s="3" t="s">
        <v>900</v>
      </c>
      <c r="I1407" s="3">
        <v>47994</v>
      </c>
      <c r="J1407" s="3">
        <v>47994</v>
      </c>
      <c r="K1407" s="3">
        <v>0</v>
      </c>
      <c r="L1407" s="3">
        <v>0</v>
      </c>
      <c r="M1407" s="3">
        <v>0</v>
      </c>
      <c r="N1407" s="3">
        <v>0</v>
      </c>
    </row>
    <row r="1408" spans="1:14" ht="14.4">
      <c r="A1408" s="3">
        <v>13579</v>
      </c>
      <c r="B1408" s="3">
        <v>13580</v>
      </c>
      <c r="C1408" s="3">
        <v>4116</v>
      </c>
      <c r="D1408" s="3" t="s">
        <v>897</v>
      </c>
      <c r="E1408" s="3" t="s">
        <v>936</v>
      </c>
      <c r="F1408" s="3">
        <v>61244</v>
      </c>
      <c r="G1408" s="3" t="s">
        <v>937</v>
      </c>
      <c r="H1408" s="3" t="s">
        <v>900</v>
      </c>
      <c r="I1408" s="3">
        <v>26585</v>
      </c>
      <c r="J1408" s="3">
        <v>24205</v>
      </c>
      <c r="K1408" s="3">
        <v>2380</v>
      </c>
      <c r="L1408" s="3">
        <v>188800</v>
      </c>
      <c r="M1408" s="3">
        <v>11600</v>
      </c>
      <c r="N1408" s="3">
        <v>2400</v>
      </c>
    </row>
    <row r="1409" spans="1:14" ht="14.4">
      <c r="A1409" s="3">
        <v>13579</v>
      </c>
      <c r="B1409" s="3">
        <v>13580</v>
      </c>
      <c r="C1409" s="3">
        <v>4116</v>
      </c>
      <c r="D1409" s="3" t="s">
        <v>897</v>
      </c>
      <c r="E1409" s="3" t="s">
        <v>938</v>
      </c>
      <c r="F1409" s="3">
        <v>60120</v>
      </c>
      <c r="G1409" s="3" t="s">
        <v>906</v>
      </c>
      <c r="H1409" s="3" t="s">
        <v>900</v>
      </c>
      <c r="I1409" s="3">
        <v>20144</v>
      </c>
      <c r="J1409" s="3">
        <v>20144</v>
      </c>
      <c r="K1409" s="3">
        <v>0</v>
      </c>
      <c r="L1409" s="3">
        <v>0</v>
      </c>
      <c r="M1409" s="3">
        <v>0</v>
      </c>
      <c r="N1409" s="3">
        <v>0</v>
      </c>
    </row>
    <row r="1410" spans="1:14" ht="14.4">
      <c r="A1410" s="3">
        <v>13579</v>
      </c>
      <c r="B1410" s="3">
        <v>13580</v>
      </c>
      <c r="C1410" s="3">
        <v>4116</v>
      </c>
      <c r="D1410" s="3" t="s">
        <v>897</v>
      </c>
      <c r="E1410" s="3" t="s">
        <v>115</v>
      </c>
      <c r="F1410" s="3">
        <v>60126</v>
      </c>
      <c r="G1410" s="3" t="s">
        <v>899</v>
      </c>
      <c r="H1410" s="3" t="s">
        <v>900</v>
      </c>
      <c r="I1410" s="3">
        <v>19169</v>
      </c>
      <c r="J1410" s="3">
        <v>9013</v>
      </c>
      <c r="K1410" s="3">
        <v>10156</v>
      </c>
      <c r="L1410" s="3">
        <v>0</v>
      </c>
      <c r="M1410" s="3">
        <v>0</v>
      </c>
      <c r="N1410" s="3">
        <v>0</v>
      </c>
    </row>
    <row r="1411" spans="1:14" ht="14.4">
      <c r="A1411" s="3">
        <v>13579</v>
      </c>
      <c r="B1411" s="3">
        <v>13580</v>
      </c>
      <c r="C1411" s="3">
        <v>4116</v>
      </c>
      <c r="D1411" s="3" t="s">
        <v>897</v>
      </c>
      <c r="E1411" s="3" t="s">
        <v>939</v>
      </c>
      <c r="F1411" s="3">
        <v>60201</v>
      </c>
      <c r="G1411" s="3" t="s">
        <v>914</v>
      </c>
      <c r="H1411" s="3" t="s">
        <v>900</v>
      </c>
      <c r="I1411" s="3">
        <v>28983</v>
      </c>
      <c r="J1411" s="3">
        <v>27083</v>
      </c>
      <c r="K1411" s="3">
        <v>1900</v>
      </c>
      <c r="L1411" s="3">
        <v>0</v>
      </c>
      <c r="M1411" s="3">
        <v>0</v>
      </c>
      <c r="N1411" s="3">
        <v>0</v>
      </c>
    </row>
    <row r="1412" spans="1:14" ht="14.4">
      <c r="A1412" s="3">
        <v>13579</v>
      </c>
      <c r="B1412" s="3">
        <v>13580</v>
      </c>
      <c r="C1412" s="3">
        <v>4116</v>
      </c>
      <c r="D1412" s="3" t="s">
        <v>897</v>
      </c>
      <c r="E1412" s="3" t="s">
        <v>939</v>
      </c>
      <c r="F1412" s="3">
        <v>60202</v>
      </c>
      <c r="G1412" s="3" t="s">
        <v>914</v>
      </c>
      <c r="H1412" s="3" t="s">
        <v>900</v>
      </c>
      <c r="I1412" s="3">
        <v>41970</v>
      </c>
      <c r="J1412" s="3">
        <v>41970</v>
      </c>
      <c r="K1412" s="3">
        <v>0</v>
      </c>
      <c r="L1412" s="3">
        <v>42000</v>
      </c>
      <c r="M1412" s="3">
        <v>42000</v>
      </c>
      <c r="N1412" s="3">
        <v>0</v>
      </c>
    </row>
    <row r="1413" spans="1:14" ht="14.4">
      <c r="A1413" s="3">
        <v>13579</v>
      </c>
      <c r="B1413" s="3">
        <v>13580</v>
      </c>
      <c r="C1413" s="3">
        <v>4116</v>
      </c>
      <c r="D1413" s="3" t="s">
        <v>897</v>
      </c>
      <c r="E1413" s="3" t="s">
        <v>940</v>
      </c>
      <c r="F1413" s="3">
        <v>60805</v>
      </c>
      <c r="G1413" s="3" t="s">
        <v>914</v>
      </c>
      <c r="H1413" s="3" t="s">
        <v>900</v>
      </c>
      <c r="I1413" s="3">
        <v>27631</v>
      </c>
      <c r="J1413" s="3">
        <v>11900</v>
      </c>
      <c r="K1413" s="3">
        <v>15731</v>
      </c>
      <c r="L1413" s="3">
        <v>0</v>
      </c>
      <c r="M1413" s="3">
        <v>0</v>
      </c>
      <c r="N1413" s="3">
        <v>0</v>
      </c>
    </row>
    <row r="1414" spans="1:14" ht="14.4">
      <c r="A1414" s="3">
        <v>13579</v>
      </c>
      <c r="B1414" s="3">
        <v>13580</v>
      </c>
      <c r="C1414" s="3">
        <v>4116</v>
      </c>
      <c r="D1414" s="3" t="s">
        <v>897</v>
      </c>
      <c r="E1414" s="3" t="s">
        <v>941</v>
      </c>
      <c r="F1414" s="3">
        <v>60411</v>
      </c>
      <c r="G1414" s="3" t="s">
        <v>914</v>
      </c>
      <c r="H1414" s="3" t="s">
        <v>900</v>
      </c>
      <c r="I1414" s="3">
        <v>67109</v>
      </c>
      <c r="J1414" s="3">
        <v>60389</v>
      </c>
      <c r="K1414" s="3">
        <v>6720</v>
      </c>
      <c r="L1414" s="3">
        <v>30200</v>
      </c>
      <c r="M1414" s="3">
        <v>28000</v>
      </c>
      <c r="N1414" s="3">
        <v>2200</v>
      </c>
    </row>
    <row r="1415" spans="1:14" ht="14.4">
      <c r="A1415" s="3">
        <v>13579</v>
      </c>
      <c r="B1415" s="3">
        <v>13580</v>
      </c>
      <c r="C1415" s="3">
        <v>4116</v>
      </c>
      <c r="D1415" s="3" t="s">
        <v>897</v>
      </c>
      <c r="E1415" s="3" t="s">
        <v>942</v>
      </c>
      <c r="F1415" s="3">
        <v>60402</v>
      </c>
      <c r="G1415" s="3" t="s">
        <v>914</v>
      </c>
      <c r="H1415" s="3" t="s">
        <v>900</v>
      </c>
      <c r="I1415" s="3">
        <v>130127</v>
      </c>
      <c r="J1415" s="3">
        <v>75126</v>
      </c>
      <c r="K1415" s="3">
        <v>55001</v>
      </c>
      <c r="L1415" s="3">
        <v>0</v>
      </c>
      <c r="M1415" s="3">
        <v>0</v>
      </c>
      <c r="N1415" s="3">
        <v>0</v>
      </c>
    </row>
    <row r="1416" spans="1:14" ht="14.4">
      <c r="A1416" s="3">
        <v>13579</v>
      </c>
      <c r="B1416" s="3">
        <v>13580</v>
      </c>
      <c r="C1416" s="3">
        <v>4116</v>
      </c>
      <c r="D1416" s="3" t="s">
        <v>897</v>
      </c>
      <c r="E1416" s="3" t="s">
        <v>943</v>
      </c>
      <c r="F1416" s="3">
        <v>60020</v>
      </c>
      <c r="G1416" s="3" t="s">
        <v>902</v>
      </c>
      <c r="H1416" s="3" t="s">
        <v>900</v>
      </c>
      <c r="I1416" s="3">
        <v>378547</v>
      </c>
      <c r="J1416" s="3">
        <v>372147</v>
      </c>
      <c r="K1416" s="3">
        <v>6400</v>
      </c>
      <c r="L1416" s="3">
        <v>0</v>
      </c>
      <c r="M1416" s="3">
        <v>0</v>
      </c>
      <c r="N1416" s="3">
        <v>0</v>
      </c>
    </row>
    <row r="1417" spans="1:14" ht="14.4">
      <c r="A1417" s="3">
        <v>13579</v>
      </c>
      <c r="B1417" s="3">
        <v>13580</v>
      </c>
      <c r="C1417" s="3">
        <v>4116</v>
      </c>
      <c r="D1417" s="3" t="s">
        <v>897</v>
      </c>
      <c r="E1417" s="3" t="s">
        <v>944</v>
      </c>
      <c r="F1417" s="3">
        <v>60423</v>
      </c>
      <c r="G1417" s="3" t="s">
        <v>917</v>
      </c>
      <c r="H1417" s="3" t="s">
        <v>900</v>
      </c>
      <c r="I1417" s="3">
        <v>179995</v>
      </c>
      <c r="J1417" s="3">
        <v>28400</v>
      </c>
      <c r="K1417" s="3">
        <v>151595</v>
      </c>
      <c r="L1417" s="3">
        <v>24500</v>
      </c>
      <c r="M1417" s="3">
        <v>2300</v>
      </c>
      <c r="N1417" s="3">
        <v>22200</v>
      </c>
    </row>
    <row r="1418" spans="1:14" ht="14.4">
      <c r="A1418" s="3">
        <v>13579</v>
      </c>
      <c r="B1418" s="3">
        <v>13580</v>
      </c>
      <c r="C1418" s="3">
        <v>4116</v>
      </c>
      <c r="D1418" s="3" t="s">
        <v>897</v>
      </c>
      <c r="E1418" s="3" t="s">
        <v>945</v>
      </c>
      <c r="F1418" s="3">
        <v>61401</v>
      </c>
      <c r="G1418" s="3" t="s">
        <v>946</v>
      </c>
      <c r="H1418" s="3" t="s">
        <v>900</v>
      </c>
      <c r="I1418" s="3">
        <v>30937</v>
      </c>
      <c r="J1418" s="3">
        <v>21977</v>
      </c>
      <c r="K1418" s="3">
        <v>8960</v>
      </c>
      <c r="L1418" s="3">
        <v>6800</v>
      </c>
      <c r="M1418" s="3">
        <v>0</v>
      </c>
      <c r="N1418" s="3">
        <v>6800</v>
      </c>
    </row>
    <row r="1419" spans="1:14" ht="14.4">
      <c r="A1419" s="3">
        <v>13579</v>
      </c>
      <c r="B1419" s="3">
        <v>13580</v>
      </c>
      <c r="C1419" s="3">
        <v>4116</v>
      </c>
      <c r="D1419" s="3" t="s">
        <v>897</v>
      </c>
      <c r="E1419" s="3" t="s">
        <v>947</v>
      </c>
      <c r="F1419" s="3">
        <v>60137</v>
      </c>
      <c r="G1419" s="3" t="s">
        <v>899</v>
      </c>
      <c r="H1419" s="3" t="s">
        <v>900</v>
      </c>
      <c r="I1419" s="3">
        <v>47144</v>
      </c>
      <c r="J1419" s="3">
        <v>38444</v>
      </c>
      <c r="K1419" s="3">
        <v>8700</v>
      </c>
      <c r="L1419" s="3">
        <v>46200</v>
      </c>
      <c r="M1419" s="3">
        <v>38500</v>
      </c>
      <c r="N1419" s="3">
        <v>7700</v>
      </c>
    </row>
    <row r="1420" spans="1:14" ht="14.4">
      <c r="A1420" s="3">
        <v>13579</v>
      </c>
      <c r="B1420" s="3">
        <v>13580</v>
      </c>
      <c r="C1420" s="3">
        <v>4116</v>
      </c>
      <c r="D1420" s="3" t="s">
        <v>897</v>
      </c>
      <c r="E1420" s="3" t="s">
        <v>948</v>
      </c>
      <c r="F1420" s="3">
        <v>60025</v>
      </c>
      <c r="G1420" s="3" t="s">
        <v>914</v>
      </c>
      <c r="H1420" s="3" t="s">
        <v>900</v>
      </c>
      <c r="I1420" s="3">
        <v>10939</v>
      </c>
      <c r="J1420" s="3">
        <v>248</v>
      </c>
      <c r="K1420" s="3">
        <v>10691</v>
      </c>
      <c r="L1420" s="3">
        <v>0</v>
      </c>
      <c r="M1420" s="3">
        <v>0</v>
      </c>
      <c r="N1420" s="3">
        <v>0</v>
      </c>
    </row>
    <row r="1421" spans="1:14" ht="14.4">
      <c r="A1421" s="3">
        <v>13579</v>
      </c>
      <c r="B1421" s="3">
        <v>13580</v>
      </c>
      <c r="C1421" s="3">
        <v>4116</v>
      </c>
      <c r="D1421" s="3" t="s">
        <v>897</v>
      </c>
      <c r="E1421" s="3" t="s">
        <v>949</v>
      </c>
      <c r="F1421" s="3">
        <v>60425</v>
      </c>
      <c r="G1421" s="3" t="s">
        <v>914</v>
      </c>
      <c r="H1421" s="3" t="s">
        <v>900</v>
      </c>
      <c r="I1421" s="3">
        <v>11964</v>
      </c>
      <c r="J1421" s="3">
        <v>11364</v>
      </c>
      <c r="K1421" s="3">
        <v>600</v>
      </c>
      <c r="L1421" s="3">
        <v>12000</v>
      </c>
      <c r="M1421" s="3">
        <v>11400</v>
      </c>
      <c r="N1421" s="3">
        <v>600</v>
      </c>
    </row>
    <row r="1422" spans="1:14" ht="14.4">
      <c r="A1422" s="3">
        <v>13579</v>
      </c>
      <c r="B1422" s="3">
        <v>13580</v>
      </c>
      <c r="C1422" s="3">
        <v>4116</v>
      </c>
      <c r="D1422" s="3" t="s">
        <v>897</v>
      </c>
      <c r="E1422" s="3" t="s">
        <v>950</v>
      </c>
      <c r="F1422" s="3">
        <v>60426</v>
      </c>
      <c r="G1422" s="3" t="s">
        <v>914</v>
      </c>
      <c r="H1422" s="3" t="s">
        <v>900</v>
      </c>
      <c r="I1422" s="3">
        <v>188968</v>
      </c>
      <c r="J1422" s="3">
        <v>175215</v>
      </c>
      <c r="K1422" s="3">
        <v>13753</v>
      </c>
      <c r="L1422" s="3">
        <v>113200</v>
      </c>
      <c r="M1422" s="3">
        <v>101800</v>
      </c>
      <c r="N1422" s="3">
        <v>10200</v>
      </c>
    </row>
    <row r="1423" spans="1:14" ht="14.4">
      <c r="A1423" s="3">
        <v>13579</v>
      </c>
      <c r="B1423" s="3">
        <v>13580</v>
      </c>
      <c r="C1423" s="3">
        <v>4116</v>
      </c>
      <c r="D1423" s="3" t="s">
        <v>897</v>
      </c>
      <c r="E1423" s="3" t="s">
        <v>951</v>
      </c>
      <c r="F1423" s="3">
        <v>60429</v>
      </c>
      <c r="G1423" s="3" t="s">
        <v>914</v>
      </c>
      <c r="H1423" s="3" t="s">
        <v>900</v>
      </c>
      <c r="I1423" s="3">
        <v>30868</v>
      </c>
      <c r="J1423" s="3">
        <v>29368</v>
      </c>
      <c r="K1423" s="3">
        <v>1500</v>
      </c>
      <c r="L1423" s="3">
        <v>30900</v>
      </c>
      <c r="M1423" s="3">
        <v>29400</v>
      </c>
      <c r="N1423" s="3">
        <v>1500</v>
      </c>
    </row>
    <row r="1424" spans="1:14" ht="14.4">
      <c r="A1424" s="3">
        <v>13579</v>
      </c>
      <c r="B1424" s="3">
        <v>13580</v>
      </c>
      <c r="C1424" s="3">
        <v>4116</v>
      </c>
      <c r="D1424" s="3" t="s">
        <v>897</v>
      </c>
      <c r="E1424" s="3" t="s">
        <v>545</v>
      </c>
      <c r="F1424" s="3">
        <v>60162</v>
      </c>
      <c r="G1424" s="3" t="s">
        <v>914</v>
      </c>
      <c r="H1424" s="3" t="s">
        <v>900</v>
      </c>
      <c r="I1424" s="3">
        <v>46865</v>
      </c>
      <c r="J1424" s="3">
        <v>11015</v>
      </c>
      <c r="K1424" s="3">
        <v>35850</v>
      </c>
      <c r="L1424" s="3">
        <v>0</v>
      </c>
      <c r="M1424" s="3">
        <v>0</v>
      </c>
      <c r="N1424" s="3">
        <v>0</v>
      </c>
    </row>
    <row r="1425" spans="1:14" ht="14.4">
      <c r="A1425" s="3">
        <v>13579</v>
      </c>
      <c r="B1425" s="3">
        <v>13580</v>
      </c>
      <c r="C1425" s="3">
        <v>4116</v>
      </c>
      <c r="D1425" s="3" t="s">
        <v>897</v>
      </c>
      <c r="E1425" s="3" t="s">
        <v>952</v>
      </c>
      <c r="F1425" s="3">
        <v>60521</v>
      </c>
      <c r="G1425" s="3" t="s">
        <v>899</v>
      </c>
      <c r="H1425" s="3" t="s">
        <v>900</v>
      </c>
      <c r="I1425" s="3">
        <v>28921</v>
      </c>
      <c r="J1425" s="3">
        <v>24421</v>
      </c>
      <c r="K1425" s="3">
        <v>4500</v>
      </c>
      <c r="L1425" s="3">
        <v>29000</v>
      </c>
      <c r="M1425" s="3">
        <v>24500</v>
      </c>
      <c r="N1425" s="3">
        <v>4500</v>
      </c>
    </row>
    <row r="1426" spans="1:14" ht="14.4">
      <c r="A1426" s="3">
        <v>13579</v>
      </c>
      <c r="B1426" s="3">
        <v>13580</v>
      </c>
      <c r="C1426" s="3">
        <v>4116</v>
      </c>
      <c r="D1426" s="3" t="s">
        <v>897</v>
      </c>
      <c r="E1426" s="3" t="s">
        <v>953</v>
      </c>
      <c r="F1426" s="3">
        <v>60430</v>
      </c>
      <c r="G1426" s="3" t="s">
        <v>914</v>
      </c>
      <c r="H1426" s="3" t="s">
        <v>900</v>
      </c>
      <c r="I1426" s="3">
        <v>276508</v>
      </c>
      <c r="J1426" s="3">
        <v>231908</v>
      </c>
      <c r="K1426" s="3">
        <v>44600</v>
      </c>
      <c r="L1426" s="3">
        <v>0</v>
      </c>
      <c r="M1426" s="3">
        <v>0</v>
      </c>
      <c r="N1426" s="3">
        <v>0</v>
      </c>
    </row>
    <row r="1427" spans="1:14" ht="14.4">
      <c r="A1427" s="3">
        <v>13579</v>
      </c>
      <c r="B1427" s="3">
        <v>13580</v>
      </c>
      <c r="C1427" s="3">
        <v>4116</v>
      </c>
      <c r="D1427" s="3" t="s">
        <v>897</v>
      </c>
      <c r="E1427" s="3" t="s">
        <v>954</v>
      </c>
      <c r="F1427" s="3">
        <v>60041</v>
      </c>
      <c r="G1427" s="3" t="s">
        <v>902</v>
      </c>
      <c r="H1427" s="3" t="s">
        <v>900</v>
      </c>
      <c r="I1427" s="3">
        <v>182352</v>
      </c>
      <c r="J1427" s="3">
        <v>169567</v>
      </c>
      <c r="K1427" s="3">
        <v>12785</v>
      </c>
      <c r="L1427" s="3">
        <v>0</v>
      </c>
      <c r="M1427" s="3">
        <v>0</v>
      </c>
      <c r="N1427" s="3">
        <v>0</v>
      </c>
    </row>
    <row r="1428" spans="1:14" ht="14.4">
      <c r="A1428" s="3">
        <v>13579</v>
      </c>
      <c r="B1428" s="3">
        <v>13580</v>
      </c>
      <c r="C1428" s="3">
        <v>4116</v>
      </c>
      <c r="D1428" s="3" t="s">
        <v>897</v>
      </c>
      <c r="E1428" s="3" t="s">
        <v>955</v>
      </c>
      <c r="F1428" s="3">
        <v>60431</v>
      </c>
      <c r="G1428" s="3" t="s">
        <v>917</v>
      </c>
      <c r="H1428" s="3" t="s">
        <v>900</v>
      </c>
      <c r="I1428" s="3">
        <v>40236</v>
      </c>
      <c r="J1428" s="3">
        <v>36536</v>
      </c>
      <c r="K1428" s="3">
        <v>3700</v>
      </c>
      <c r="L1428" s="3">
        <v>40300</v>
      </c>
      <c r="M1428" s="3">
        <v>36600</v>
      </c>
      <c r="N1428" s="3">
        <v>3700</v>
      </c>
    </row>
    <row r="1429" spans="1:14" ht="14.4">
      <c r="A1429" s="3">
        <v>13579</v>
      </c>
      <c r="B1429" s="3">
        <v>13580</v>
      </c>
      <c r="C1429" s="3">
        <v>4116</v>
      </c>
      <c r="D1429" s="3" t="s">
        <v>897</v>
      </c>
      <c r="E1429" s="3" t="s">
        <v>955</v>
      </c>
      <c r="F1429" s="3">
        <v>60432</v>
      </c>
      <c r="G1429" s="3" t="s">
        <v>917</v>
      </c>
      <c r="H1429" s="3" t="s">
        <v>900</v>
      </c>
      <c r="I1429" s="3">
        <v>15234</v>
      </c>
      <c r="J1429" s="3">
        <v>11668</v>
      </c>
      <c r="K1429" s="3">
        <v>3566</v>
      </c>
      <c r="L1429" s="3">
        <v>7900</v>
      </c>
      <c r="M1429" s="3">
        <v>4400</v>
      </c>
      <c r="N1429" s="3">
        <v>3500</v>
      </c>
    </row>
    <row r="1430" spans="1:14" ht="14.4">
      <c r="A1430" s="3">
        <v>13579</v>
      </c>
      <c r="B1430" s="3">
        <v>13580</v>
      </c>
      <c r="C1430" s="3">
        <v>4116</v>
      </c>
      <c r="D1430" s="3" t="s">
        <v>897</v>
      </c>
      <c r="E1430" s="3" t="s">
        <v>923</v>
      </c>
      <c r="F1430" s="3">
        <v>61301</v>
      </c>
      <c r="G1430" s="3" t="s">
        <v>923</v>
      </c>
      <c r="H1430" s="3" t="s">
        <v>900</v>
      </c>
      <c r="I1430" s="3">
        <v>45194</v>
      </c>
      <c r="J1430" s="3">
        <v>45194</v>
      </c>
      <c r="K1430" s="3">
        <v>0</v>
      </c>
      <c r="L1430" s="3">
        <v>21400</v>
      </c>
      <c r="M1430" s="3">
        <v>21400</v>
      </c>
      <c r="N1430" s="3">
        <v>0</v>
      </c>
    </row>
    <row r="1431" spans="1:14" ht="14.4">
      <c r="A1431" s="3">
        <v>13579</v>
      </c>
      <c r="B1431" s="3">
        <v>13580</v>
      </c>
      <c r="C1431" s="3">
        <v>4116</v>
      </c>
      <c r="D1431" s="3" t="s">
        <v>897</v>
      </c>
      <c r="E1431" s="3" t="s">
        <v>956</v>
      </c>
      <c r="F1431" s="3">
        <v>61542</v>
      </c>
      <c r="G1431" s="3" t="s">
        <v>930</v>
      </c>
      <c r="H1431" s="3" t="s">
        <v>900</v>
      </c>
      <c r="I1431" s="3">
        <v>0</v>
      </c>
      <c r="J1431" s="3">
        <v>0</v>
      </c>
      <c r="K1431" s="3">
        <v>0</v>
      </c>
      <c r="L1431" s="3">
        <v>5000</v>
      </c>
      <c r="M1431" s="3">
        <v>0</v>
      </c>
      <c r="N1431" s="3">
        <v>0</v>
      </c>
    </row>
    <row r="1432" spans="1:14" ht="14.4">
      <c r="A1432" s="3">
        <v>13579</v>
      </c>
      <c r="B1432" s="3">
        <v>13580</v>
      </c>
      <c r="C1432" s="3">
        <v>4116</v>
      </c>
      <c r="D1432" s="3" t="s">
        <v>897</v>
      </c>
      <c r="E1432" s="3" t="s">
        <v>957</v>
      </c>
      <c r="F1432" s="3">
        <v>60712</v>
      </c>
      <c r="G1432" s="3" t="s">
        <v>914</v>
      </c>
      <c r="H1432" s="3" t="s">
        <v>900</v>
      </c>
      <c r="I1432" s="3">
        <v>145925</v>
      </c>
      <c r="J1432" s="3">
        <v>120616</v>
      </c>
      <c r="K1432" s="3">
        <v>25309</v>
      </c>
      <c r="L1432" s="3">
        <v>146000</v>
      </c>
      <c r="M1432" s="3">
        <v>120700</v>
      </c>
      <c r="N1432" s="3">
        <v>25300</v>
      </c>
    </row>
    <row r="1433" spans="1:14" ht="14.4">
      <c r="A1433" s="3">
        <v>13579</v>
      </c>
      <c r="B1433" s="3">
        <v>13580</v>
      </c>
      <c r="C1433" s="3">
        <v>4116</v>
      </c>
      <c r="D1433" s="3" t="s">
        <v>897</v>
      </c>
      <c r="E1433" s="3" t="s">
        <v>958</v>
      </c>
      <c r="F1433" s="3">
        <v>60532</v>
      </c>
      <c r="G1433" s="3" t="s">
        <v>899</v>
      </c>
      <c r="H1433" s="3" t="s">
        <v>900</v>
      </c>
      <c r="I1433" s="3">
        <v>2067462</v>
      </c>
      <c r="J1433" s="3">
        <v>444746</v>
      </c>
      <c r="K1433" s="3">
        <v>1622716</v>
      </c>
      <c r="L1433" s="3">
        <v>723100</v>
      </c>
      <c r="M1433" s="3">
        <v>93400</v>
      </c>
      <c r="N1433" s="3">
        <v>629700</v>
      </c>
    </row>
    <row r="1434" spans="1:14" ht="14.4">
      <c r="A1434" s="3">
        <v>13579</v>
      </c>
      <c r="B1434" s="3">
        <v>13580</v>
      </c>
      <c r="C1434" s="3">
        <v>4116</v>
      </c>
      <c r="D1434" s="3" t="s">
        <v>897</v>
      </c>
      <c r="E1434" s="3" t="s">
        <v>959</v>
      </c>
      <c r="F1434" s="3">
        <v>60148</v>
      </c>
      <c r="G1434" s="3" t="s">
        <v>899</v>
      </c>
      <c r="H1434" s="3" t="s">
        <v>900</v>
      </c>
      <c r="I1434" s="3">
        <v>20230</v>
      </c>
      <c r="J1434" s="3">
        <v>20230</v>
      </c>
      <c r="K1434" s="3">
        <v>0</v>
      </c>
      <c r="L1434" s="3">
        <v>20200</v>
      </c>
      <c r="M1434" s="3">
        <v>20200</v>
      </c>
      <c r="N1434" s="3">
        <v>0</v>
      </c>
    </row>
    <row r="1435" spans="1:14" ht="14.4">
      <c r="A1435" s="3">
        <v>13579</v>
      </c>
      <c r="B1435" s="3">
        <v>13580</v>
      </c>
      <c r="C1435" s="3">
        <v>4116</v>
      </c>
      <c r="D1435" s="3" t="s">
        <v>897</v>
      </c>
      <c r="E1435" s="3" t="s">
        <v>960</v>
      </c>
      <c r="F1435" s="3">
        <v>60534</v>
      </c>
      <c r="G1435" s="3" t="s">
        <v>914</v>
      </c>
      <c r="H1435" s="3" t="s">
        <v>900</v>
      </c>
      <c r="I1435" s="3">
        <v>52715</v>
      </c>
      <c r="J1435" s="3">
        <v>51615</v>
      </c>
      <c r="K1435" s="3">
        <v>1100</v>
      </c>
      <c r="L1435" s="3">
        <v>52300</v>
      </c>
      <c r="M1435" s="3">
        <v>51600</v>
      </c>
      <c r="N1435" s="3">
        <v>700</v>
      </c>
    </row>
    <row r="1436" spans="1:14" ht="14.4">
      <c r="A1436" s="3">
        <v>13579</v>
      </c>
      <c r="B1436" s="3">
        <v>13580</v>
      </c>
      <c r="C1436" s="3">
        <v>4116</v>
      </c>
      <c r="D1436" s="3" t="s">
        <v>897</v>
      </c>
      <c r="E1436" s="3" t="s">
        <v>961</v>
      </c>
      <c r="F1436" s="3">
        <v>61455</v>
      </c>
      <c r="G1436" s="3" t="s">
        <v>962</v>
      </c>
      <c r="H1436" s="3" t="s">
        <v>900</v>
      </c>
      <c r="I1436" s="3">
        <v>124807</v>
      </c>
      <c r="J1436" s="3">
        <v>116157</v>
      </c>
      <c r="K1436" s="3">
        <v>8650</v>
      </c>
      <c r="L1436" s="3">
        <v>34200</v>
      </c>
      <c r="M1436" s="3">
        <v>33400</v>
      </c>
      <c r="N1436" s="3">
        <v>800</v>
      </c>
    </row>
    <row r="1437" spans="1:14" ht="14.4">
      <c r="A1437" s="3">
        <v>13579</v>
      </c>
      <c r="B1437" s="3">
        <v>13580</v>
      </c>
      <c r="C1437" s="3">
        <v>4116</v>
      </c>
      <c r="D1437" s="3" t="s">
        <v>897</v>
      </c>
      <c r="E1437" s="3" t="s">
        <v>963</v>
      </c>
      <c r="F1437" s="3">
        <v>61319</v>
      </c>
      <c r="G1437" s="3" t="s">
        <v>592</v>
      </c>
      <c r="H1437" s="3" t="s">
        <v>900</v>
      </c>
      <c r="I1437" s="3">
        <v>111437</v>
      </c>
      <c r="J1437" s="3">
        <v>109437</v>
      </c>
      <c r="K1437" s="3">
        <v>2000</v>
      </c>
      <c r="L1437" s="3">
        <v>0</v>
      </c>
      <c r="M1437" s="3">
        <v>0</v>
      </c>
      <c r="N1437" s="3">
        <v>0</v>
      </c>
    </row>
    <row r="1438" spans="1:14" ht="14.4">
      <c r="A1438" s="3">
        <v>13579</v>
      </c>
      <c r="B1438" s="3">
        <v>13580</v>
      </c>
      <c r="C1438" s="3">
        <v>4116</v>
      </c>
      <c r="D1438" s="3" t="s">
        <v>897</v>
      </c>
      <c r="E1438" s="3" t="s">
        <v>964</v>
      </c>
      <c r="F1438" s="3">
        <v>60428</v>
      </c>
      <c r="G1438" s="3" t="s">
        <v>914</v>
      </c>
      <c r="H1438" s="3" t="s">
        <v>900</v>
      </c>
      <c r="I1438" s="3">
        <v>17545</v>
      </c>
      <c r="J1438" s="3">
        <v>13875</v>
      </c>
      <c r="K1438" s="3">
        <v>3670</v>
      </c>
      <c r="L1438" s="3">
        <v>0</v>
      </c>
      <c r="M1438" s="3">
        <v>0</v>
      </c>
      <c r="N1438" s="3">
        <v>0</v>
      </c>
    </row>
    <row r="1439" spans="1:14" ht="14.4">
      <c r="A1439" s="3">
        <v>13579</v>
      </c>
      <c r="B1439" s="3">
        <v>13580</v>
      </c>
      <c r="C1439" s="3">
        <v>4116</v>
      </c>
      <c r="D1439" s="3" t="s">
        <v>897</v>
      </c>
      <c r="E1439" s="3" t="s">
        <v>965</v>
      </c>
      <c r="F1439" s="3">
        <v>61341</v>
      </c>
      <c r="G1439" s="3" t="s">
        <v>923</v>
      </c>
      <c r="H1439" s="3" t="s">
        <v>900</v>
      </c>
      <c r="I1439" s="3">
        <v>518751</v>
      </c>
      <c r="J1439" s="3">
        <v>452701</v>
      </c>
      <c r="K1439" s="3">
        <v>66050</v>
      </c>
      <c r="L1439" s="3">
        <v>165700</v>
      </c>
      <c r="M1439" s="3">
        <v>141000</v>
      </c>
      <c r="N1439" s="3">
        <v>15100</v>
      </c>
    </row>
    <row r="1440" spans="1:14" ht="14.4">
      <c r="A1440" s="3">
        <v>13579</v>
      </c>
      <c r="B1440" s="3">
        <v>13580</v>
      </c>
      <c r="C1440" s="3">
        <v>4116</v>
      </c>
      <c r="D1440" s="3" t="s">
        <v>897</v>
      </c>
      <c r="E1440" s="3" t="s">
        <v>966</v>
      </c>
      <c r="F1440" s="3">
        <v>60443</v>
      </c>
      <c r="G1440" s="3" t="s">
        <v>914</v>
      </c>
      <c r="H1440" s="3" t="s">
        <v>900</v>
      </c>
      <c r="I1440" s="3">
        <v>183015</v>
      </c>
      <c r="J1440" s="3">
        <v>173427</v>
      </c>
      <c r="K1440" s="3">
        <v>9588</v>
      </c>
      <c r="L1440" s="3">
        <v>0</v>
      </c>
      <c r="M1440" s="3">
        <v>0</v>
      </c>
      <c r="N1440" s="3">
        <v>0</v>
      </c>
    </row>
    <row r="1441" spans="1:14" ht="14.4">
      <c r="A1441" s="3">
        <v>13579</v>
      </c>
      <c r="B1441" s="3">
        <v>13580</v>
      </c>
      <c r="C1441" s="3">
        <v>4116</v>
      </c>
      <c r="D1441" s="3" t="s">
        <v>897</v>
      </c>
      <c r="E1441" s="3" t="s">
        <v>617</v>
      </c>
      <c r="F1441" s="3">
        <v>60153</v>
      </c>
      <c r="G1441" s="3" t="s">
        <v>914</v>
      </c>
      <c r="H1441" s="3" t="s">
        <v>900</v>
      </c>
      <c r="I1441" s="3">
        <v>199564</v>
      </c>
      <c r="J1441" s="3">
        <v>147399</v>
      </c>
      <c r="K1441" s="3">
        <v>52165</v>
      </c>
      <c r="L1441" s="3">
        <v>54400</v>
      </c>
      <c r="M1441" s="3">
        <v>17400</v>
      </c>
      <c r="N1441" s="3">
        <v>37000</v>
      </c>
    </row>
    <row r="1442" spans="1:14" ht="14.4">
      <c r="A1442" s="3">
        <v>13579</v>
      </c>
      <c r="B1442" s="3">
        <v>13580</v>
      </c>
      <c r="C1442" s="3">
        <v>4116</v>
      </c>
      <c r="D1442" s="3" t="s">
        <v>897</v>
      </c>
      <c r="E1442" s="3" t="s">
        <v>967</v>
      </c>
      <c r="F1442" s="3">
        <v>60160</v>
      </c>
      <c r="G1442" s="3" t="s">
        <v>914</v>
      </c>
      <c r="H1442" s="3" t="s">
        <v>900</v>
      </c>
      <c r="I1442" s="3">
        <v>126404</v>
      </c>
      <c r="J1442" s="3">
        <v>123204</v>
      </c>
      <c r="K1442" s="3">
        <v>3200</v>
      </c>
      <c r="L1442" s="3">
        <v>104700</v>
      </c>
      <c r="M1442" s="3">
        <v>101500</v>
      </c>
      <c r="N1442" s="3">
        <v>3200</v>
      </c>
    </row>
    <row r="1443" spans="1:14" ht="14.4">
      <c r="A1443" s="3">
        <v>13579</v>
      </c>
      <c r="B1443" s="3">
        <v>13580</v>
      </c>
      <c r="C1443" s="3">
        <v>4116</v>
      </c>
      <c r="D1443" s="3" t="s">
        <v>897</v>
      </c>
      <c r="E1443" s="3" t="s">
        <v>968</v>
      </c>
      <c r="F1443" s="3">
        <v>61264</v>
      </c>
      <c r="G1443" s="3" t="s">
        <v>937</v>
      </c>
      <c r="H1443" s="3" t="s">
        <v>900</v>
      </c>
      <c r="I1443" s="3">
        <v>44546</v>
      </c>
      <c r="J1443" s="3">
        <v>42846</v>
      </c>
      <c r="K1443" s="3">
        <v>1700</v>
      </c>
      <c r="L1443" s="3">
        <v>0</v>
      </c>
      <c r="M1443" s="3">
        <v>0</v>
      </c>
      <c r="N1443" s="3">
        <v>0</v>
      </c>
    </row>
    <row r="1444" spans="1:14" ht="14.4">
      <c r="A1444" s="3">
        <v>13579</v>
      </c>
      <c r="B1444" s="3">
        <v>13580</v>
      </c>
      <c r="C1444" s="3">
        <v>4116</v>
      </c>
      <c r="D1444" s="3" t="s">
        <v>897</v>
      </c>
      <c r="E1444" s="3" t="s">
        <v>969</v>
      </c>
      <c r="F1444" s="3">
        <v>60447</v>
      </c>
      <c r="G1444" s="3" t="s">
        <v>970</v>
      </c>
      <c r="H1444" s="3" t="s">
        <v>900</v>
      </c>
      <c r="I1444" s="3">
        <v>8054</v>
      </c>
      <c r="J1444" s="3">
        <v>3934</v>
      </c>
      <c r="K1444" s="3">
        <v>4120</v>
      </c>
      <c r="L1444" s="3">
        <v>8100</v>
      </c>
      <c r="M1444" s="3">
        <v>4000</v>
      </c>
      <c r="N1444" s="3">
        <v>4100</v>
      </c>
    </row>
    <row r="1445" spans="1:14" ht="14.4">
      <c r="A1445" s="3">
        <v>13579</v>
      </c>
      <c r="B1445" s="3">
        <v>13580</v>
      </c>
      <c r="C1445" s="3">
        <v>4116</v>
      </c>
      <c r="D1445" s="3" t="s">
        <v>897</v>
      </c>
      <c r="E1445" s="3" t="s">
        <v>441</v>
      </c>
      <c r="F1445" s="3">
        <v>60450</v>
      </c>
      <c r="G1445" s="3" t="s">
        <v>970</v>
      </c>
      <c r="H1445" s="3" t="s">
        <v>900</v>
      </c>
      <c r="I1445" s="3">
        <v>105138</v>
      </c>
      <c r="J1445" s="3">
        <v>75342</v>
      </c>
      <c r="K1445" s="3">
        <v>29796</v>
      </c>
      <c r="L1445" s="3">
        <v>0</v>
      </c>
      <c r="M1445" s="3">
        <v>0</v>
      </c>
      <c r="N1445" s="3">
        <v>0</v>
      </c>
    </row>
    <row r="1446" spans="1:14" ht="14.4">
      <c r="A1446" s="3">
        <v>13579</v>
      </c>
      <c r="B1446" s="3">
        <v>13580</v>
      </c>
      <c r="C1446" s="3">
        <v>4116</v>
      </c>
      <c r="D1446" s="3" t="s">
        <v>897</v>
      </c>
      <c r="E1446" s="3" t="s">
        <v>971</v>
      </c>
      <c r="F1446" s="3">
        <v>60060</v>
      </c>
      <c r="G1446" s="3" t="s">
        <v>902</v>
      </c>
      <c r="H1446" s="3" t="s">
        <v>900</v>
      </c>
      <c r="I1446" s="3">
        <v>200313</v>
      </c>
      <c r="J1446" s="3">
        <v>200313</v>
      </c>
      <c r="K1446" s="3">
        <v>0</v>
      </c>
      <c r="L1446" s="3">
        <v>0</v>
      </c>
      <c r="M1446" s="3">
        <v>0</v>
      </c>
      <c r="N1446" s="3">
        <v>0</v>
      </c>
    </row>
    <row r="1447" spans="1:14" ht="14.4">
      <c r="A1447" s="3">
        <v>13579</v>
      </c>
      <c r="B1447" s="3">
        <v>13580</v>
      </c>
      <c r="C1447" s="3">
        <v>4116</v>
      </c>
      <c r="D1447" s="3" t="s">
        <v>897</v>
      </c>
      <c r="E1447" s="3" t="s">
        <v>972</v>
      </c>
      <c r="F1447" s="3">
        <v>60540</v>
      </c>
      <c r="G1447" s="3" t="s">
        <v>899</v>
      </c>
      <c r="H1447" s="3" t="s">
        <v>900</v>
      </c>
      <c r="I1447" s="3">
        <v>45288</v>
      </c>
      <c r="J1447" s="3">
        <v>36318</v>
      </c>
      <c r="K1447" s="3">
        <v>8970</v>
      </c>
      <c r="L1447" s="3">
        <v>0</v>
      </c>
      <c r="M1447" s="3">
        <v>0</v>
      </c>
      <c r="N1447" s="3">
        <v>0</v>
      </c>
    </row>
    <row r="1448" spans="1:14" ht="14.4">
      <c r="A1448" s="3">
        <v>13579</v>
      </c>
      <c r="B1448" s="3">
        <v>13580</v>
      </c>
      <c r="C1448" s="3">
        <v>4116</v>
      </c>
      <c r="D1448" s="3" t="s">
        <v>897</v>
      </c>
      <c r="E1448" s="3" t="s">
        <v>972</v>
      </c>
      <c r="F1448" s="3">
        <v>60563</v>
      </c>
      <c r="G1448" s="3" t="s">
        <v>899</v>
      </c>
      <c r="H1448" s="3" t="s">
        <v>900</v>
      </c>
      <c r="I1448" s="3">
        <v>58597</v>
      </c>
      <c r="J1448" s="3">
        <v>54767</v>
      </c>
      <c r="K1448" s="3">
        <v>3830</v>
      </c>
      <c r="L1448" s="3">
        <v>52000</v>
      </c>
      <c r="M1448" s="3">
        <v>52000</v>
      </c>
      <c r="N1448" s="3">
        <v>0</v>
      </c>
    </row>
    <row r="1449" spans="1:14" ht="14.4">
      <c r="A1449" s="3">
        <v>13579</v>
      </c>
      <c r="B1449" s="3">
        <v>13580</v>
      </c>
      <c r="C1449" s="3">
        <v>4116</v>
      </c>
      <c r="D1449" s="3" t="s">
        <v>897</v>
      </c>
      <c r="E1449" s="3" t="s">
        <v>654</v>
      </c>
      <c r="F1449" s="3">
        <v>60541</v>
      </c>
      <c r="G1449" s="3" t="s">
        <v>973</v>
      </c>
      <c r="H1449" s="3" t="s">
        <v>900</v>
      </c>
      <c r="I1449" s="3">
        <v>12803</v>
      </c>
      <c r="J1449" s="3">
        <v>12803</v>
      </c>
      <c r="K1449" s="3">
        <v>0</v>
      </c>
      <c r="L1449" s="3">
        <v>0</v>
      </c>
      <c r="M1449" s="3">
        <v>0</v>
      </c>
      <c r="N1449" s="3">
        <v>0</v>
      </c>
    </row>
    <row r="1450" spans="1:14" ht="14.4">
      <c r="A1450" s="3">
        <v>13579</v>
      </c>
      <c r="B1450" s="3">
        <v>13580</v>
      </c>
      <c r="C1450" s="3">
        <v>4116</v>
      </c>
      <c r="D1450" s="3" t="s">
        <v>897</v>
      </c>
      <c r="E1450" s="3" t="s">
        <v>974</v>
      </c>
      <c r="F1450" s="3">
        <v>60064</v>
      </c>
      <c r="G1450" s="3" t="s">
        <v>902</v>
      </c>
      <c r="H1450" s="3" t="s">
        <v>900</v>
      </c>
      <c r="I1450" s="3">
        <v>125260</v>
      </c>
      <c r="J1450" s="3">
        <v>104595</v>
      </c>
      <c r="K1450" s="3">
        <v>20665</v>
      </c>
      <c r="L1450" s="3">
        <v>106300</v>
      </c>
      <c r="M1450" s="3">
        <v>88200</v>
      </c>
      <c r="N1450" s="3">
        <v>18100</v>
      </c>
    </row>
    <row r="1451" spans="1:14" ht="14.4">
      <c r="A1451" s="3">
        <v>13579</v>
      </c>
      <c r="B1451" s="3">
        <v>13580</v>
      </c>
      <c r="C1451" s="3">
        <v>4116</v>
      </c>
      <c r="D1451" s="3" t="s">
        <v>897</v>
      </c>
      <c r="E1451" s="3" t="s">
        <v>975</v>
      </c>
      <c r="F1451" s="3">
        <v>60452</v>
      </c>
      <c r="G1451" s="3" t="s">
        <v>914</v>
      </c>
      <c r="H1451" s="3" t="s">
        <v>900</v>
      </c>
      <c r="I1451" s="3">
        <v>58114</v>
      </c>
      <c r="J1451" s="3">
        <v>58114</v>
      </c>
      <c r="K1451" s="3">
        <v>0</v>
      </c>
      <c r="L1451" s="3">
        <v>58200</v>
      </c>
      <c r="M1451" s="3">
        <v>58200</v>
      </c>
      <c r="N1451" s="3">
        <v>0</v>
      </c>
    </row>
    <row r="1452" spans="1:14" ht="14.4">
      <c r="A1452" s="3">
        <v>13579</v>
      </c>
      <c r="B1452" s="3">
        <v>13580</v>
      </c>
      <c r="C1452" s="3">
        <v>4116</v>
      </c>
      <c r="D1452" s="3" t="s">
        <v>897</v>
      </c>
      <c r="E1452" s="3" t="s">
        <v>976</v>
      </c>
      <c r="F1452" s="3">
        <v>60543</v>
      </c>
      <c r="G1452" s="3" t="s">
        <v>973</v>
      </c>
      <c r="H1452" s="3" t="s">
        <v>900</v>
      </c>
      <c r="I1452" s="3">
        <v>26280</v>
      </c>
      <c r="J1452" s="3">
        <v>23555</v>
      </c>
      <c r="K1452" s="3">
        <v>2725</v>
      </c>
      <c r="L1452" s="3">
        <v>26300</v>
      </c>
      <c r="M1452" s="3">
        <v>23600</v>
      </c>
      <c r="N1452" s="3">
        <v>2700</v>
      </c>
    </row>
    <row r="1453" spans="1:14" ht="14.4">
      <c r="A1453" s="3">
        <v>13579</v>
      </c>
      <c r="B1453" s="3">
        <v>13580</v>
      </c>
      <c r="C1453" s="3">
        <v>4116</v>
      </c>
      <c r="D1453" s="3" t="s">
        <v>897</v>
      </c>
      <c r="E1453" s="3" t="s">
        <v>977</v>
      </c>
      <c r="F1453" s="3">
        <v>61350</v>
      </c>
      <c r="G1453" s="3" t="s">
        <v>923</v>
      </c>
      <c r="H1453" s="3" t="s">
        <v>900</v>
      </c>
      <c r="I1453" s="3">
        <v>25988</v>
      </c>
      <c r="J1453" s="3">
        <v>24788</v>
      </c>
      <c r="K1453" s="3">
        <v>1200</v>
      </c>
      <c r="L1453" s="3">
        <v>26000</v>
      </c>
      <c r="M1453" s="3">
        <v>24800</v>
      </c>
      <c r="N1453" s="3">
        <v>1200</v>
      </c>
    </row>
    <row r="1454" spans="1:14" ht="14.4">
      <c r="A1454" s="3">
        <v>13579</v>
      </c>
      <c r="B1454" s="3">
        <v>13580</v>
      </c>
      <c r="C1454" s="3">
        <v>4116</v>
      </c>
      <c r="D1454" s="3" t="s">
        <v>897</v>
      </c>
      <c r="E1454" s="3" t="s">
        <v>978</v>
      </c>
      <c r="F1454" s="3">
        <v>60068</v>
      </c>
      <c r="G1454" s="3" t="s">
        <v>914</v>
      </c>
      <c r="H1454" s="3" t="s">
        <v>900</v>
      </c>
      <c r="I1454" s="3">
        <v>103060</v>
      </c>
      <c r="J1454" s="3">
        <v>58911</v>
      </c>
      <c r="K1454" s="3">
        <v>44149</v>
      </c>
      <c r="L1454" s="3">
        <v>42600</v>
      </c>
      <c r="M1454" s="3">
        <v>22500</v>
      </c>
      <c r="N1454" s="3">
        <v>20100</v>
      </c>
    </row>
    <row r="1455" spans="1:14" ht="14.4">
      <c r="A1455" s="3">
        <v>13579</v>
      </c>
      <c r="B1455" s="3">
        <v>13580</v>
      </c>
      <c r="C1455" s="3">
        <v>4116</v>
      </c>
      <c r="D1455" s="3" t="s">
        <v>897</v>
      </c>
      <c r="E1455" s="3" t="s">
        <v>908</v>
      </c>
      <c r="F1455" s="3">
        <v>61604</v>
      </c>
      <c r="G1455" s="3" t="s">
        <v>908</v>
      </c>
      <c r="H1455" s="3" t="s">
        <v>900</v>
      </c>
      <c r="I1455" s="3">
        <v>365753</v>
      </c>
      <c r="J1455" s="3">
        <v>146524</v>
      </c>
      <c r="K1455" s="3">
        <v>219229</v>
      </c>
      <c r="L1455" s="3">
        <v>109400</v>
      </c>
      <c r="M1455" s="3">
        <v>59400</v>
      </c>
      <c r="N1455" s="3">
        <v>50000</v>
      </c>
    </row>
    <row r="1456" spans="1:14" ht="14.4">
      <c r="A1456" s="3">
        <v>13579</v>
      </c>
      <c r="B1456" s="3">
        <v>13580</v>
      </c>
      <c r="C1456" s="3">
        <v>4116</v>
      </c>
      <c r="D1456" s="3" t="s">
        <v>897</v>
      </c>
      <c r="E1456" s="3" t="s">
        <v>908</v>
      </c>
      <c r="F1456" s="3">
        <v>61605</v>
      </c>
      <c r="G1456" s="3" t="s">
        <v>908</v>
      </c>
      <c r="H1456" s="3" t="s">
        <v>900</v>
      </c>
      <c r="I1456" s="3">
        <v>98125</v>
      </c>
      <c r="J1456" s="3">
        <v>93537</v>
      </c>
      <c r="K1456" s="3">
        <v>4588</v>
      </c>
      <c r="L1456" s="3">
        <v>0</v>
      </c>
      <c r="M1456" s="3">
        <v>0</v>
      </c>
      <c r="N1456" s="3">
        <v>0</v>
      </c>
    </row>
    <row r="1457" spans="1:14" ht="14.4">
      <c r="A1457" s="3">
        <v>13579</v>
      </c>
      <c r="B1457" s="3">
        <v>13580</v>
      </c>
      <c r="C1457" s="3">
        <v>4116</v>
      </c>
      <c r="D1457" s="3" t="s">
        <v>897</v>
      </c>
      <c r="E1457" s="3" t="s">
        <v>908</v>
      </c>
      <c r="F1457" s="3">
        <v>61607</v>
      </c>
      <c r="G1457" s="3" t="s">
        <v>908</v>
      </c>
      <c r="H1457" s="3" t="s">
        <v>900</v>
      </c>
      <c r="I1457" s="3">
        <v>199093</v>
      </c>
      <c r="J1457" s="3">
        <v>76938</v>
      </c>
      <c r="K1457" s="3">
        <v>122155</v>
      </c>
      <c r="L1457" s="3">
        <v>0</v>
      </c>
      <c r="M1457" s="3">
        <v>0</v>
      </c>
      <c r="N1457" s="3">
        <v>0</v>
      </c>
    </row>
    <row r="1458" spans="1:14" ht="14.4">
      <c r="A1458" s="3">
        <v>13579</v>
      </c>
      <c r="B1458" s="3">
        <v>13580</v>
      </c>
      <c r="C1458" s="3">
        <v>4116</v>
      </c>
      <c r="D1458" s="3" t="s">
        <v>897</v>
      </c>
      <c r="E1458" s="3" t="s">
        <v>908</v>
      </c>
      <c r="F1458" s="3">
        <v>61615</v>
      </c>
      <c r="G1458" s="3" t="s">
        <v>908</v>
      </c>
      <c r="H1458" s="3" t="s">
        <v>900</v>
      </c>
      <c r="I1458" s="3">
        <v>36280</v>
      </c>
      <c r="J1458" s="3">
        <v>36280</v>
      </c>
      <c r="K1458" s="3">
        <v>0</v>
      </c>
      <c r="L1458" s="3">
        <v>21000</v>
      </c>
      <c r="M1458" s="3">
        <v>21000</v>
      </c>
      <c r="N1458" s="3">
        <v>0</v>
      </c>
    </row>
    <row r="1459" spans="1:14" ht="14.4">
      <c r="A1459" s="3">
        <v>13579</v>
      </c>
      <c r="B1459" s="3">
        <v>13580</v>
      </c>
      <c r="C1459" s="3">
        <v>4116</v>
      </c>
      <c r="D1459" s="3" t="s">
        <v>897</v>
      </c>
      <c r="E1459" s="3" t="s">
        <v>979</v>
      </c>
      <c r="F1459" s="3">
        <v>60426</v>
      </c>
      <c r="G1459" s="3" t="s">
        <v>914</v>
      </c>
      <c r="H1459" s="3" t="s">
        <v>900</v>
      </c>
      <c r="I1459" s="3">
        <v>4054</v>
      </c>
      <c r="J1459" s="3">
        <v>4054</v>
      </c>
      <c r="K1459" s="3">
        <v>0</v>
      </c>
      <c r="L1459" s="3">
        <v>4100</v>
      </c>
      <c r="M1459" s="3">
        <v>4100</v>
      </c>
      <c r="N1459" s="3">
        <v>0</v>
      </c>
    </row>
    <row r="1460" spans="1:14" ht="14.4">
      <c r="A1460" s="3">
        <v>13579</v>
      </c>
      <c r="B1460" s="3">
        <v>13580</v>
      </c>
      <c r="C1460" s="3">
        <v>4116</v>
      </c>
      <c r="D1460" s="3" t="s">
        <v>897</v>
      </c>
      <c r="E1460" s="3" t="s">
        <v>698</v>
      </c>
      <c r="F1460" s="3">
        <v>60544</v>
      </c>
      <c r="G1460" s="3" t="s">
        <v>917</v>
      </c>
      <c r="H1460" s="3" t="s">
        <v>900</v>
      </c>
      <c r="I1460" s="3">
        <v>84071</v>
      </c>
      <c r="J1460" s="3">
        <v>53051</v>
      </c>
      <c r="K1460" s="3">
        <v>31020</v>
      </c>
      <c r="L1460" s="3">
        <v>53100</v>
      </c>
      <c r="M1460" s="3">
        <v>53100</v>
      </c>
      <c r="N1460" s="3">
        <v>0</v>
      </c>
    </row>
    <row r="1461" spans="1:14" ht="14.4">
      <c r="A1461" s="3">
        <v>13579</v>
      </c>
      <c r="B1461" s="3">
        <v>13580</v>
      </c>
      <c r="C1461" s="3">
        <v>4116</v>
      </c>
      <c r="D1461" s="3" t="s">
        <v>897</v>
      </c>
      <c r="E1461" s="3" t="s">
        <v>980</v>
      </c>
      <c r="F1461" s="3">
        <v>60545</v>
      </c>
      <c r="G1461" s="3" t="s">
        <v>973</v>
      </c>
      <c r="H1461" s="3" t="s">
        <v>900</v>
      </c>
      <c r="I1461" s="3">
        <v>52375</v>
      </c>
      <c r="J1461" s="3">
        <v>51025</v>
      </c>
      <c r="K1461" s="3">
        <v>1350</v>
      </c>
      <c r="L1461" s="3">
        <v>47400</v>
      </c>
      <c r="M1461" s="3">
        <v>46100</v>
      </c>
      <c r="N1461" s="3">
        <v>1300</v>
      </c>
    </row>
    <row r="1462" spans="1:14" ht="14.4">
      <c r="A1462" s="3">
        <v>13579</v>
      </c>
      <c r="B1462" s="3">
        <v>13580</v>
      </c>
      <c r="C1462" s="3">
        <v>4116</v>
      </c>
      <c r="D1462" s="3" t="s">
        <v>897</v>
      </c>
      <c r="E1462" s="3" t="s">
        <v>709</v>
      </c>
      <c r="F1462" s="3">
        <v>61356</v>
      </c>
      <c r="G1462" s="3" t="s">
        <v>981</v>
      </c>
      <c r="H1462" s="3" t="s">
        <v>900</v>
      </c>
      <c r="I1462" s="3">
        <v>56218</v>
      </c>
      <c r="J1462" s="3">
        <v>45143</v>
      </c>
      <c r="K1462" s="3">
        <v>11075</v>
      </c>
      <c r="L1462" s="3">
        <v>45700</v>
      </c>
      <c r="M1462" s="3">
        <v>34600</v>
      </c>
      <c r="N1462" s="3">
        <v>11100</v>
      </c>
    </row>
    <row r="1463" spans="1:14" ht="14.4">
      <c r="A1463" s="3">
        <v>13579</v>
      </c>
      <c r="B1463" s="3">
        <v>13580</v>
      </c>
      <c r="C1463" s="3">
        <v>4116</v>
      </c>
      <c r="D1463" s="3" t="s">
        <v>897</v>
      </c>
      <c r="E1463" s="3" t="s">
        <v>982</v>
      </c>
      <c r="F1463" s="3">
        <v>60471</v>
      </c>
      <c r="G1463" s="3" t="s">
        <v>914</v>
      </c>
      <c r="H1463" s="3" t="s">
        <v>900</v>
      </c>
      <c r="I1463" s="3">
        <v>22700</v>
      </c>
      <c r="J1463" s="3">
        <v>22700</v>
      </c>
      <c r="K1463" s="3">
        <v>0</v>
      </c>
      <c r="L1463" s="3">
        <v>0</v>
      </c>
      <c r="M1463" s="3">
        <v>0</v>
      </c>
      <c r="N1463" s="3">
        <v>0</v>
      </c>
    </row>
    <row r="1464" spans="1:14" ht="14.4">
      <c r="A1464" s="3">
        <v>13579</v>
      </c>
      <c r="B1464" s="3">
        <v>13580</v>
      </c>
      <c r="C1464" s="3">
        <v>4116</v>
      </c>
      <c r="D1464" s="3" t="s">
        <v>897</v>
      </c>
      <c r="E1464" s="3" t="s">
        <v>983</v>
      </c>
      <c r="F1464" s="3">
        <v>60305</v>
      </c>
      <c r="G1464" s="3" t="s">
        <v>914</v>
      </c>
      <c r="H1464" s="3" t="s">
        <v>900</v>
      </c>
      <c r="I1464" s="3">
        <v>21720</v>
      </c>
      <c r="J1464" s="3">
        <v>20520</v>
      </c>
      <c r="K1464" s="3">
        <v>1200</v>
      </c>
      <c r="L1464" s="3">
        <v>15800</v>
      </c>
      <c r="M1464" s="3">
        <v>15800</v>
      </c>
      <c r="N1464" s="3">
        <v>0</v>
      </c>
    </row>
    <row r="1465" spans="1:14" ht="14.4">
      <c r="A1465" s="3">
        <v>13579</v>
      </c>
      <c r="B1465" s="3">
        <v>13580</v>
      </c>
      <c r="C1465" s="3">
        <v>4116</v>
      </c>
      <c r="D1465" s="3" t="s">
        <v>897</v>
      </c>
      <c r="E1465" s="3" t="s">
        <v>984</v>
      </c>
      <c r="F1465" s="3">
        <v>60171</v>
      </c>
      <c r="G1465" s="3" t="s">
        <v>914</v>
      </c>
      <c r="H1465" s="3" t="s">
        <v>900</v>
      </c>
      <c r="I1465" s="3">
        <v>10955</v>
      </c>
      <c r="J1465" s="3">
        <v>5175</v>
      </c>
      <c r="K1465" s="3">
        <v>5780</v>
      </c>
      <c r="L1465" s="3">
        <v>0</v>
      </c>
      <c r="M1465" s="3">
        <v>0</v>
      </c>
      <c r="N1465" s="3">
        <v>0</v>
      </c>
    </row>
    <row r="1466" spans="1:14" ht="14.4">
      <c r="A1466" s="3">
        <v>13579</v>
      </c>
      <c r="B1466" s="3">
        <v>13580</v>
      </c>
      <c r="C1466" s="3">
        <v>4116</v>
      </c>
      <c r="D1466" s="3" t="s">
        <v>897</v>
      </c>
      <c r="E1466" s="3" t="s">
        <v>985</v>
      </c>
      <c r="F1466" s="3">
        <v>60827</v>
      </c>
      <c r="G1466" s="3" t="s">
        <v>914</v>
      </c>
      <c r="H1466" s="3" t="s">
        <v>900</v>
      </c>
      <c r="I1466" s="3">
        <v>50708</v>
      </c>
      <c r="J1466" s="3">
        <v>44023</v>
      </c>
      <c r="K1466" s="3">
        <v>6685</v>
      </c>
      <c r="L1466" s="3">
        <v>37600</v>
      </c>
      <c r="M1466" s="3">
        <v>37600</v>
      </c>
      <c r="N1466" s="3">
        <v>0</v>
      </c>
    </row>
    <row r="1467" spans="1:14" ht="14.4">
      <c r="A1467" s="3">
        <v>13579</v>
      </c>
      <c r="B1467" s="3">
        <v>13580</v>
      </c>
      <c r="C1467" s="3">
        <v>4116</v>
      </c>
      <c r="D1467" s="3" t="s">
        <v>897</v>
      </c>
      <c r="E1467" s="3" t="s">
        <v>986</v>
      </c>
      <c r="F1467" s="3">
        <v>60546</v>
      </c>
      <c r="G1467" s="3" t="s">
        <v>914</v>
      </c>
      <c r="H1467" s="3" t="s">
        <v>900</v>
      </c>
      <c r="I1467" s="3">
        <v>36373</v>
      </c>
      <c r="J1467" s="3">
        <v>27323</v>
      </c>
      <c r="K1467" s="3">
        <v>9050</v>
      </c>
      <c r="L1467" s="3">
        <v>27900</v>
      </c>
      <c r="M1467" s="3">
        <v>26600</v>
      </c>
      <c r="N1467" s="3">
        <v>1300</v>
      </c>
    </row>
    <row r="1468" spans="1:14" ht="14.4">
      <c r="A1468" s="3">
        <v>13579</v>
      </c>
      <c r="B1468" s="3">
        <v>13580</v>
      </c>
      <c r="C1468" s="3">
        <v>4116</v>
      </c>
      <c r="D1468" s="3" t="s">
        <v>897</v>
      </c>
      <c r="E1468" s="3" t="s">
        <v>987</v>
      </c>
      <c r="F1468" s="3">
        <v>61561</v>
      </c>
      <c r="G1468" s="3" t="s">
        <v>988</v>
      </c>
      <c r="H1468" s="3" t="s">
        <v>900</v>
      </c>
      <c r="I1468" s="3">
        <v>247008</v>
      </c>
      <c r="J1468" s="3">
        <v>192691</v>
      </c>
      <c r="K1468" s="3">
        <v>54317</v>
      </c>
      <c r="L1468" s="3">
        <v>0</v>
      </c>
      <c r="M1468" s="3">
        <v>0</v>
      </c>
      <c r="N1468" s="3">
        <v>0</v>
      </c>
    </row>
    <row r="1469" spans="1:14" ht="14.4">
      <c r="A1469" s="3">
        <v>13579</v>
      </c>
      <c r="B1469" s="3">
        <v>13580</v>
      </c>
      <c r="C1469" s="3">
        <v>4116</v>
      </c>
      <c r="D1469" s="3" t="s">
        <v>897</v>
      </c>
      <c r="E1469" s="3" t="s">
        <v>989</v>
      </c>
      <c r="F1469" s="3">
        <v>60472</v>
      </c>
      <c r="G1469" s="3" t="s">
        <v>914</v>
      </c>
      <c r="H1469" s="3" t="s">
        <v>900</v>
      </c>
      <c r="I1469" s="3">
        <v>35978</v>
      </c>
      <c r="J1469" s="3">
        <v>35978</v>
      </c>
      <c r="K1469" s="3">
        <v>0</v>
      </c>
      <c r="L1469" s="3">
        <v>0</v>
      </c>
      <c r="M1469" s="3">
        <v>0</v>
      </c>
      <c r="N1469" s="3">
        <v>0</v>
      </c>
    </row>
    <row r="1470" spans="1:14" ht="14.4">
      <c r="A1470" s="3">
        <v>13579</v>
      </c>
      <c r="B1470" s="3">
        <v>13580</v>
      </c>
      <c r="C1470" s="3">
        <v>4116</v>
      </c>
      <c r="D1470" s="3" t="s">
        <v>897</v>
      </c>
      <c r="E1470" s="3" t="s">
        <v>937</v>
      </c>
      <c r="F1470" s="3">
        <v>61201</v>
      </c>
      <c r="G1470" s="3" t="s">
        <v>937</v>
      </c>
      <c r="H1470" s="3" t="s">
        <v>900</v>
      </c>
      <c r="I1470" s="3">
        <v>96560</v>
      </c>
      <c r="J1470" s="3">
        <v>91115</v>
      </c>
      <c r="K1470" s="3">
        <v>5445</v>
      </c>
      <c r="L1470" s="3">
        <v>53500</v>
      </c>
      <c r="M1470" s="3">
        <v>53500</v>
      </c>
      <c r="N1470" s="3">
        <v>0</v>
      </c>
    </row>
    <row r="1471" spans="1:14" ht="14.4">
      <c r="A1471" s="3">
        <v>13579</v>
      </c>
      <c r="B1471" s="3">
        <v>13580</v>
      </c>
      <c r="C1471" s="3">
        <v>4116</v>
      </c>
      <c r="D1471" s="3" t="s">
        <v>897</v>
      </c>
      <c r="E1471" s="3" t="s">
        <v>990</v>
      </c>
      <c r="F1471" s="3">
        <v>61101</v>
      </c>
      <c r="G1471" s="3" t="s">
        <v>991</v>
      </c>
      <c r="H1471" s="3" t="s">
        <v>900</v>
      </c>
      <c r="I1471" s="3">
        <v>77475</v>
      </c>
      <c r="J1471" s="3">
        <v>77475</v>
      </c>
      <c r="K1471" s="3">
        <v>0</v>
      </c>
      <c r="L1471" s="3">
        <v>77500</v>
      </c>
      <c r="M1471" s="3">
        <v>77500</v>
      </c>
      <c r="N1471" s="3">
        <v>0</v>
      </c>
    </row>
    <row r="1472" spans="1:14" ht="14.4">
      <c r="A1472" s="3">
        <v>13579</v>
      </c>
      <c r="B1472" s="3">
        <v>13580</v>
      </c>
      <c r="C1472" s="3">
        <v>4116</v>
      </c>
      <c r="D1472" s="3" t="s">
        <v>897</v>
      </c>
      <c r="E1472" s="3" t="s">
        <v>990</v>
      </c>
      <c r="F1472" s="3">
        <v>61104</v>
      </c>
      <c r="G1472" s="3" t="s">
        <v>991</v>
      </c>
      <c r="H1472" s="3" t="s">
        <v>900</v>
      </c>
      <c r="I1472" s="3">
        <v>392011</v>
      </c>
      <c r="J1472" s="3">
        <v>383870</v>
      </c>
      <c r="K1472" s="3">
        <v>8141</v>
      </c>
      <c r="L1472" s="3">
        <v>256500</v>
      </c>
      <c r="M1472" s="3">
        <v>248300</v>
      </c>
      <c r="N1472" s="3">
        <v>8200</v>
      </c>
    </row>
    <row r="1473" spans="1:14" ht="14.4">
      <c r="A1473" s="3">
        <v>13579</v>
      </c>
      <c r="B1473" s="3">
        <v>13580</v>
      </c>
      <c r="C1473" s="3">
        <v>4116</v>
      </c>
      <c r="D1473" s="3" t="s">
        <v>897</v>
      </c>
      <c r="E1473" s="3" t="s">
        <v>992</v>
      </c>
      <c r="F1473" s="3">
        <v>60076</v>
      </c>
      <c r="G1473" s="3" t="s">
        <v>914</v>
      </c>
      <c r="H1473" s="3" t="s">
        <v>900</v>
      </c>
      <c r="I1473" s="3">
        <v>46445</v>
      </c>
      <c r="J1473" s="3">
        <v>29105</v>
      </c>
      <c r="K1473" s="3">
        <v>17340</v>
      </c>
      <c r="L1473" s="3">
        <v>17800</v>
      </c>
      <c r="M1473" s="3">
        <v>9100</v>
      </c>
      <c r="N1473" s="3">
        <v>8700</v>
      </c>
    </row>
    <row r="1474" spans="1:14" ht="14.4">
      <c r="A1474" s="3">
        <v>13579</v>
      </c>
      <c r="B1474" s="3">
        <v>13580</v>
      </c>
      <c r="C1474" s="3">
        <v>4116</v>
      </c>
      <c r="D1474" s="3" t="s">
        <v>897</v>
      </c>
      <c r="E1474" s="3" t="s">
        <v>992</v>
      </c>
      <c r="F1474" s="3">
        <v>60077</v>
      </c>
      <c r="G1474" s="3" t="s">
        <v>914</v>
      </c>
      <c r="H1474" s="3" t="s">
        <v>900</v>
      </c>
      <c r="I1474" s="3">
        <v>33030</v>
      </c>
      <c r="J1474" s="3">
        <v>27355</v>
      </c>
      <c r="K1474" s="3">
        <v>5675</v>
      </c>
      <c r="L1474" s="3">
        <v>33100</v>
      </c>
      <c r="M1474" s="3">
        <v>27400</v>
      </c>
      <c r="N1474" s="3">
        <v>5700</v>
      </c>
    </row>
    <row r="1475" spans="1:14" ht="14.4">
      <c r="A1475" s="3">
        <v>13579</v>
      </c>
      <c r="B1475" s="3">
        <v>13580</v>
      </c>
      <c r="C1475" s="3">
        <v>4116</v>
      </c>
      <c r="D1475" s="3" t="s">
        <v>897</v>
      </c>
      <c r="E1475" s="3" t="s">
        <v>993</v>
      </c>
      <c r="F1475" s="3">
        <v>60177</v>
      </c>
      <c r="G1475" s="3" t="s">
        <v>906</v>
      </c>
      <c r="H1475" s="3" t="s">
        <v>900</v>
      </c>
      <c r="I1475" s="3">
        <v>62026</v>
      </c>
      <c r="J1475" s="3">
        <v>58936</v>
      </c>
      <c r="K1475" s="3">
        <v>3090</v>
      </c>
      <c r="L1475" s="3">
        <v>31000</v>
      </c>
      <c r="M1475" s="3">
        <v>29600</v>
      </c>
      <c r="N1475" s="3">
        <v>1400</v>
      </c>
    </row>
    <row r="1476" spans="1:14" ht="14.4">
      <c r="A1476" s="3">
        <v>13579</v>
      </c>
      <c r="B1476" s="3">
        <v>13580</v>
      </c>
      <c r="C1476" s="3">
        <v>4116</v>
      </c>
      <c r="D1476" s="3" t="s">
        <v>897</v>
      </c>
      <c r="E1476" s="3" t="s">
        <v>994</v>
      </c>
      <c r="F1476" s="3">
        <v>60473</v>
      </c>
      <c r="G1476" s="3" t="s">
        <v>914</v>
      </c>
      <c r="H1476" s="3" t="s">
        <v>900</v>
      </c>
      <c r="I1476" s="3">
        <v>94515</v>
      </c>
      <c r="J1476" s="3">
        <v>73963</v>
      </c>
      <c r="K1476" s="3">
        <v>20552</v>
      </c>
      <c r="L1476" s="3">
        <v>17800</v>
      </c>
      <c r="M1476" s="3">
        <v>14000</v>
      </c>
      <c r="N1476" s="3">
        <v>3800</v>
      </c>
    </row>
    <row r="1477" spans="1:14" ht="14.4">
      <c r="A1477" s="3">
        <v>13579</v>
      </c>
      <c r="B1477" s="3">
        <v>13580</v>
      </c>
      <c r="C1477" s="3">
        <v>4116</v>
      </c>
      <c r="D1477" s="3" t="s">
        <v>897</v>
      </c>
      <c r="E1477" s="3" t="s">
        <v>995</v>
      </c>
      <c r="F1477" s="3">
        <v>60475</v>
      </c>
      <c r="G1477" s="3" t="s">
        <v>914</v>
      </c>
      <c r="H1477" s="3" t="s">
        <v>900</v>
      </c>
      <c r="I1477" s="3">
        <v>13459</v>
      </c>
      <c r="J1477" s="3">
        <v>13459</v>
      </c>
      <c r="K1477" s="3">
        <v>0</v>
      </c>
      <c r="L1477" s="3">
        <v>0</v>
      </c>
      <c r="M1477" s="3">
        <v>0</v>
      </c>
      <c r="N1477" s="3">
        <v>0</v>
      </c>
    </row>
    <row r="1478" spans="1:14" ht="14.4">
      <c r="A1478" s="3">
        <v>13579</v>
      </c>
      <c r="B1478" s="3">
        <v>13580</v>
      </c>
      <c r="C1478" s="3">
        <v>4116</v>
      </c>
      <c r="D1478" s="3" t="s">
        <v>897</v>
      </c>
      <c r="E1478" s="3" t="s">
        <v>996</v>
      </c>
      <c r="F1478" s="3">
        <v>60165</v>
      </c>
      <c r="G1478" s="3" t="s">
        <v>914</v>
      </c>
      <c r="H1478" s="3" t="s">
        <v>900</v>
      </c>
      <c r="I1478" s="3">
        <v>564347</v>
      </c>
      <c r="J1478" s="3">
        <v>500011</v>
      </c>
      <c r="K1478" s="3">
        <v>64336</v>
      </c>
      <c r="L1478" s="3">
        <v>525800</v>
      </c>
      <c r="M1478" s="3">
        <v>461500</v>
      </c>
      <c r="N1478" s="3">
        <v>64300</v>
      </c>
    </row>
    <row r="1479" spans="1:14" ht="14.4">
      <c r="A1479" s="3">
        <v>13579</v>
      </c>
      <c r="B1479" s="3">
        <v>13580</v>
      </c>
      <c r="C1479" s="3">
        <v>4116</v>
      </c>
      <c r="D1479" s="3" t="s">
        <v>897</v>
      </c>
      <c r="E1479" s="3" t="s">
        <v>997</v>
      </c>
      <c r="F1479" s="3">
        <v>60477</v>
      </c>
      <c r="G1479" s="3" t="s">
        <v>914</v>
      </c>
      <c r="H1479" s="3" t="s">
        <v>900</v>
      </c>
      <c r="I1479" s="3">
        <v>4124</v>
      </c>
      <c r="J1479" s="3">
        <v>0</v>
      </c>
      <c r="K1479" s="3">
        <v>4124</v>
      </c>
      <c r="L1479" s="3">
        <v>0</v>
      </c>
      <c r="M1479" s="3">
        <v>0</v>
      </c>
      <c r="N1479" s="3">
        <v>0</v>
      </c>
    </row>
    <row r="1480" spans="1:14" ht="14.4">
      <c r="A1480" s="3">
        <v>13579</v>
      </c>
      <c r="B1480" s="3">
        <v>13580</v>
      </c>
      <c r="C1480" s="3">
        <v>4116</v>
      </c>
      <c r="D1480" s="3" t="s">
        <v>897</v>
      </c>
      <c r="E1480" s="3" t="s">
        <v>998</v>
      </c>
      <c r="F1480" s="3">
        <v>60484</v>
      </c>
      <c r="G1480" s="3" t="s">
        <v>917</v>
      </c>
      <c r="H1480" s="3" t="s">
        <v>900</v>
      </c>
      <c r="I1480" s="3">
        <v>44944</v>
      </c>
      <c r="J1480" s="3">
        <v>43444</v>
      </c>
      <c r="K1480" s="3">
        <v>1500</v>
      </c>
      <c r="L1480" s="3">
        <v>0</v>
      </c>
      <c r="M1480" s="3">
        <v>0</v>
      </c>
      <c r="N1480" s="3">
        <v>0</v>
      </c>
    </row>
    <row r="1481" spans="1:14" ht="14.4">
      <c r="A1481" s="3">
        <v>13579</v>
      </c>
      <c r="B1481" s="3">
        <v>13580</v>
      </c>
      <c r="C1481" s="3">
        <v>4116</v>
      </c>
      <c r="D1481" s="3" t="s">
        <v>897</v>
      </c>
      <c r="E1481" s="3" t="s">
        <v>999</v>
      </c>
      <c r="F1481" s="3">
        <v>60181</v>
      </c>
      <c r="G1481" s="3" t="s">
        <v>899</v>
      </c>
      <c r="H1481" s="3" t="s">
        <v>900</v>
      </c>
      <c r="I1481" s="3">
        <v>204991</v>
      </c>
      <c r="J1481" s="3">
        <v>195601</v>
      </c>
      <c r="K1481" s="3">
        <v>9390</v>
      </c>
      <c r="L1481" s="3">
        <v>0</v>
      </c>
      <c r="M1481" s="3">
        <v>0</v>
      </c>
      <c r="N1481" s="3">
        <v>0</v>
      </c>
    </row>
    <row r="1482" spans="1:14" ht="14.4">
      <c r="A1482" s="3">
        <v>13579</v>
      </c>
      <c r="B1482" s="3">
        <v>13580</v>
      </c>
      <c r="C1482" s="3">
        <v>4116</v>
      </c>
      <c r="D1482" s="3" t="s">
        <v>897</v>
      </c>
      <c r="E1482" s="3" t="s">
        <v>1000</v>
      </c>
      <c r="F1482" s="3">
        <v>60087</v>
      </c>
      <c r="G1482" s="3" t="s">
        <v>902</v>
      </c>
      <c r="H1482" s="3" t="s">
        <v>900</v>
      </c>
      <c r="I1482" s="3">
        <v>6780</v>
      </c>
      <c r="J1482" s="3">
        <v>6780</v>
      </c>
      <c r="K1482" s="3">
        <v>0</v>
      </c>
      <c r="L1482" s="3">
        <v>0</v>
      </c>
      <c r="M1482" s="3">
        <v>0</v>
      </c>
      <c r="N1482" s="3">
        <v>0</v>
      </c>
    </row>
    <row r="1483" spans="1:14" ht="14.4">
      <c r="A1483" s="3">
        <v>13579</v>
      </c>
      <c r="B1483" s="3">
        <v>13580</v>
      </c>
      <c r="C1483" s="3">
        <v>4116</v>
      </c>
      <c r="D1483" s="3" t="s">
        <v>897</v>
      </c>
      <c r="E1483" s="3" t="s">
        <v>64</v>
      </c>
      <c r="F1483" s="3">
        <v>60154</v>
      </c>
      <c r="G1483" s="3" t="s">
        <v>914</v>
      </c>
      <c r="H1483" s="3" t="s">
        <v>900</v>
      </c>
      <c r="I1483" s="3">
        <v>65916</v>
      </c>
      <c r="J1483" s="3">
        <v>51386</v>
      </c>
      <c r="K1483" s="3">
        <v>14530</v>
      </c>
      <c r="L1483" s="3">
        <v>53500</v>
      </c>
      <c r="M1483" s="3">
        <v>51500</v>
      </c>
      <c r="N1483" s="3">
        <v>2000</v>
      </c>
    </row>
    <row r="1484" spans="1:14" ht="14.4">
      <c r="A1484" s="3">
        <v>13579</v>
      </c>
      <c r="B1484" s="3">
        <v>13580</v>
      </c>
      <c r="C1484" s="3">
        <v>4116</v>
      </c>
      <c r="D1484" s="3" t="s">
        <v>897</v>
      </c>
      <c r="E1484" s="3" t="s">
        <v>1001</v>
      </c>
      <c r="F1484" s="3">
        <v>60559</v>
      </c>
      <c r="G1484" s="3" t="s">
        <v>899</v>
      </c>
      <c r="H1484" s="3" t="s">
        <v>900</v>
      </c>
      <c r="I1484" s="3">
        <v>75534</v>
      </c>
      <c r="J1484" s="3">
        <v>71054</v>
      </c>
      <c r="K1484" s="3">
        <v>4480</v>
      </c>
      <c r="L1484" s="3">
        <v>9800</v>
      </c>
      <c r="M1484" s="3">
        <v>8200</v>
      </c>
      <c r="N1484" s="3">
        <v>1600</v>
      </c>
    </row>
    <row r="1485" spans="1:14" ht="14.4">
      <c r="A1485" s="3">
        <v>13579</v>
      </c>
      <c r="B1485" s="3">
        <v>13580</v>
      </c>
      <c r="C1485" s="3">
        <v>4116</v>
      </c>
      <c r="D1485" s="3" t="s">
        <v>897</v>
      </c>
      <c r="E1485" s="3" t="s">
        <v>1002</v>
      </c>
      <c r="F1485" s="3">
        <v>60187</v>
      </c>
      <c r="G1485" s="3" t="s">
        <v>899</v>
      </c>
      <c r="H1485" s="3" t="s">
        <v>900</v>
      </c>
      <c r="I1485" s="3">
        <v>9880</v>
      </c>
      <c r="J1485" s="3">
        <v>8280</v>
      </c>
      <c r="K1485" s="3">
        <v>1600</v>
      </c>
      <c r="L1485" s="3">
        <v>8300</v>
      </c>
      <c r="M1485" s="3">
        <v>8300</v>
      </c>
      <c r="N1485" s="3">
        <v>0</v>
      </c>
    </row>
    <row r="1486" spans="1:14" ht="14.4">
      <c r="A1486" s="3">
        <v>13579</v>
      </c>
      <c r="B1486" s="3">
        <v>13580</v>
      </c>
      <c r="C1486" s="3">
        <v>4116</v>
      </c>
      <c r="D1486" s="3" t="s">
        <v>897</v>
      </c>
      <c r="E1486" s="3" t="s">
        <v>1003</v>
      </c>
      <c r="F1486" s="3">
        <v>60099</v>
      </c>
      <c r="G1486" s="3" t="s">
        <v>902</v>
      </c>
      <c r="H1486" s="3" t="s">
        <v>900</v>
      </c>
      <c r="I1486" s="3">
        <v>6965</v>
      </c>
      <c r="J1486" s="3">
        <v>0</v>
      </c>
      <c r="K1486" s="3">
        <v>6965</v>
      </c>
      <c r="L1486" s="3">
        <v>3700</v>
      </c>
      <c r="M1486" s="3">
        <v>0</v>
      </c>
      <c r="N1486" s="3">
        <v>3700</v>
      </c>
    </row>
    <row r="1487" spans="1:14" ht="14.4">
      <c r="A1487" s="3">
        <v>13586</v>
      </c>
      <c r="B1487" s="3">
        <v>13587</v>
      </c>
      <c r="C1487" s="3">
        <v>4117</v>
      </c>
      <c r="D1487" s="3" t="s">
        <v>1004</v>
      </c>
      <c r="E1487" s="3" t="s">
        <v>1005</v>
      </c>
      <c r="F1487" s="3">
        <v>74832</v>
      </c>
      <c r="G1487" s="3" t="s">
        <v>1006</v>
      </c>
      <c r="H1487" s="3" t="s">
        <v>1007</v>
      </c>
      <c r="I1487" s="3">
        <v>180668</v>
      </c>
      <c r="J1487" s="3">
        <v>31588</v>
      </c>
      <c r="K1487" s="3">
        <v>149080</v>
      </c>
      <c r="L1487" s="3">
        <v>0</v>
      </c>
      <c r="M1487" s="3">
        <v>0</v>
      </c>
      <c r="N1487" s="3">
        <v>0</v>
      </c>
    </row>
    <row r="1488" spans="1:14" ht="14.4">
      <c r="A1488" s="3">
        <v>13586</v>
      </c>
      <c r="B1488" s="3">
        <v>13587</v>
      </c>
      <c r="C1488" s="3">
        <v>4117</v>
      </c>
      <c r="D1488" s="3" t="s">
        <v>1004</v>
      </c>
      <c r="E1488" s="3" t="s">
        <v>1008</v>
      </c>
      <c r="F1488" s="3">
        <v>73020</v>
      </c>
      <c r="G1488" s="3" t="s">
        <v>1009</v>
      </c>
      <c r="H1488" s="3" t="s">
        <v>1007</v>
      </c>
      <c r="I1488" s="3">
        <v>13928</v>
      </c>
      <c r="J1488" s="3">
        <v>13928</v>
      </c>
      <c r="K1488" s="3">
        <v>0</v>
      </c>
      <c r="L1488" s="3">
        <v>0</v>
      </c>
      <c r="M1488" s="3">
        <v>0</v>
      </c>
      <c r="N1488" s="3">
        <v>0</v>
      </c>
    </row>
    <row r="1489" spans="1:14" ht="14.4">
      <c r="A1489" s="3">
        <v>13586</v>
      </c>
      <c r="B1489" s="3">
        <v>13587</v>
      </c>
      <c r="C1489" s="3">
        <v>4117</v>
      </c>
      <c r="D1489" s="3" t="s">
        <v>1004</v>
      </c>
      <c r="E1489" s="3" t="s">
        <v>1010</v>
      </c>
      <c r="F1489" s="3">
        <v>73115</v>
      </c>
      <c r="G1489" s="3" t="s">
        <v>1009</v>
      </c>
      <c r="H1489" s="3" t="s">
        <v>1007</v>
      </c>
      <c r="I1489" s="3">
        <v>94611</v>
      </c>
      <c r="J1489" s="3">
        <v>93386</v>
      </c>
      <c r="K1489" s="3">
        <v>1225</v>
      </c>
      <c r="L1489" s="3">
        <v>19400</v>
      </c>
      <c r="M1489" s="3">
        <v>19400</v>
      </c>
      <c r="N1489" s="3">
        <v>0</v>
      </c>
    </row>
    <row r="1490" spans="1:14" ht="14.4">
      <c r="A1490" s="3">
        <v>13586</v>
      </c>
      <c r="B1490" s="3">
        <v>13587</v>
      </c>
      <c r="C1490" s="3">
        <v>4117</v>
      </c>
      <c r="D1490" s="3" t="s">
        <v>1004</v>
      </c>
      <c r="E1490" s="3" t="s">
        <v>1011</v>
      </c>
      <c r="F1490" s="3">
        <v>73036</v>
      </c>
      <c r="G1490" s="3" t="s">
        <v>1012</v>
      </c>
      <c r="H1490" s="3" t="s">
        <v>1007</v>
      </c>
      <c r="I1490" s="3">
        <v>331073</v>
      </c>
      <c r="J1490" s="3">
        <v>314955</v>
      </c>
      <c r="K1490" s="3">
        <v>16118</v>
      </c>
      <c r="L1490" s="3">
        <v>173500</v>
      </c>
      <c r="M1490" s="3">
        <v>158600</v>
      </c>
      <c r="N1490" s="3">
        <v>14900</v>
      </c>
    </row>
    <row r="1491" spans="1:14" ht="14.4">
      <c r="A1491" s="3">
        <v>13586</v>
      </c>
      <c r="B1491" s="3">
        <v>13587</v>
      </c>
      <c r="C1491" s="3">
        <v>4117</v>
      </c>
      <c r="D1491" s="3" t="s">
        <v>1004</v>
      </c>
      <c r="E1491" s="3" t="s">
        <v>1013</v>
      </c>
      <c r="F1491" s="3">
        <v>73047</v>
      </c>
      <c r="G1491" s="3" t="s">
        <v>1012</v>
      </c>
      <c r="H1491" s="3" t="s">
        <v>1007</v>
      </c>
      <c r="I1491" s="3">
        <v>10209</v>
      </c>
      <c r="J1491" s="3">
        <v>7909</v>
      </c>
      <c r="K1491" s="3">
        <v>2300</v>
      </c>
      <c r="L1491" s="3">
        <v>0</v>
      </c>
      <c r="M1491" s="3">
        <v>0</v>
      </c>
      <c r="N1491" s="3">
        <v>0</v>
      </c>
    </row>
    <row r="1492" spans="1:14" ht="14.4">
      <c r="A1492" s="3">
        <v>13586</v>
      </c>
      <c r="B1492" s="3">
        <v>13587</v>
      </c>
      <c r="C1492" s="3">
        <v>4117</v>
      </c>
      <c r="D1492" s="3" t="s">
        <v>1004</v>
      </c>
      <c r="E1492" s="3" t="s">
        <v>1014</v>
      </c>
      <c r="F1492" s="3">
        <v>74851</v>
      </c>
      <c r="G1492" s="3" t="s">
        <v>1015</v>
      </c>
      <c r="H1492" s="3" t="s">
        <v>1007</v>
      </c>
      <c r="I1492" s="3">
        <v>17911</v>
      </c>
      <c r="J1492" s="3">
        <v>17911</v>
      </c>
      <c r="K1492" s="3">
        <v>0</v>
      </c>
      <c r="L1492" s="3">
        <v>0</v>
      </c>
      <c r="M1492" s="3">
        <v>0</v>
      </c>
      <c r="N1492" s="3">
        <v>0</v>
      </c>
    </row>
    <row r="1493" spans="1:14" ht="14.4">
      <c r="A1493" s="3">
        <v>13586</v>
      </c>
      <c r="B1493" s="3">
        <v>13587</v>
      </c>
      <c r="C1493" s="3">
        <v>4117</v>
      </c>
      <c r="D1493" s="3" t="s">
        <v>1004</v>
      </c>
      <c r="E1493" s="3" t="s">
        <v>1016</v>
      </c>
      <c r="F1493" s="3">
        <v>74855</v>
      </c>
      <c r="G1493" s="3" t="s">
        <v>1006</v>
      </c>
      <c r="H1493" s="3" t="s">
        <v>1007</v>
      </c>
      <c r="I1493" s="3">
        <v>51391</v>
      </c>
      <c r="J1493" s="3">
        <v>38035</v>
      </c>
      <c r="K1493" s="3">
        <v>13356</v>
      </c>
      <c r="L1493" s="3">
        <v>0</v>
      </c>
      <c r="M1493" s="3">
        <v>0</v>
      </c>
      <c r="N1493" s="3">
        <v>0</v>
      </c>
    </row>
    <row r="1494" spans="1:14" ht="14.4">
      <c r="A1494" s="3">
        <v>13586</v>
      </c>
      <c r="B1494" s="3">
        <v>13587</v>
      </c>
      <c r="C1494" s="3">
        <v>4117</v>
      </c>
      <c r="D1494" s="3" t="s">
        <v>1004</v>
      </c>
      <c r="E1494" s="3" t="s">
        <v>1017</v>
      </c>
      <c r="F1494" s="3">
        <v>73160</v>
      </c>
      <c r="G1494" s="3" t="s">
        <v>1018</v>
      </c>
      <c r="H1494" s="3" t="s">
        <v>1007</v>
      </c>
      <c r="I1494" s="3">
        <v>8083874</v>
      </c>
      <c r="J1494" s="3">
        <v>6033522</v>
      </c>
      <c r="K1494" s="3">
        <v>2050352</v>
      </c>
      <c r="L1494" s="3">
        <v>2699000</v>
      </c>
      <c r="M1494" s="3">
        <v>1681300</v>
      </c>
      <c r="N1494" s="3">
        <v>849500</v>
      </c>
    </row>
    <row r="1495" spans="1:14" ht="14.4">
      <c r="A1495" s="3">
        <v>13586</v>
      </c>
      <c r="B1495" s="3">
        <v>13587</v>
      </c>
      <c r="C1495" s="3">
        <v>4117</v>
      </c>
      <c r="D1495" s="3" t="s">
        <v>1004</v>
      </c>
      <c r="E1495" s="3" t="s">
        <v>1017</v>
      </c>
      <c r="F1495" s="3">
        <v>73170</v>
      </c>
      <c r="G1495" s="3" t="s">
        <v>1018</v>
      </c>
      <c r="H1495" s="3" t="s">
        <v>1007</v>
      </c>
      <c r="I1495" s="3">
        <v>68164</v>
      </c>
      <c r="J1495" s="3">
        <v>59359</v>
      </c>
      <c r="K1495" s="3">
        <v>8805</v>
      </c>
      <c r="L1495" s="3">
        <v>36100</v>
      </c>
      <c r="M1495" s="3">
        <v>30500</v>
      </c>
      <c r="N1495" s="3">
        <v>1700</v>
      </c>
    </row>
    <row r="1496" spans="1:14" ht="14.4">
      <c r="A1496" s="3">
        <v>13586</v>
      </c>
      <c r="B1496" s="3">
        <v>13587</v>
      </c>
      <c r="C1496" s="3">
        <v>4117</v>
      </c>
      <c r="D1496" s="3" t="s">
        <v>1004</v>
      </c>
      <c r="E1496" s="3" t="s">
        <v>1019</v>
      </c>
      <c r="F1496" s="3">
        <v>74857</v>
      </c>
      <c r="G1496" s="3" t="s">
        <v>1018</v>
      </c>
      <c r="H1496" s="3" t="s">
        <v>1007</v>
      </c>
      <c r="I1496" s="3">
        <v>270014</v>
      </c>
      <c r="J1496" s="3">
        <v>270014</v>
      </c>
      <c r="K1496" s="3">
        <v>0</v>
      </c>
      <c r="L1496" s="3">
        <v>0</v>
      </c>
      <c r="M1496" s="3">
        <v>0</v>
      </c>
      <c r="N1496" s="3">
        <v>0</v>
      </c>
    </row>
    <row r="1497" spans="1:14" ht="14.4">
      <c r="A1497" s="3">
        <v>13586</v>
      </c>
      <c r="B1497" s="3">
        <v>13587</v>
      </c>
      <c r="C1497" s="3">
        <v>4117</v>
      </c>
      <c r="D1497" s="3" t="s">
        <v>1004</v>
      </c>
      <c r="E1497" s="3" t="s">
        <v>1020</v>
      </c>
      <c r="F1497" s="3">
        <v>73026</v>
      </c>
      <c r="G1497" s="3" t="s">
        <v>1018</v>
      </c>
      <c r="H1497" s="3" t="s">
        <v>1007</v>
      </c>
      <c r="I1497" s="3">
        <v>12171</v>
      </c>
      <c r="J1497" s="3">
        <v>12171</v>
      </c>
      <c r="K1497" s="3">
        <v>0</v>
      </c>
      <c r="L1497" s="3">
        <v>0</v>
      </c>
      <c r="M1497" s="3">
        <v>0</v>
      </c>
      <c r="N1497" s="3">
        <v>0</v>
      </c>
    </row>
    <row r="1498" spans="1:14" ht="14.4">
      <c r="A1498" s="3">
        <v>13586</v>
      </c>
      <c r="B1498" s="3">
        <v>13587</v>
      </c>
      <c r="C1498" s="3">
        <v>4117</v>
      </c>
      <c r="D1498" s="3" t="s">
        <v>1004</v>
      </c>
      <c r="E1498" s="3" t="s">
        <v>1020</v>
      </c>
      <c r="F1498" s="3">
        <v>73072</v>
      </c>
      <c r="G1498" s="3" t="s">
        <v>1018</v>
      </c>
      <c r="H1498" s="3" t="s">
        <v>1007</v>
      </c>
      <c r="I1498" s="3">
        <v>0</v>
      </c>
      <c r="J1498" s="3">
        <v>0</v>
      </c>
      <c r="K1498" s="3">
        <v>0</v>
      </c>
      <c r="L1498" s="3">
        <v>148500</v>
      </c>
      <c r="M1498" s="3">
        <v>0</v>
      </c>
      <c r="N1498" s="3">
        <v>0</v>
      </c>
    </row>
    <row r="1499" spans="1:14" ht="14.4">
      <c r="A1499" s="3">
        <v>13586</v>
      </c>
      <c r="B1499" s="3">
        <v>13587</v>
      </c>
      <c r="C1499" s="3">
        <v>4117</v>
      </c>
      <c r="D1499" s="3" t="s">
        <v>1004</v>
      </c>
      <c r="E1499" s="3" t="s">
        <v>1021</v>
      </c>
      <c r="F1499" s="3">
        <v>73165</v>
      </c>
      <c r="G1499" s="3" t="s">
        <v>1018</v>
      </c>
      <c r="H1499" s="3" t="s">
        <v>1007</v>
      </c>
      <c r="I1499" s="3">
        <v>18032</v>
      </c>
      <c r="J1499" s="3">
        <v>13680</v>
      </c>
      <c r="K1499" s="3">
        <v>4352</v>
      </c>
      <c r="L1499" s="3">
        <v>3900</v>
      </c>
      <c r="M1499" s="3">
        <v>0</v>
      </c>
      <c r="N1499" s="3">
        <v>3900</v>
      </c>
    </row>
    <row r="1500" spans="1:14" ht="14.4">
      <c r="A1500" s="3">
        <v>13586</v>
      </c>
      <c r="B1500" s="3">
        <v>13587</v>
      </c>
      <c r="C1500" s="3">
        <v>4117</v>
      </c>
      <c r="D1500" s="3" t="s">
        <v>1004</v>
      </c>
      <c r="E1500" s="3" t="s">
        <v>1021</v>
      </c>
      <c r="F1500" s="3">
        <v>73170</v>
      </c>
      <c r="G1500" s="3" t="s">
        <v>1018</v>
      </c>
      <c r="H1500" s="3" t="s">
        <v>1007</v>
      </c>
      <c r="I1500" s="3">
        <v>1016000</v>
      </c>
      <c r="J1500" s="3">
        <v>719534</v>
      </c>
      <c r="K1500" s="3">
        <v>296466</v>
      </c>
      <c r="L1500" s="3">
        <v>107100</v>
      </c>
      <c r="M1500" s="3">
        <v>78900</v>
      </c>
      <c r="N1500" s="3">
        <v>19400</v>
      </c>
    </row>
    <row r="1501" spans="1:14" ht="14.4">
      <c r="A1501" s="3">
        <v>13586</v>
      </c>
      <c r="B1501" s="3">
        <v>13587</v>
      </c>
      <c r="C1501" s="3">
        <v>4117</v>
      </c>
      <c r="D1501" s="3" t="s">
        <v>1004</v>
      </c>
      <c r="E1501" s="3" t="s">
        <v>1021</v>
      </c>
      <c r="F1501" s="3">
        <v>73102</v>
      </c>
      <c r="G1501" s="3" t="s">
        <v>1009</v>
      </c>
      <c r="H1501" s="3" t="s">
        <v>1007</v>
      </c>
      <c r="I1501" s="3">
        <v>70672</v>
      </c>
      <c r="J1501" s="3">
        <v>54998</v>
      </c>
      <c r="K1501" s="3">
        <v>15674</v>
      </c>
      <c r="L1501" s="3">
        <v>70700</v>
      </c>
      <c r="M1501" s="3">
        <v>55000</v>
      </c>
      <c r="N1501" s="3">
        <v>15700</v>
      </c>
    </row>
    <row r="1502" spans="1:14" ht="14.4">
      <c r="A1502" s="3">
        <v>13586</v>
      </c>
      <c r="B1502" s="3">
        <v>13587</v>
      </c>
      <c r="C1502" s="3">
        <v>4117</v>
      </c>
      <c r="D1502" s="3" t="s">
        <v>1004</v>
      </c>
      <c r="E1502" s="3" t="s">
        <v>1021</v>
      </c>
      <c r="F1502" s="3">
        <v>73103</v>
      </c>
      <c r="G1502" s="3" t="s">
        <v>1009</v>
      </c>
      <c r="H1502" s="3" t="s">
        <v>1007</v>
      </c>
      <c r="I1502" s="3">
        <v>123404</v>
      </c>
      <c r="J1502" s="3">
        <v>97485</v>
      </c>
      <c r="K1502" s="3">
        <v>25919</v>
      </c>
      <c r="L1502" s="3">
        <v>26800</v>
      </c>
      <c r="M1502" s="3">
        <v>25700</v>
      </c>
      <c r="N1502" s="3">
        <v>1100</v>
      </c>
    </row>
    <row r="1503" spans="1:14" ht="14.4">
      <c r="A1503" s="3">
        <v>13586</v>
      </c>
      <c r="B1503" s="3">
        <v>13587</v>
      </c>
      <c r="C1503" s="3">
        <v>4117</v>
      </c>
      <c r="D1503" s="3" t="s">
        <v>1004</v>
      </c>
      <c r="E1503" s="3" t="s">
        <v>1021</v>
      </c>
      <c r="F1503" s="3">
        <v>73106</v>
      </c>
      <c r="G1503" s="3" t="s">
        <v>1009</v>
      </c>
      <c r="H1503" s="3" t="s">
        <v>1007</v>
      </c>
      <c r="I1503" s="3">
        <v>220940</v>
      </c>
      <c r="J1503" s="3">
        <v>201134</v>
      </c>
      <c r="K1503" s="3">
        <v>19806</v>
      </c>
      <c r="L1503" s="3">
        <v>110800</v>
      </c>
      <c r="M1503" s="3">
        <v>100600</v>
      </c>
      <c r="N1503" s="3">
        <v>10200</v>
      </c>
    </row>
    <row r="1504" spans="1:14" ht="14.4">
      <c r="A1504" s="3">
        <v>13586</v>
      </c>
      <c r="B1504" s="3">
        <v>13587</v>
      </c>
      <c r="C1504" s="3">
        <v>4117</v>
      </c>
      <c r="D1504" s="3" t="s">
        <v>1004</v>
      </c>
      <c r="E1504" s="3" t="s">
        <v>1021</v>
      </c>
      <c r="F1504" s="3">
        <v>73107</v>
      </c>
      <c r="G1504" s="3" t="s">
        <v>1009</v>
      </c>
      <c r="H1504" s="3" t="s">
        <v>1007</v>
      </c>
      <c r="I1504" s="3">
        <v>50525</v>
      </c>
      <c r="J1504" s="3">
        <v>50525</v>
      </c>
      <c r="K1504" s="3">
        <v>0</v>
      </c>
      <c r="L1504" s="3">
        <v>49400</v>
      </c>
      <c r="M1504" s="3">
        <v>45100</v>
      </c>
      <c r="N1504" s="3">
        <v>0</v>
      </c>
    </row>
    <row r="1505" spans="1:14" ht="14.4">
      <c r="A1505" s="3">
        <v>13586</v>
      </c>
      <c r="B1505" s="3">
        <v>13587</v>
      </c>
      <c r="C1505" s="3">
        <v>4117</v>
      </c>
      <c r="D1505" s="3" t="s">
        <v>1004</v>
      </c>
      <c r="E1505" s="3" t="s">
        <v>1021</v>
      </c>
      <c r="F1505" s="3">
        <v>73109</v>
      </c>
      <c r="G1505" s="3" t="s">
        <v>1009</v>
      </c>
      <c r="H1505" s="3" t="s">
        <v>1007</v>
      </c>
      <c r="I1505" s="3">
        <v>102491</v>
      </c>
      <c r="J1505" s="3">
        <v>99041</v>
      </c>
      <c r="K1505" s="3">
        <v>3450</v>
      </c>
      <c r="L1505" s="3">
        <v>24800</v>
      </c>
      <c r="M1505" s="3">
        <v>24800</v>
      </c>
      <c r="N1505" s="3">
        <v>0</v>
      </c>
    </row>
    <row r="1506" spans="1:14" ht="14.4">
      <c r="A1506" s="3">
        <v>13586</v>
      </c>
      <c r="B1506" s="3">
        <v>13587</v>
      </c>
      <c r="C1506" s="3">
        <v>4117</v>
      </c>
      <c r="D1506" s="3" t="s">
        <v>1004</v>
      </c>
      <c r="E1506" s="3" t="s">
        <v>1021</v>
      </c>
      <c r="F1506" s="3">
        <v>73111</v>
      </c>
      <c r="G1506" s="3" t="s">
        <v>1009</v>
      </c>
      <c r="H1506" s="3" t="s">
        <v>1007</v>
      </c>
      <c r="I1506" s="3">
        <v>150103</v>
      </c>
      <c r="J1506" s="3">
        <v>110598</v>
      </c>
      <c r="K1506" s="3">
        <v>39505</v>
      </c>
      <c r="L1506" s="3">
        <v>28200</v>
      </c>
      <c r="M1506" s="3">
        <v>28200</v>
      </c>
      <c r="N1506" s="3">
        <v>0</v>
      </c>
    </row>
    <row r="1507" spans="1:14" ht="14.4">
      <c r="A1507" s="3">
        <v>13586</v>
      </c>
      <c r="B1507" s="3">
        <v>13587</v>
      </c>
      <c r="C1507" s="3">
        <v>4117</v>
      </c>
      <c r="D1507" s="3" t="s">
        <v>1004</v>
      </c>
      <c r="E1507" s="3" t="s">
        <v>1021</v>
      </c>
      <c r="F1507" s="3">
        <v>73112</v>
      </c>
      <c r="G1507" s="3" t="s">
        <v>1009</v>
      </c>
      <c r="H1507" s="3" t="s">
        <v>1007</v>
      </c>
      <c r="I1507" s="3">
        <v>73746</v>
      </c>
      <c r="J1507" s="3">
        <v>71846</v>
      </c>
      <c r="K1507" s="3">
        <v>1900</v>
      </c>
      <c r="L1507" s="3">
        <v>34400</v>
      </c>
      <c r="M1507" s="3">
        <v>32500</v>
      </c>
      <c r="N1507" s="3">
        <v>1900</v>
      </c>
    </row>
    <row r="1508" spans="1:14" ht="14.4">
      <c r="A1508" s="3">
        <v>13586</v>
      </c>
      <c r="B1508" s="3">
        <v>13587</v>
      </c>
      <c r="C1508" s="3">
        <v>4117</v>
      </c>
      <c r="D1508" s="3" t="s">
        <v>1004</v>
      </c>
      <c r="E1508" s="3" t="s">
        <v>1021</v>
      </c>
      <c r="F1508" s="3">
        <v>73117</v>
      </c>
      <c r="G1508" s="3" t="s">
        <v>1009</v>
      </c>
      <c r="H1508" s="3" t="s">
        <v>1007</v>
      </c>
      <c r="I1508" s="3">
        <v>1013076</v>
      </c>
      <c r="J1508" s="3">
        <v>950496</v>
      </c>
      <c r="K1508" s="3">
        <v>62580</v>
      </c>
      <c r="L1508" s="3">
        <v>751500</v>
      </c>
      <c r="M1508" s="3">
        <v>417400</v>
      </c>
      <c r="N1508" s="3">
        <v>62600</v>
      </c>
    </row>
    <row r="1509" spans="1:14" ht="14.4">
      <c r="A1509" s="3">
        <v>13586</v>
      </c>
      <c r="B1509" s="3">
        <v>13587</v>
      </c>
      <c r="C1509" s="3">
        <v>4117</v>
      </c>
      <c r="D1509" s="3" t="s">
        <v>1004</v>
      </c>
      <c r="E1509" s="3" t="s">
        <v>1021</v>
      </c>
      <c r="F1509" s="3">
        <v>73118</v>
      </c>
      <c r="G1509" s="3" t="s">
        <v>1009</v>
      </c>
      <c r="H1509" s="3" t="s">
        <v>1007</v>
      </c>
      <c r="I1509" s="3">
        <v>499674</v>
      </c>
      <c r="J1509" s="3">
        <v>490908</v>
      </c>
      <c r="K1509" s="3">
        <v>8766</v>
      </c>
      <c r="L1509" s="3">
        <v>0</v>
      </c>
      <c r="M1509" s="3">
        <v>0</v>
      </c>
      <c r="N1509" s="3">
        <v>0</v>
      </c>
    </row>
    <row r="1510" spans="1:14" ht="14.4">
      <c r="A1510" s="3">
        <v>13586</v>
      </c>
      <c r="B1510" s="3">
        <v>13587</v>
      </c>
      <c r="C1510" s="3">
        <v>4117</v>
      </c>
      <c r="D1510" s="3" t="s">
        <v>1004</v>
      </c>
      <c r="E1510" s="3" t="s">
        <v>1021</v>
      </c>
      <c r="F1510" s="3">
        <v>73119</v>
      </c>
      <c r="G1510" s="3" t="s">
        <v>1009</v>
      </c>
      <c r="H1510" s="3" t="s">
        <v>1007</v>
      </c>
      <c r="I1510" s="3">
        <v>767035</v>
      </c>
      <c r="J1510" s="3">
        <v>717010</v>
      </c>
      <c r="K1510" s="3">
        <v>50025</v>
      </c>
      <c r="L1510" s="3">
        <v>246000</v>
      </c>
      <c r="M1510" s="3">
        <v>206100</v>
      </c>
      <c r="N1510" s="3">
        <v>39900</v>
      </c>
    </row>
    <row r="1511" spans="1:14" ht="14.4">
      <c r="A1511" s="3">
        <v>13586</v>
      </c>
      <c r="B1511" s="3">
        <v>13587</v>
      </c>
      <c r="C1511" s="3">
        <v>4117</v>
      </c>
      <c r="D1511" s="3" t="s">
        <v>1004</v>
      </c>
      <c r="E1511" s="3" t="s">
        <v>1021</v>
      </c>
      <c r="F1511" s="3">
        <v>73128</v>
      </c>
      <c r="G1511" s="3" t="s">
        <v>1009</v>
      </c>
      <c r="H1511" s="3" t="s">
        <v>1007</v>
      </c>
      <c r="I1511" s="3">
        <v>648647</v>
      </c>
      <c r="J1511" s="3">
        <v>632919</v>
      </c>
      <c r="K1511" s="3">
        <v>15728</v>
      </c>
      <c r="L1511" s="3">
        <v>0</v>
      </c>
      <c r="M1511" s="3">
        <v>0</v>
      </c>
      <c r="N1511" s="3">
        <v>0</v>
      </c>
    </row>
    <row r="1512" spans="1:14" ht="14.4">
      <c r="A1512" s="3">
        <v>13586</v>
      </c>
      <c r="B1512" s="3">
        <v>13587</v>
      </c>
      <c r="C1512" s="3">
        <v>4117</v>
      </c>
      <c r="D1512" s="3" t="s">
        <v>1004</v>
      </c>
      <c r="E1512" s="3" t="s">
        <v>1021</v>
      </c>
      <c r="F1512" s="3">
        <v>73129</v>
      </c>
      <c r="G1512" s="3" t="s">
        <v>1009</v>
      </c>
      <c r="H1512" s="3" t="s">
        <v>1007</v>
      </c>
      <c r="I1512" s="3">
        <v>165287</v>
      </c>
      <c r="J1512" s="3">
        <v>110458</v>
      </c>
      <c r="K1512" s="3">
        <v>54829</v>
      </c>
      <c r="L1512" s="3">
        <v>53300</v>
      </c>
      <c r="M1512" s="3">
        <v>52500</v>
      </c>
      <c r="N1512" s="3">
        <v>800</v>
      </c>
    </row>
    <row r="1513" spans="1:14" ht="14.4">
      <c r="A1513" s="3">
        <v>13586</v>
      </c>
      <c r="B1513" s="3">
        <v>13587</v>
      </c>
      <c r="C1513" s="3">
        <v>4117</v>
      </c>
      <c r="D1513" s="3" t="s">
        <v>1004</v>
      </c>
      <c r="E1513" s="3" t="s">
        <v>1021</v>
      </c>
      <c r="F1513" s="3">
        <v>73135</v>
      </c>
      <c r="G1513" s="3" t="s">
        <v>1009</v>
      </c>
      <c r="H1513" s="3" t="s">
        <v>1007</v>
      </c>
      <c r="I1513" s="3">
        <v>78934</v>
      </c>
      <c r="J1513" s="3">
        <v>71234</v>
      </c>
      <c r="K1513" s="3">
        <v>7700</v>
      </c>
      <c r="L1513" s="3">
        <v>9000</v>
      </c>
      <c r="M1513" s="3">
        <v>9000</v>
      </c>
      <c r="N1513" s="3">
        <v>0</v>
      </c>
    </row>
    <row r="1514" spans="1:14" ht="14.4">
      <c r="A1514" s="3">
        <v>13586</v>
      </c>
      <c r="B1514" s="3">
        <v>13587</v>
      </c>
      <c r="C1514" s="3">
        <v>4117</v>
      </c>
      <c r="D1514" s="3" t="s">
        <v>1004</v>
      </c>
      <c r="E1514" s="3" t="s">
        <v>1021</v>
      </c>
      <c r="F1514" s="3">
        <v>73139</v>
      </c>
      <c r="G1514" s="3" t="s">
        <v>1009</v>
      </c>
      <c r="H1514" s="3" t="s">
        <v>1007</v>
      </c>
      <c r="I1514" s="3">
        <v>128062</v>
      </c>
      <c r="J1514" s="3">
        <v>84266</v>
      </c>
      <c r="K1514" s="3">
        <v>43796</v>
      </c>
      <c r="L1514" s="3">
        <v>82000</v>
      </c>
      <c r="M1514" s="3">
        <v>0</v>
      </c>
      <c r="N1514" s="3">
        <v>16000</v>
      </c>
    </row>
    <row r="1515" spans="1:14" ht="14.4">
      <c r="A1515" s="3">
        <v>13586</v>
      </c>
      <c r="B1515" s="3">
        <v>13587</v>
      </c>
      <c r="C1515" s="3">
        <v>4117</v>
      </c>
      <c r="D1515" s="3" t="s">
        <v>1004</v>
      </c>
      <c r="E1515" s="3" t="s">
        <v>1021</v>
      </c>
      <c r="F1515" s="3">
        <v>73141</v>
      </c>
      <c r="G1515" s="3" t="s">
        <v>1009</v>
      </c>
      <c r="H1515" s="3" t="s">
        <v>1007</v>
      </c>
      <c r="I1515" s="3">
        <v>35920</v>
      </c>
      <c r="J1515" s="3">
        <v>12720</v>
      </c>
      <c r="K1515" s="3">
        <v>23200</v>
      </c>
      <c r="L1515" s="3">
        <v>0</v>
      </c>
      <c r="M1515" s="3">
        <v>0</v>
      </c>
      <c r="N1515" s="3">
        <v>0</v>
      </c>
    </row>
    <row r="1516" spans="1:14" ht="14.4">
      <c r="A1516" s="3">
        <v>13586</v>
      </c>
      <c r="B1516" s="3">
        <v>13587</v>
      </c>
      <c r="C1516" s="3">
        <v>4117</v>
      </c>
      <c r="D1516" s="3" t="s">
        <v>1004</v>
      </c>
      <c r="E1516" s="3" t="s">
        <v>1021</v>
      </c>
      <c r="F1516" s="3">
        <v>73149</v>
      </c>
      <c r="G1516" s="3" t="s">
        <v>1009</v>
      </c>
      <c r="H1516" s="3" t="s">
        <v>1007</v>
      </c>
      <c r="I1516" s="3">
        <v>85183</v>
      </c>
      <c r="J1516" s="3">
        <v>85183</v>
      </c>
      <c r="K1516" s="3">
        <v>0</v>
      </c>
      <c r="L1516" s="3">
        <v>0</v>
      </c>
      <c r="M1516" s="3">
        <v>0</v>
      </c>
      <c r="N1516" s="3">
        <v>0</v>
      </c>
    </row>
    <row r="1517" spans="1:14" ht="14.4">
      <c r="A1517" s="3">
        <v>13586</v>
      </c>
      <c r="B1517" s="3">
        <v>13587</v>
      </c>
      <c r="C1517" s="3">
        <v>4117</v>
      </c>
      <c r="D1517" s="3" t="s">
        <v>1004</v>
      </c>
      <c r="E1517" s="3" t="s">
        <v>1021</v>
      </c>
      <c r="F1517" s="3">
        <v>73150</v>
      </c>
      <c r="G1517" s="3" t="s">
        <v>1009</v>
      </c>
      <c r="H1517" s="3" t="s">
        <v>1007</v>
      </c>
      <c r="I1517" s="3">
        <v>3220</v>
      </c>
      <c r="J1517" s="3">
        <v>0</v>
      </c>
      <c r="K1517" s="3">
        <v>3220</v>
      </c>
      <c r="L1517" s="3">
        <v>0</v>
      </c>
      <c r="M1517" s="3">
        <v>0</v>
      </c>
      <c r="N1517" s="3">
        <v>0</v>
      </c>
    </row>
    <row r="1518" spans="1:14" ht="14.4">
      <c r="A1518" s="3">
        <v>13586</v>
      </c>
      <c r="B1518" s="3">
        <v>13587</v>
      </c>
      <c r="C1518" s="3">
        <v>4117</v>
      </c>
      <c r="D1518" s="3" t="s">
        <v>1004</v>
      </c>
      <c r="E1518" s="3" t="s">
        <v>1021</v>
      </c>
      <c r="F1518" s="3">
        <v>73159</v>
      </c>
      <c r="G1518" s="3" t="s">
        <v>1009</v>
      </c>
      <c r="H1518" s="3" t="s">
        <v>1007</v>
      </c>
      <c r="I1518" s="3">
        <v>235774</v>
      </c>
      <c r="J1518" s="3">
        <v>136994</v>
      </c>
      <c r="K1518" s="3">
        <v>98780</v>
      </c>
      <c r="L1518" s="3">
        <v>12600</v>
      </c>
      <c r="M1518" s="3">
        <v>12600</v>
      </c>
      <c r="N1518" s="3">
        <v>0</v>
      </c>
    </row>
    <row r="1519" spans="1:14" ht="14.4">
      <c r="A1519" s="3">
        <v>13586</v>
      </c>
      <c r="B1519" s="3">
        <v>13587</v>
      </c>
      <c r="C1519" s="3">
        <v>4117</v>
      </c>
      <c r="D1519" s="3" t="s">
        <v>1004</v>
      </c>
      <c r="E1519" s="3" t="s">
        <v>1021</v>
      </c>
      <c r="F1519" s="3">
        <v>73169</v>
      </c>
      <c r="G1519" s="3" t="s">
        <v>1009</v>
      </c>
      <c r="H1519" s="3" t="s">
        <v>1007</v>
      </c>
      <c r="I1519" s="3">
        <v>51054</v>
      </c>
      <c r="J1519" s="3">
        <v>0</v>
      </c>
      <c r="K1519" s="3">
        <v>51054</v>
      </c>
      <c r="L1519" s="3">
        <v>14000</v>
      </c>
      <c r="M1519" s="3">
        <v>0</v>
      </c>
      <c r="N1519" s="3">
        <v>14000</v>
      </c>
    </row>
    <row r="1520" spans="1:14" ht="14.4">
      <c r="A1520" s="3">
        <v>13586</v>
      </c>
      <c r="B1520" s="3">
        <v>13587</v>
      </c>
      <c r="C1520" s="3">
        <v>4117</v>
      </c>
      <c r="D1520" s="3" t="s">
        <v>1004</v>
      </c>
      <c r="E1520" s="3" t="s">
        <v>1021</v>
      </c>
      <c r="F1520" s="3">
        <v>73179</v>
      </c>
      <c r="G1520" s="3" t="s">
        <v>1009</v>
      </c>
      <c r="H1520" s="3" t="s">
        <v>1007</v>
      </c>
      <c r="I1520" s="3">
        <v>219707</v>
      </c>
      <c r="J1520" s="3">
        <v>204607</v>
      </c>
      <c r="K1520" s="3">
        <v>15100</v>
      </c>
      <c r="L1520" s="3">
        <v>0</v>
      </c>
      <c r="M1520" s="3">
        <v>0</v>
      </c>
      <c r="N1520" s="3">
        <v>0</v>
      </c>
    </row>
    <row r="1521" spans="1:14" ht="14.4">
      <c r="A1521" s="3">
        <v>13586</v>
      </c>
      <c r="B1521" s="3">
        <v>13587</v>
      </c>
      <c r="C1521" s="3">
        <v>4117</v>
      </c>
      <c r="D1521" s="3" t="s">
        <v>1004</v>
      </c>
      <c r="E1521" s="3" t="s">
        <v>1022</v>
      </c>
      <c r="F1521" s="3">
        <v>74801</v>
      </c>
      <c r="G1521" s="3" t="s">
        <v>1015</v>
      </c>
      <c r="H1521" s="3" t="s">
        <v>1007</v>
      </c>
      <c r="I1521" s="3">
        <v>58235</v>
      </c>
      <c r="J1521" s="3">
        <v>58235</v>
      </c>
      <c r="K1521" s="3">
        <v>0</v>
      </c>
      <c r="L1521" s="3">
        <v>0</v>
      </c>
      <c r="M1521" s="3">
        <v>0</v>
      </c>
      <c r="N1521" s="3">
        <v>0</v>
      </c>
    </row>
    <row r="1522" spans="1:14" ht="14.4">
      <c r="A1522" s="3">
        <v>13586</v>
      </c>
      <c r="B1522" s="3">
        <v>13587</v>
      </c>
      <c r="C1522" s="3">
        <v>4117</v>
      </c>
      <c r="D1522" s="3" t="s">
        <v>1004</v>
      </c>
      <c r="E1522" s="3" t="s">
        <v>1022</v>
      </c>
      <c r="F1522" s="3">
        <v>74804</v>
      </c>
      <c r="G1522" s="3" t="s">
        <v>1015</v>
      </c>
      <c r="H1522" s="3" t="s">
        <v>1007</v>
      </c>
      <c r="I1522" s="3">
        <v>515308</v>
      </c>
      <c r="J1522" s="3">
        <v>439063</v>
      </c>
      <c r="K1522" s="3">
        <v>76245</v>
      </c>
      <c r="L1522" s="3">
        <v>0</v>
      </c>
      <c r="M1522" s="3">
        <v>0</v>
      </c>
      <c r="N1522" s="3">
        <v>0</v>
      </c>
    </row>
    <row r="1523" spans="1:14" ht="14.4">
      <c r="A1523" s="3">
        <v>13586</v>
      </c>
      <c r="B1523" s="3">
        <v>13587</v>
      </c>
      <c r="C1523" s="3">
        <v>4117</v>
      </c>
      <c r="D1523" s="3" t="s">
        <v>1004</v>
      </c>
      <c r="E1523" s="3" t="s">
        <v>1023</v>
      </c>
      <c r="F1523" s="3">
        <v>74875</v>
      </c>
      <c r="G1523" s="3" t="s">
        <v>1006</v>
      </c>
      <c r="H1523" s="3" t="s">
        <v>1007</v>
      </c>
      <c r="I1523" s="3">
        <v>91562</v>
      </c>
      <c r="J1523" s="3">
        <v>83562</v>
      </c>
      <c r="K1523" s="3">
        <v>8000</v>
      </c>
      <c r="L1523" s="3">
        <v>0</v>
      </c>
      <c r="M1523" s="3">
        <v>0</v>
      </c>
      <c r="N1523" s="3">
        <v>0</v>
      </c>
    </row>
    <row r="1524" spans="1:14" ht="14.4">
      <c r="A1524" s="3">
        <v>13586</v>
      </c>
      <c r="B1524" s="3">
        <v>13587</v>
      </c>
      <c r="C1524" s="3">
        <v>4117</v>
      </c>
      <c r="D1524" s="3" t="s">
        <v>1004</v>
      </c>
      <c r="E1524" s="3" t="s">
        <v>1024</v>
      </c>
      <c r="F1524" s="3">
        <v>74170</v>
      </c>
      <c r="G1524" s="3" t="s">
        <v>1018</v>
      </c>
      <c r="H1524" s="3" t="s">
        <v>1007</v>
      </c>
      <c r="I1524" s="3">
        <v>21675</v>
      </c>
      <c r="J1524" s="3">
        <v>0</v>
      </c>
      <c r="K1524" s="3">
        <v>21675</v>
      </c>
      <c r="L1524" s="3">
        <v>0</v>
      </c>
      <c r="M1524" s="3">
        <v>0</v>
      </c>
      <c r="N1524" s="3">
        <v>0</v>
      </c>
    </row>
    <row r="1525" spans="1:14" ht="14.4">
      <c r="A1525" s="3">
        <v>13586</v>
      </c>
      <c r="B1525" s="3">
        <v>13587</v>
      </c>
      <c r="C1525" s="3">
        <v>4117</v>
      </c>
      <c r="D1525" s="3" t="s">
        <v>1004</v>
      </c>
      <c r="E1525" s="3" t="s">
        <v>1025</v>
      </c>
      <c r="F1525" s="3">
        <v>73099</v>
      </c>
      <c r="G1525" s="3" t="s">
        <v>1012</v>
      </c>
      <c r="H1525" s="3" t="s">
        <v>1007</v>
      </c>
      <c r="I1525" s="3">
        <v>34700</v>
      </c>
      <c r="J1525" s="3">
        <v>0</v>
      </c>
      <c r="K1525" s="3">
        <v>34700</v>
      </c>
      <c r="L1525" s="3">
        <v>70800</v>
      </c>
      <c r="M1525" s="3">
        <v>0</v>
      </c>
      <c r="N1525" s="3">
        <v>4500</v>
      </c>
    </row>
    <row r="1526" spans="1:14" ht="14.4">
      <c r="A1526" s="3">
        <v>13633</v>
      </c>
      <c r="B1526" s="3">
        <v>13634</v>
      </c>
      <c r="C1526" s="3">
        <v>4122</v>
      </c>
      <c r="D1526" s="3" t="s">
        <v>1026</v>
      </c>
      <c r="E1526" s="3" t="s">
        <v>1027</v>
      </c>
      <c r="F1526" s="3">
        <v>99741</v>
      </c>
      <c r="G1526" s="3" t="s">
        <v>1028</v>
      </c>
      <c r="H1526" s="3" t="s">
        <v>1029</v>
      </c>
      <c r="I1526" s="3">
        <v>493834</v>
      </c>
      <c r="J1526" s="3">
        <v>443889</v>
      </c>
      <c r="K1526" s="3">
        <v>49945</v>
      </c>
      <c r="L1526" s="3">
        <v>0</v>
      </c>
      <c r="M1526" s="3">
        <v>0</v>
      </c>
      <c r="N1526" s="3">
        <v>0</v>
      </c>
    </row>
    <row r="1527" spans="1:14" ht="14.4">
      <c r="A1527" s="3">
        <v>13633</v>
      </c>
      <c r="B1527" s="3">
        <v>13634</v>
      </c>
      <c r="C1527" s="3">
        <v>4122</v>
      </c>
      <c r="D1527" s="3" t="s">
        <v>1026</v>
      </c>
      <c r="E1527" s="3" t="s">
        <v>1027</v>
      </c>
      <c r="F1527" s="3">
        <v>99741</v>
      </c>
      <c r="G1527" s="3" t="s">
        <v>1030</v>
      </c>
      <c r="H1527" s="3" t="s">
        <v>1029</v>
      </c>
      <c r="I1527" s="3">
        <v>607481</v>
      </c>
      <c r="J1527" s="3">
        <v>514666</v>
      </c>
      <c r="K1527" s="3">
        <v>92815</v>
      </c>
      <c r="L1527" s="3">
        <v>368300</v>
      </c>
      <c r="M1527" s="3">
        <v>298200</v>
      </c>
      <c r="N1527" s="3">
        <v>59800</v>
      </c>
    </row>
    <row r="1528" spans="1:14" ht="14.4">
      <c r="A1528" s="3">
        <v>13633</v>
      </c>
      <c r="B1528" s="3">
        <v>13634</v>
      </c>
      <c r="C1528" s="3">
        <v>4122</v>
      </c>
      <c r="D1528" s="3" t="s">
        <v>1026</v>
      </c>
      <c r="E1528" s="3" t="s">
        <v>1031</v>
      </c>
      <c r="F1528" s="3">
        <v>99745</v>
      </c>
      <c r="G1528" s="3" t="s">
        <v>1030</v>
      </c>
      <c r="H1528" s="3" t="s">
        <v>1029</v>
      </c>
      <c r="I1528" s="3">
        <v>12903</v>
      </c>
      <c r="J1528" s="3">
        <v>12903</v>
      </c>
      <c r="K1528" s="3">
        <v>0</v>
      </c>
      <c r="L1528" s="3">
        <v>0</v>
      </c>
      <c r="M1528" s="3">
        <v>0</v>
      </c>
      <c r="N1528" s="3">
        <v>0</v>
      </c>
    </row>
    <row r="1529" spans="1:14" ht="14.4">
      <c r="A1529" s="3">
        <v>13633</v>
      </c>
      <c r="B1529" s="3">
        <v>13634</v>
      </c>
      <c r="C1529" s="3">
        <v>4122</v>
      </c>
      <c r="D1529" s="3" t="s">
        <v>1026</v>
      </c>
      <c r="E1529" s="3" t="s">
        <v>1032</v>
      </c>
      <c r="F1529" s="3">
        <v>99780</v>
      </c>
      <c r="G1529" s="3" t="s">
        <v>1033</v>
      </c>
      <c r="H1529" s="3" t="s">
        <v>1029</v>
      </c>
      <c r="I1529" s="3">
        <v>117955</v>
      </c>
      <c r="J1529" s="3">
        <v>88680</v>
      </c>
      <c r="K1529" s="3">
        <v>29275</v>
      </c>
      <c r="L1529" s="3">
        <v>69000</v>
      </c>
      <c r="M1529" s="3">
        <v>42400</v>
      </c>
      <c r="N1529" s="3">
        <v>19500</v>
      </c>
    </row>
    <row r="1530" spans="1:14" ht="14.4">
      <c r="A1530" s="3">
        <v>13768</v>
      </c>
      <c r="B1530" s="3">
        <v>13769</v>
      </c>
      <c r="C1530" s="3">
        <v>4145</v>
      </c>
      <c r="D1530" s="3" t="s">
        <v>1034</v>
      </c>
      <c r="E1530" s="3" t="s">
        <v>1035</v>
      </c>
      <c r="F1530" s="3">
        <v>80510</v>
      </c>
      <c r="G1530" s="3" t="s">
        <v>1036</v>
      </c>
      <c r="H1530" s="3" t="s">
        <v>1037</v>
      </c>
      <c r="I1530" s="3">
        <v>66524</v>
      </c>
      <c r="J1530" s="3">
        <v>66524</v>
      </c>
      <c r="K1530" s="3">
        <v>0</v>
      </c>
      <c r="L1530" s="3">
        <v>32400</v>
      </c>
      <c r="M1530" s="3">
        <v>3100</v>
      </c>
      <c r="N1530" s="3">
        <v>0</v>
      </c>
    </row>
    <row r="1531" spans="1:14" ht="14.4">
      <c r="A1531" s="3">
        <v>13768</v>
      </c>
      <c r="B1531" s="3">
        <v>13769</v>
      </c>
      <c r="C1531" s="3">
        <v>4145</v>
      </c>
      <c r="D1531" s="3" t="s">
        <v>1034</v>
      </c>
      <c r="E1531" s="3" t="s">
        <v>1038</v>
      </c>
      <c r="F1531" s="3">
        <v>80002</v>
      </c>
      <c r="G1531" s="3" t="s">
        <v>1039</v>
      </c>
      <c r="H1531" s="3" t="s">
        <v>1037</v>
      </c>
      <c r="I1531" s="3">
        <v>39927</v>
      </c>
      <c r="J1531" s="3">
        <v>39927</v>
      </c>
      <c r="K1531" s="3">
        <v>0</v>
      </c>
      <c r="L1531" s="3">
        <v>36400</v>
      </c>
      <c r="M1531" s="3">
        <v>0</v>
      </c>
      <c r="N1531" s="3">
        <v>0</v>
      </c>
    </row>
    <row r="1532" spans="1:14" ht="14.4">
      <c r="A1532" s="3">
        <v>13768</v>
      </c>
      <c r="B1532" s="3">
        <v>13769</v>
      </c>
      <c r="C1532" s="3">
        <v>4145</v>
      </c>
      <c r="D1532" s="3" t="s">
        <v>1034</v>
      </c>
      <c r="E1532" s="3" t="s">
        <v>1038</v>
      </c>
      <c r="F1532" s="3">
        <v>80005</v>
      </c>
      <c r="G1532" s="3" t="s">
        <v>1039</v>
      </c>
      <c r="H1532" s="3" t="s">
        <v>1037</v>
      </c>
      <c r="I1532" s="3">
        <v>12469</v>
      </c>
      <c r="J1532" s="3">
        <v>0</v>
      </c>
      <c r="K1532" s="3">
        <v>12469</v>
      </c>
      <c r="L1532" s="3">
        <v>12500</v>
      </c>
      <c r="M1532" s="3">
        <v>0</v>
      </c>
      <c r="N1532" s="3">
        <v>12500</v>
      </c>
    </row>
    <row r="1533" spans="1:14" ht="14.4">
      <c r="A1533" s="3">
        <v>13768</v>
      </c>
      <c r="B1533" s="3">
        <v>13769</v>
      </c>
      <c r="C1533" s="3">
        <v>4145</v>
      </c>
      <c r="D1533" s="3" t="s">
        <v>1034</v>
      </c>
      <c r="E1533" s="3" t="s">
        <v>1040</v>
      </c>
      <c r="F1533" s="3">
        <v>80722</v>
      </c>
      <c r="G1533" s="3" t="s">
        <v>1041</v>
      </c>
      <c r="H1533" s="3" t="s">
        <v>1037</v>
      </c>
      <c r="I1533" s="3">
        <v>0</v>
      </c>
      <c r="J1533" s="3">
        <v>0</v>
      </c>
      <c r="K1533" s="3">
        <v>0</v>
      </c>
      <c r="L1533" s="3">
        <v>62400</v>
      </c>
      <c r="M1533" s="3">
        <v>0</v>
      </c>
      <c r="N1533" s="3">
        <v>0</v>
      </c>
    </row>
    <row r="1534" spans="1:14" ht="14.4">
      <c r="A1534" s="3">
        <v>13768</v>
      </c>
      <c r="B1534" s="3">
        <v>13769</v>
      </c>
      <c r="C1534" s="3">
        <v>4145</v>
      </c>
      <c r="D1534" s="3" t="s">
        <v>1034</v>
      </c>
      <c r="E1534" s="3" t="s">
        <v>905</v>
      </c>
      <c r="F1534" s="3">
        <v>80010</v>
      </c>
      <c r="G1534" s="3" t="s">
        <v>1042</v>
      </c>
      <c r="H1534" s="3" t="s">
        <v>1037</v>
      </c>
      <c r="I1534" s="3">
        <v>84479</v>
      </c>
      <c r="J1534" s="3">
        <v>82379</v>
      </c>
      <c r="K1534" s="3">
        <v>2100</v>
      </c>
      <c r="L1534" s="3">
        <v>0</v>
      </c>
      <c r="M1534" s="3">
        <v>0</v>
      </c>
      <c r="N1534" s="3">
        <v>0</v>
      </c>
    </row>
    <row r="1535" spans="1:14" ht="14.4">
      <c r="A1535" s="3">
        <v>13768</v>
      </c>
      <c r="B1535" s="3">
        <v>13769</v>
      </c>
      <c r="C1535" s="3">
        <v>4145</v>
      </c>
      <c r="D1535" s="3" t="s">
        <v>1034</v>
      </c>
      <c r="E1535" s="3" t="s">
        <v>905</v>
      </c>
      <c r="F1535" s="3">
        <v>80011</v>
      </c>
      <c r="G1535" s="3" t="s">
        <v>1042</v>
      </c>
      <c r="H1535" s="3" t="s">
        <v>1037</v>
      </c>
      <c r="I1535" s="3">
        <v>21666</v>
      </c>
      <c r="J1535" s="3">
        <v>21366</v>
      </c>
      <c r="K1535" s="3">
        <v>300</v>
      </c>
      <c r="L1535" s="3">
        <v>0</v>
      </c>
      <c r="M1535" s="3">
        <v>0</v>
      </c>
      <c r="N1535" s="3">
        <v>0</v>
      </c>
    </row>
    <row r="1536" spans="1:14" ht="14.4">
      <c r="A1536" s="3">
        <v>13768</v>
      </c>
      <c r="B1536" s="3">
        <v>13769</v>
      </c>
      <c r="C1536" s="3">
        <v>4145</v>
      </c>
      <c r="D1536" s="3" t="s">
        <v>1034</v>
      </c>
      <c r="E1536" s="3" t="s">
        <v>905</v>
      </c>
      <c r="F1536" s="3">
        <v>80010</v>
      </c>
      <c r="G1536" s="3" t="s">
        <v>1043</v>
      </c>
      <c r="H1536" s="3" t="s">
        <v>1037</v>
      </c>
      <c r="I1536" s="3">
        <v>36957</v>
      </c>
      <c r="J1536" s="3">
        <v>36957</v>
      </c>
      <c r="K1536" s="3">
        <v>0</v>
      </c>
      <c r="L1536" s="3">
        <v>0</v>
      </c>
      <c r="M1536" s="3">
        <v>0</v>
      </c>
      <c r="N1536" s="3">
        <v>0</v>
      </c>
    </row>
    <row r="1537" spans="1:14" ht="14.4">
      <c r="A1537" s="3">
        <v>13768</v>
      </c>
      <c r="B1537" s="3">
        <v>13769</v>
      </c>
      <c r="C1537" s="3">
        <v>4145</v>
      </c>
      <c r="D1537" s="3" t="s">
        <v>1034</v>
      </c>
      <c r="E1537" s="3" t="s">
        <v>905</v>
      </c>
      <c r="F1537" s="3">
        <v>80011</v>
      </c>
      <c r="G1537" s="3" t="s">
        <v>1043</v>
      </c>
      <c r="H1537" s="3" t="s">
        <v>1037</v>
      </c>
      <c r="I1537" s="3">
        <v>72869</v>
      </c>
      <c r="J1537" s="3">
        <v>69804</v>
      </c>
      <c r="K1537" s="3">
        <v>3065</v>
      </c>
      <c r="L1537" s="3">
        <v>26200</v>
      </c>
      <c r="M1537" s="3">
        <v>26200</v>
      </c>
      <c r="N1537" s="3">
        <v>0</v>
      </c>
    </row>
    <row r="1538" spans="1:14" ht="14.4">
      <c r="A1538" s="3">
        <v>13768</v>
      </c>
      <c r="B1538" s="3">
        <v>13769</v>
      </c>
      <c r="C1538" s="3">
        <v>4145</v>
      </c>
      <c r="D1538" s="3" t="s">
        <v>1034</v>
      </c>
      <c r="E1538" s="3" t="s">
        <v>905</v>
      </c>
      <c r="F1538" s="3">
        <v>80012</v>
      </c>
      <c r="G1538" s="3" t="s">
        <v>1043</v>
      </c>
      <c r="H1538" s="3" t="s">
        <v>1037</v>
      </c>
      <c r="I1538" s="3">
        <v>50132</v>
      </c>
      <c r="J1538" s="3">
        <v>49967</v>
      </c>
      <c r="K1538" s="3">
        <v>165</v>
      </c>
      <c r="L1538" s="3">
        <v>48000</v>
      </c>
      <c r="M1538" s="3">
        <v>45300</v>
      </c>
      <c r="N1538" s="3">
        <v>100</v>
      </c>
    </row>
    <row r="1539" spans="1:14" ht="14.4">
      <c r="A1539" s="3">
        <v>13768</v>
      </c>
      <c r="B1539" s="3">
        <v>13769</v>
      </c>
      <c r="C1539" s="3">
        <v>4145</v>
      </c>
      <c r="D1539" s="3" t="s">
        <v>1034</v>
      </c>
      <c r="E1539" s="3" t="s">
        <v>905</v>
      </c>
      <c r="F1539" s="3">
        <v>80013</v>
      </c>
      <c r="G1539" s="3" t="s">
        <v>1043</v>
      </c>
      <c r="H1539" s="3" t="s">
        <v>1037</v>
      </c>
      <c r="I1539" s="3">
        <v>7803</v>
      </c>
      <c r="J1539" s="3">
        <v>7803</v>
      </c>
      <c r="K1539" s="3">
        <v>0</v>
      </c>
      <c r="L1539" s="3">
        <v>0</v>
      </c>
      <c r="M1539" s="3">
        <v>0</v>
      </c>
      <c r="N1539" s="3">
        <v>0</v>
      </c>
    </row>
    <row r="1540" spans="1:14" ht="14.4">
      <c r="A1540" s="3">
        <v>13768</v>
      </c>
      <c r="B1540" s="3">
        <v>13769</v>
      </c>
      <c r="C1540" s="3">
        <v>4145</v>
      </c>
      <c r="D1540" s="3" t="s">
        <v>1034</v>
      </c>
      <c r="E1540" s="3" t="s">
        <v>905</v>
      </c>
      <c r="F1540" s="3">
        <v>80014</v>
      </c>
      <c r="G1540" s="3" t="s">
        <v>1043</v>
      </c>
      <c r="H1540" s="3" t="s">
        <v>1037</v>
      </c>
      <c r="I1540" s="3">
        <v>184299</v>
      </c>
      <c r="J1540" s="3">
        <v>184299</v>
      </c>
      <c r="K1540" s="3">
        <v>0</v>
      </c>
      <c r="L1540" s="3">
        <v>164600</v>
      </c>
      <c r="M1540" s="3">
        <v>164600</v>
      </c>
      <c r="N1540" s="3">
        <v>0</v>
      </c>
    </row>
    <row r="1541" spans="1:14" ht="14.4">
      <c r="A1541" s="3">
        <v>13768</v>
      </c>
      <c r="B1541" s="3">
        <v>13769</v>
      </c>
      <c r="C1541" s="3">
        <v>4145</v>
      </c>
      <c r="D1541" s="3" t="s">
        <v>1034</v>
      </c>
      <c r="E1541" s="3" t="s">
        <v>905</v>
      </c>
      <c r="F1541" s="3">
        <v>80015</v>
      </c>
      <c r="G1541" s="3" t="s">
        <v>1043</v>
      </c>
      <c r="H1541" s="3" t="s">
        <v>1037</v>
      </c>
      <c r="I1541" s="3">
        <v>20498</v>
      </c>
      <c r="J1541" s="3">
        <v>0</v>
      </c>
      <c r="K1541" s="3">
        <v>20498</v>
      </c>
      <c r="L1541" s="3">
        <v>0</v>
      </c>
      <c r="M1541" s="3">
        <v>0</v>
      </c>
      <c r="N1541" s="3">
        <v>0</v>
      </c>
    </row>
    <row r="1542" spans="1:14" ht="14.4">
      <c r="A1542" s="3">
        <v>13768</v>
      </c>
      <c r="B1542" s="3">
        <v>13769</v>
      </c>
      <c r="C1542" s="3">
        <v>4145</v>
      </c>
      <c r="D1542" s="3" t="s">
        <v>1034</v>
      </c>
      <c r="E1542" s="3" t="s">
        <v>905</v>
      </c>
      <c r="F1542" s="3">
        <v>80017</v>
      </c>
      <c r="G1542" s="3" t="s">
        <v>1043</v>
      </c>
      <c r="H1542" s="3" t="s">
        <v>1037</v>
      </c>
      <c r="I1542" s="3">
        <v>14925</v>
      </c>
      <c r="J1542" s="3">
        <v>12225</v>
      </c>
      <c r="K1542" s="3">
        <v>2700</v>
      </c>
      <c r="L1542" s="3">
        <v>14000</v>
      </c>
      <c r="M1542" s="3">
        <v>12200</v>
      </c>
      <c r="N1542" s="3">
        <v>1800</v>
      </c>
    </row>
    <row r="1543" spans="1:14" ht="14.4">
      <c r="A1543" s="3">
        <v>13768</v>
      </c>
      <c r="B1543" s="3">
        <v>13769</v>
      </c>
      <c r="C1543" s="3">
        <v>4145</v>
      </c>
      <c r="D1543" s="3" t="s">
        <v>1034</v>
      </c>
      <c r="E1543" s="3" t="s">
        <v>1044</v>
      </c>
      <c r="F1543" s="3">
        <v>80512</v>
      </c>
      <c r="G1543" s="3" t="s">
        <v>1045</v>
      </c>
      <c r="H1543" s="3" t="s">
        <v>1037</v>
      </c>
      <c r="I1543" s="3">
        <v>55351</v>
      </c>
      <c r="J1543" s="3">
        <v>54351</v>
      </c>
      <c r="K1543" s="3">
        <v>1000</v>
      </c>
      <c r="L1543" s="3">
        <v>68300</v>
      </c>
      <c r="M1543" s="3">
        <v>54400</v>
      </c>
      <c r="N1543" s="3">
        <v>0</v>
      </c>
    </row>
    <row r="1544" spans="1:14" ht="14.4">
      <c r="A1544" s="3">
        <v>13768</v>
      </c>
      <c r="B1544" s="3">
        <v>13769</v>
      </c>
      <c r="C1544" s="3">
        <v>4145</v>
      </c>
      <c r="D1544" s="3" t="s">
        <v>1034</v>
      </c>
      <c r="E1544" s="3" t="s">
        <v>1046</v>
      </c>
      <c r="F1544" s="3">
        <v>80513</v>
      </c>
      <c r="G1544" s="3" t="s">
        <v>1045</v>
      </c>
      <c r="H1544" s="3" t="s">
        <v>1037</v>
      </c>
      <c r="I1544" s="3">
        <v>74168</v>
      </c>
      <c r="J1544" s="3">
        <v>74168</v>
      </c>
      <c r="K1544" s="3">
        <v>0</v>
      </c>
      <c r="L1544" s="3">
        <v>84200</v>
      </c>
      <c r="M1544" s="3">
        <v>74200</v>
      </c>
      <c r="N1544" s="3">
        <v>0</v>
      </c>
    </row>
    <row r="1545" spans="1:14" ht="14.4">
      <c r="A1545" s="3">
        <v>13768</v>
      </c>
      <c r="B1545" s="3">
        <v>13769</v>
      </c>
      <c r="C1545" s="3">
        <v>4145</v>
      </c>
      <c r="D1545" s="3" t="s">
        <v>1034</v>
      </c>
      <c r="E1545" s="3" t="s">
        <v>1036</v>
      </c>
      <c r="F1545" s="3">
        <v>80301</v>
      </c>
      <c r="G1545" s="3" t="s">
        <v>1036</v>
      </c>
      <c r="H1545" s="3" t="s">
        <v>1037</v>
      </c>
      <c r="I1545" s="3">
        <v>1148428</v>
      </c>
      <c r="J1545" s="3">
        <v>757395</v>
      </c>
      <c r="K1545" s="3">
        <v>391033</v>
      </c>
      <c r="L1545" s="3">
        <v>354600</v>
      </c>
      <c r="M1545" s="3">
        <v>156800</v>
      </c>
      <c r="N1545" s="3">
        <v>53600</v>
      </c>
    </row>
    <row r="1546" spans="1:14" ht="14.4">
      <c r="A1546" s="3">
        <v>13768</v>
      </c>
      <c r="B1546" s="3">
        <v>13769</v>
      </c>
      <c r="C1546" s="3">
        <v>4145</v>
      </c>
      <c r="D1546" s="3" t="s">
        <v>1034</v>
      </c>
      <c r="E1546" s="3" t="s">
        <v>1036</v>
      </c>
      <c r="F1546" s="3">
        <v>80302</v>
      </c>
      <c r="G1546" s="3" t="s">
        <v>1036</v>
      </c>
      <c r="H1546" s="3" t="s">
        <v>1037</v>
      </c>
      <c r="I1546" s="3">
        <v>3698665</v>
      </c>
      <c r="J1546" s="3">
        <v>3593820</v>
      </c>
      <c r="K1546" s="3">
        <v>104845</v>
      </c>
      <c r="L1546" s="3">
        <v>3055000</v>
      </c>
      <c r="M1546" s="3">
        <v>2745400</v>
      </c>
      <c r="N1546" s="3">
        <v>59400</v>
      </c>
    </row>
    <row r="1547" spans="1:14" ht="14.4">
      <c r="A1547" s="3">
        <v>13768</v>
      </c>
      <c r="B1547" s="3">
        <v>13769</v>
      </c>
      <c r="C1547" s="3">
        <v>4145</v>
      </c>
      <c r="D1547" s="3" t="s">
        <v>1034</v>
      </c>
      <c r="E1547" s="3" t="s">
        <v>1036</v>
      </c>
      <c r="F1547" s="3">
        <v>80303</v>
      </c>
      <c r="G1547" s="3" t="s">
        <v>1036</v>
      </c>
      <c r="H1547" s="3" t="s">
        <v>1037</v>
      </c>
      <c r="I1547" s="3">
        <v>2629483</v>
      </c>
      <c r="J1547" s="3">
        <v>2461254</v>
      </c>
      <c r="K1547" s="3">
        <v>168229</v>
      </c>
      <c r="L1547" s="3">
        <v>1812800</v>
      </c>
      <c r="M1547" s="3">
        <v>1683800</v>
      </c>
      <c r="N1547" s="3">
        <v>93800</v>
      </c>
    </row>
    <row r="1548" spans="1:14" ht="14.4">
      <c r="A1548" s="3">
        <v>13768</v>
      </c>
      <c r="B1548" s="3">
        <v>13769</v>
      </c>
      <c r="C1548" s="3">
        <v>4145</v>
      </c>
      <c r="D1548" s="3" t="s">
        <v>1034</v>
      </c>
      <c r="E1548" s="3" t="s">
        <v>1036</v>
      </c>
      <c r="F1548" s="3">
        <v>80304</v>
      </c>
      <c r="G1548" s="3" t="s">
        <v>1036</v>
      </c>
      <c r="H1548" s="3" t="s">
        <v>1037</v>
      </c>
      <c r="I1548" s="3">
        <v>2448804</v>
      </c>
      <c r="J1548" s="3">
        <v>1971795</v>
      </c>
      <c r="K1548" s="3">
        <v>477009</v>
      </c>
      <c r="L1548" s="3">
        <v>661800</v>
      </c>
      <c r="M1548" s="3">
        <v>283700</v>
      </c>
      <c r="N1548" s="3">
        <v>329200</v>
      </c>
    </row>
    <row r="1549" spans="1:14" ht="14.4">
      <c r="A1549" s="3">
        <v>13768</v>
      </c>
      <c r="B1549" s="3">
        <v>13769</v>
      </c>
      <c r="C1549" s="3">
        <v>4145</v>
      </c>
      <c r="D1549" s="3" t="s">
        <v>1034</v>
      </c>
      <c r="E1549" s="3" t="s">
        <v>1036</v>
      </c>
      <c r="F1549" s="3">
        <v>80305</v>
      </c>
      <c r="G1549" s="3" t="s">
        <v>1036</v>
      </c>
      <c r="H1549" s="3" t="s">
        <v>1037</v>
      </c>
      <c r="I1549" s="3">
        <v>998669</v>
      </c>
      <c r="J1549" s="3">
        <v>930021</v>
      </c>
      <c r="K1549" s="3">
        <v>68648</v>
      </c>
      <c r="L1549" s="3">
        <v>629600</v>
      </c>
      <c r="M1549" s="3">
        <v>598600</v>
      </c>
      <c r="N1549" s="3">
        <v>14800</v>
      </c>
    </row>
    <row r="1550" spans="1:14" ht="14.4">
      <c r="A1550" s="3">
        <v>13768</v>
      </c>
      <c r="B1550" s="3">
        <v>13769</v>
      </c>
      <c r="C1550" s="3">
        <v>4145</v>
      </c>
      <c r="D1550" s="3" t="s">
        <v>1034</v>
      </c>
      <c r="E1550" s="3" t="s">
        <v>1036</v>
      </c>
      <c r="F1550" s="3">
        <v>80308</v>
      </c>
      <c r="G1550" s="3" t="s">
        <v>1036</v>
      </c>
      <c r="H1550" s="3" t="s">
        <v>1037</v>
      </c>
      <c r="I1550" s="3">
        <v>30173</v>
      </c>
      <c r="J1550" s="3">
        <v>30173</v>
      </c>
      <c r="K1550" s="3">
        <v>0</v>
      </c>
      <c r="L1550" s="3">
        <v>31900</v>
      </c>
      <c r="M1550" s="3">
        <v>30200</v>
      </c>
      <c r="N1550" s="3">
        <v>0</v>
      </c>
    </row>
    <row r="1551" spans="1:14" ht="14.4">
      <c r="A1551" s="3">
        <v>13768</v>
      </c>
      <c r="B1551" s="3">
        <v>13769</v>
      </c>
      <c r="C1551" s="3">
        <v>4145</v>
      </c>
      <c r="D1551" s="3" t="s">
        <v>1034</v>
      </c>
      <c r="E1551" s="3" t="s">
        <v>457</v>
      </c>
      <c r="F1551" s="3">
        <v>80601</v>
      </c>
      <c r="G1551" s="3" t="s">
        <v>1042</v>
      </c>
      <c r="H1551" s="3" t="s">
        <v>1037</v>
      </c>
      <c r="I1551" s="3">
        <v>21674</v>
      </c>
      <c r="J1551" s="3">
        <v>18274</v>
      </c>
      <c r="K1551" s="3">
        <v>3400</v>
      </c>
      <c r="L1551" s="3">
        <v>0</v>
      </c>
      <c r="M1551" s="3">
        <v>0</v>
      </c>
      <c r="N1551" s="3">
        <v>0</v>
      </c>
    </row>
    <row r="1552" spans="1:14" ht="14.4">
      <c r="A1552" s="3">
        <v>13768</v>
      </c>
      <c r="B1552" s="3">
        <v>13769</v>
      </c>
      <c r="C1552" s="3">
        <v>4145</v>
      </c>
      <c r="D1552" s="3" t="s">
        <v>1034</v>
      </c>
      <c r="E1552" s="3" t="s">
        <v>1047</v>
      </c>
      <c r="F1552" s="3">
        <v>81212</v>
      </c>
      <c r="G1552" s="3" t="s">
        <v>1048</v>
      </c>
      <c r="H1552" s="3" t="s">
        <v>1037</v>
      </c>
      <c r="I1552" s="3">
        <v>83840</v>
      </c>
      <c r="J1552" s="3">
        <v>80537</v>
      </c>
      <c r="K1552" s="3">
        <v>3303</v>
      </c>
      <c r="L1552" s="3">
        <v>0</v>
      </c>
      <c r="M1552" s="3">
        <v>0</v>
      </c>
      <c r="N1552" s="3">
        <v>0</v>
      </c>
    </row>
    <row r="1553" spans="1:14" ht="14.4">
      <c r="A1553" s="3">
        <v>13768</v>
      </c>
      <c r="B1553" s="3">
        <v>13769</v>
      </c>
      <c r="C1553" s="3">
        <v>4145</v>
      </c>
      <c r="D1553" s="3" t="s">
        <v>1034</v>
      </c>
      <c r="E1553" s="3" t="s">
        <v>1049</v>
      </c>
      <c r="F1553" s="3">
        <v>80903</v>
      </c>
      <c r="G1553" s="3" t="s">
        <v>1050</v>
      </c>
      <c r="H1553" s="3" t="s">
        <v>1037</v>
      </c>
      <c r="I1553" s="3">
        <v>25193</v>
      </c>
      <c r="J1553" s="3">
        <v>23193</v>
      </c>
      <c r="K1553" s="3">
        <v>2000</v>
      </c>
      <c r="L1553" s="3">
        <v>14000</v>
      </c>
      <c r="M1553" s="3">
        <v>14000</v>
      </c>
      <c r="N1553" s="3">
        <v>0</v>
      </c>
    </row>
    <row r="1554" spans="1:14" ht="14.4">
      <c r="A1554" s="3">
        <v>13768</v>
      </c>
      <c r="B1554" s="3">
        <v>13769</v>
      </c>
      <c r="C1554" s="3">
        <v>4145</v>
      </c>
      <c r="D1554" s="3" t="s">
        <v>1034</v>
      </c>
      <c r="E1554" s="3" t="s">
        <v>1049</v>
      </c>
      <c r="F1554" s="3">
        <v>80904</v>
      </c>
      <c r="G1554" s="3" t="s">
        <v>1050</v>
      </c>
      <c r="H1554" s="3" t="s">
        <v>1037</v>
      </c>
      <c r="I1554" s="3">
        <v>93155</v>
      </c>
      <c r="J1554" s="3">
        <v>79630</v>
      </c>
      <c r="K1554" s="3">
        <v>13525</v>
      </c>
      <c r="L1554" s="3">
        <v>94000</v>
      </c>
      <c r="M1554" s="3">
        <v>67500</v>
      </c>
      <c r="N1554" s="3">
        <v>13500</v>
      </c>
    </row>
    <row r="1555" spans="1:14" ht="14.4">
      <c r="A1555" s="3">
        <v>13768</v>
      </c>
      <c r="B1555" s="3">
        <v>13769</v>
      </c>
      <c r="C1555" s="3">
        <v>4145</v>
      </c>
      <c r="D1555" s="3" t="s">
        <v>1034</v>
      </c>
      <c r="E1555" s="3" t="s">
        <v>1049</v>
      </c>
      <c r="F1555" s="3">
        <v>80905</v>
      </c>
      <c r="G1555" s="3" t="s">
        <v>1050</v>
      </c>
      <c r="H1555" s="3" t="s">
        <v>1037</v>
      </c>
      <c r="I1555" s="3">
        <v>78031</v>
      </c>
      <c r="J1555" s="3">
        <v>76161</v>
      </c>
      <c r="K1555" s="3">
        <v>1870</v>
      </c>
      <c r="L1555" s="3">
        <v>24300</v>
      </c>
      <c r="M1555" s="3">
        <v>24300</v>
      </c>
      <c r="N1555" s="3">
        <v>0</v>
      </c>
    </row>
    <row r="1556" spans="1:14" ht="14.4">
      <c r="A1556" s="3">
        <v>13768</v>
      </c>
      <c r="B1556" s="3">
        <v>13769</v>
      </c>
      <c r="C1556" s="3">
        <v>4145</v>
      </c>
      <c r="D1556" s="3" t="s">
        <v>1034</v>
      </c>
      <c r="E1556" s="3" t="s">
        <v>1049</v>
      </c>
      <c r="F1556" s="3">
        <v>80906</v>
      </c>
      <c r="G1556" s="3" t="s">
        <v>1050</v>
      </c>
      <c r="H1556" s="3" t="s">
        <v>1037</v>
      </c>
      <c r="I1556" s="3">
        <v>213172</v>
      </c>
      <c r="J1556" s="3">
        <v>213172</v>
      </c>
      <c r="K1556" s="3">
        <v>0</v>
      </c>
      <c r="L1556" s="3">
        <v>24400</v>
      </c>
      <c r="M1556" s="3">
        <v>24400</v>
      </c>
      <c r="N1556" s="3">
        <v>0</v>
      </c>
    </row>
    <row r="1557" spans="1:14" ht="14.4">
      <c r="A1557" s="3">
        <v>13768</v>
      </c>
      <c r="B1557" s="3">
        <v>13769</v>
      </c>
      <c r="C1557" s="3">
        <v>4145</v>
      </c>
      <c r="D1557" s="3" t="s">
        <v>1034</v>
      </c>
      <c r="E1557" s="3" t="s">
        <v>1049</v>
      </c>
      <c r="F1557" s="3">
        <v>80907</v>
      </c>
      <c r="G1557" s="3" t="s">
        <v>1050</v>
      </c>
      <c r="H1557" s="3" t="s">
        <v>1037</v>
      </c>
      <c r="I1557" s="3">
        <v>41790</v>
      </c>
      <c r="J1557" s="3">
        <v>41790</v>
      </c>
      <c r="K1557" s="3">
        <v>0</v>
      </c>
      <c r="L1557" s="3">
        <v>20000</v>
      </c>
      <c r="M1557" s="3">
        <v>20000</v>
      </c>
      <c r="N1557" s="3">
        <v>0</v>
      </c>
    </row>
    <row r="1558" spans="1:14" ht="14.4">
      <c r="A1558" s="3">
        <v>13768</v>
      </c>
      <c r="B1558" s="3">
        <v>13769</v>
      </c>
      <c r="C1558" s="3">
        <v>4145</v>
      </c>
      <c r="D1558" s="3" t="s">
        <v>1034</v>
      </c>
      <c r="E1558" s="3" t="s">
        <v>1049</v>
      </c>
      <c r="F1558" s="3">
        <v>80910</v>
      </c>
      <c r="G1558" s="3" t="s">
        <v>1050</v>
      </c>
      <c r="H1558" s="3" t="s">
        <v>1037</v>
      </c>
      <c r="I1558" s="3">
        <v>28305</v>
      </c>
      <c r="J1558" s="3">
        <v>27495</v>
      </c>
      <c r="K1558" s="3">
        <v>810</v>
      </c>
      <c r="L1558" s="3">
        <v>27500</v>
      </c>
      <c r="M1558" s="3">
        <v>27500</v>
      </c>
      <c r="N1558" s="3">
        <v>0</v>
      </c>
    </row>
    <row r="1559" spans="1:14" ht="14.4">
      <c r="A1559" s="3">
        <v>13768</v>
      </c>
      <c r="B1559" s="3">
        <v>13769</v>
      </c>
      <c r="C1559" s="3">
        <v>4145</v>
      </c>
      <c r="D1559" s="3" t="s">
        <v>1034</v>
      </c>
      <c r="E1559" s="3" t="s">
        <v>1049</v>
      </c>
      <c r="F1559" s="3">
        <v>80911</v>
      </c>
      <c r="G1559" s="3" t="s">
        <v>1050</v>
      </c>
      <c r="H1559" s="3" t="s">
        <v>1037</v>
      </c>
      <c r="I1559" s="3">
        <v>9512</v>
      </c>
      <c r="J1559" s="3">
        <v>9512</v>
      </c>
      <c r="K1559" s="3">
        <v>0</v>
      </c>
      <c r="L1559" s="3">
        <v>0</v>
      </c>
      <c r="M1559" s="3">
        <v>0</v>
      </c>
      <c r="N1559" s="3">
        <v>0</v>
      </c>
    </row>
    <row r="1560" spans="1:14" ht="14.4">
      <c r="A1560" s="3">
        <v>13768</v>
      </c>
      <c r="B1560" s="3">
        <v>13769</v>
      </c>
      <c r="C1560" s="3">
        <v>4145</v>
      </c>
      <c r="D1560" s="3" t="s">
        <v>1034</v>
      </c>
      <c r="E1560" s="3" t="s">
        <v>1049</v>
      </c>
      <c r="F1560" s="3">
        <v>80915</v>
      </c>
      <c r="G1560" s="3" t="s">
        <v>1050</v>
      </c>
      <c r="H1560" s="3" t="s">
        <v>1037</v>
      </c>
      <c r="I1560" s="3">
        <v>2500</v>
      </c>
      <c r="J1560" s="3">
        <v>0</v>
      </c>
      <c r="K1560" s="3">
        <v>2500</v>
      </c>
      <c r="L1560" s="3">
        <v>0</v>
      </c>
      <c r="M1560" s="3">
        <v>0</v>
      </c>
      <c r="N1560" s="3">
        <v>0</v>
      </c>
    </row>
    <row r="1561" spans="1:14" ht="14.4">
      <c r="A1561" s="3">
        <v>13768</v>
      </c>
      <c r="B1561" s="3">
        <v>13769</v>
      </c>
      <c r="C1561" s="3">
        <v>4145</v>
      </c>
      <c r="D1561" s="3" t="s">
        <v>1034</v>
      </c>
      <c r="E1561" s="3" t="s">
        <v>1049</v>
      </c>
      <c r="F1561" s="3">
        <v>80918</v>
      </c>
      <c r="G1561" s="3" t="s">
        <v>1050</v>
      </c>
      <c r="H1561" s="3" t="s">
        <v>1037</v>
      </c>
      <c r="I1561" s="3">
        <v>27703</v>
      </c>
      <c r="J1561" s="3">
        <v>27703</v>
      </c>
      <c r="K1561" s="3">
        <v>0</v>
      </c>
      <c r="L1561" s="3">
        <v>0</v>
      </c>
      <c r="M1561" s="3">
        <v>0</v>
      </c>
      <c r="N1561" s="3">
        <v>0</v>
      </c>
    </row>
    <row r="1562" spans="1:14" ht="14.4">
      <c r="A1562" s="3">
        <v>13768</v>
      </c>
      <c r="B1562" s="3">
        <v>13769</v>
      </c>
      <c r="C1562" s="3">
        <v>4145</v>
      </c>
      <c r="D1562" s="3" t="s">
        <v>1034</v>
      </c>
      <c r="E1562" s="3" t="s">
        <v>1049</v>
      </c>
      <c r="F1562" s="3">
        <v>80921</v>
      </c>
      <c r="G1562" s="3" t="s">
        <v>1050</v>
      </c>
      <c r="H1562" s="3" t="s">
        <v>1037</v>
      </c>
      <c r="I1562" s="3">
        <v>46462</v>
      </c>
      <c r="J1562" s="3">
        <v>46462</v>
      </c>
      <c r="K1562" s="3">
        <v>0</v>
      </c>
      <c r="L1562" s="3">
        <v>12400</v>
      </c>
      <c r="M1562" s="3">
        <v>12400</v>
      </c>
      <c r="N1562" s="3">
        <v>0</v>
      </c>
    </row>
    <row r="1563" spans="1:14" ht="14.4">
      <c r="A1563" s="3">
        <v>13768</v>
      </c>
      <c r="B1563" s="3">
        <v>13769</v>
      </c>
      <c r="C1563" s="3">
        <v>4145</v>
      </c>
      <c r="D1563" s="3" t="s">
        <v>1034</v>
      </c>
      <c r="E1563" s="3" t="s">
        <v>1051</v>
      </c>
      <c r="F1563" s="3">
        <v>80022</v>
      </c>
      <c r="G1563" s="3" t="s">
        <v>1042</v>
      </c>
      <c r="H1563" s="3" t="s">
        <v>1037</v>
      </c>
      <c r="I1563" s="3">
        <v>254040</v>
      </c>
      <c r="J1563" s="3">
        <v>239040</v>
      </c>
      <c r="K1563" s="3">
        <v>15000</v>
      </c>
      <c r="L1563" s="3">
        <v>5000</v>
      </c>
      <c r="M1563" s="3">
        <v>5000</v>
      </c>
      <c r="N1563" s="3">
        <v>0</v>
      </c>
    </row>
    <row r="1564" spans="1:14" ht="14.4">
      <c r="A1564" s="3">
        <v>13768</v>
      </c>
      <c r="B1564" s="3">
        <v>13769</v>
      </c>
      <c r="C1564" s="3">
        <v>4145</v>
      </c>
      <c r="D1564" s="3" t="s">
        <v>1034</v>
      </c>
      <c r="E1564" s="3" t="s">
        <v>1052</v>
      </c>
      <c r="F1564" s="3">
        <v>80514</v>
      </c>
      <c r="G1564" s="3" t="s">
        <v>1053</v>
      </c>
      <c r="H1564" s="3" t="s">
        <v>1037</v>
      </c>
      <c r="I1564" s="3">
        <v>6100</v>
      </c>
      <c r="J1564" s="3">
        <v>0</v>
      </c>
      <c r="K1564" s="3">
        <v>6100</v>
      </c>
      <c r="L1564" s="3">
        <v>0</v>
      </c>
      <c r="M1564" s="3">
        <v>0</v>
      </c>
      <c r="N1564" s="3">
        <v>0</v>
      </c>
    </row>
    <row r="1565" spans="1:14" ht="14.4">
      <c r="A1565" s="3">
        <v>13768</v>
      </c>
      <c r="B1565" s="3">
        <v>13769</v>
      </c>
      <c r="C1565" s="3">
        <v>4145</v>
      </c>
      <c r="D1565" s="3" t="s">
        <v>1034</v>
      </c>
      <c r="E1565" s="3" t="s">
        <v>1054</v>
      </c>
      <c r="F1565" s="3">
        <v>80221</v>
      </c>
      <c r="G1565" s="3" t="s">
        <v>1042</v>
      </c>
      <c r="H1565" s="3" t="s">
        <v>1037</v>
      </c>
      <c r="I1565" s="3">
        <v>547</v>
      </c>
      <c r="J1565" s="3">
        <v>547</v>
      </c>
      <c r="K1565" s="3">
        <v>0</v>
      </c>
      <c r="L1565" s="3">
        <v>0</v>
      </c>
      <c r="M1565" s="3">
        <v>0</v>
      </c>
      <c r="N1565" s="3">
        <v>0</v>
      </c>
    </row>
    <row r="1566" spans="1:14" ht="14.4">
      <c r="A1566" s="3">
        <v>13768</v>
      </c>
      <c r="B1566" s="3">
        <v>13769</v>
      </c>
      <c r="C1566" s="3">
        <v>4145</v>
      </c>
      <c r="D1566" s="3" t="s">
        <v>1034</v>
      </c>
      <c r="E1566" s="3" t="s">
        <v>1055</v>
      </c>
      <c r="F1566" s="3">
        <v>80515</v>
      </c>
      <c r="G1566" s="3" t="s">
        <v>1045</v>
      </c>
      <c r="H1566" s="3" t="s">
        <v>1037</v>
      </c>
      <c r="I1566" s="3">
        <v>781481</v>
      </c>
      <c r="J1566" s="3">
        <v>745701</v>
      </c>
      <c r="K1566" s="3">
        <v>35780</v>
      </c>
      <c r="L1566" s="3">
        <v>418400</v>
      </c>
      <c r="M1566" s="3">
        <v>334700</v>
      </c>
      <c r="N1566" s="3">
        <v>19200</v>
      </c>
    </row>
    <row r="1567" spans="1:14" ht="14.4">
      <c r="A1567" s="3">
        <v>13768</v>
      </c>
      <c r="B1567" s="3">
        <v>13769</v>
      </c>
      <c r="C1567" s="3">
        <v>4145</v>
      </c>
      <c r="D1567" s="3" t="s">
        <v>1034</v>
      </c>
      <c r="E1567" s="3" t="s">
        <v>1056</v>
      </c>
      <c r="F1567" s="3">
        <v>80025</v>
      </c>
      <c r="G1567" s="3" t="s">
        <v>1036</v>
      </c>
      <c r="H1567" s="3" t="s">
        <v>1037</v>
      </c>
      <c r="I1567" s="3">
        <v>8545</v>
      </c>
      <c r="J1567" s="3">
        <v>4445</v>
      </c>
      <c r="K1567" s="3">
        <v>4100</v>
      </c>
      <c r="L1567" s="3">
        <v>4100</v>
      </c>
      <c r="M1567" s="3">
        <v>0</v>
      </c>
      <c r="N1567" s="3">
        <v>4100</v>
      </c>
    </row>
    <row r="1568" spans="1:14" ht="14.4">
      <c r="A1568" s="3">
        <v>13768</v>
      </c>
      <c r="B1568" s="3">
        <v>13769</v>
      </c>
      <c r="C1568" s="3">
        <v>4145</v>
      </c>
      <c r="D1568" s="3" t="s">
        <v>1034</v>
      </c>
      <c r="E1568" s="3" t="s">
        <v>1057</v>
      </c>
      <c r="F1568" s="3">
        <v>80516</v>
      </c>
      <c r="G1568" s="3" t="s">
        <v>1036</v>
      </c>
      <c r="H1568" s="3" t="s">
        <v>1037</v>
      </c>
      <c r="I1568" s="3">
        <v>23780</v>
      </c>
      <c r="J1568" s="3">
        <v>17780</v>
      </c>
      <c r="K1568" s="3">
        <v>6000</v>
      </c>
      <c r="L1568" s="3">
        <v>23800</v>
      </c>
      <c r="M1568" s="3">
        <v>17800</v>
      </c>
      <c r="N1568" s="3">
        <v>6000</v>
      </c>
    </row>
    <row r="1569" spans="1:14" ht="14.4">
      <c r="A1569" s="3">
        <v>13768</v>
      </c>
      <c r="B1569" s="3">
        <v>13769</v>
      </c>
      <c r="C1569" s="3">
        <v>4145</v>
      </c>
      <c r="D1569" s="3" t="s">
        <v>1034</v>
      </c>
      <c r="E1569" s="3" t="s">
        <v>1057</v>
      </c>
      <c r="F1569" s="3">
        <v>80516</v>
      </c>
      <c r="G1569" s="3" t="s">
        <v>1053</v>
      </c>
      <c r="H1569" s="3" t="s">
        <v>1037</v>
      </c>
      <c r="I1569" s="3">
        <v>5442</v>
      </c>
      <c r="J1569" s="3">
        <v>0</v>
      </c>
      <c r="K1569" s="3">
        <v>5442</v>
      </c>
      <c r="L1569" s="3">
        <v>0</v>
      </c>
      <c r="M1569" s="3">
        <v>0</v>
      </c>
      <c r="N1569" s="3">
        <v>0</v>
      </c>
    </row>
    <row r="1570" spans="1:14" ht="14.4">
      <c r="A1570" s="3">
        <v>13768</v>
      </c>
      <c r="B1570" s="3">
        <v>13769</v>
      </c>
      <c r="C1570" s="3">
        <v>4145</v>
      </c>
      <c r="D1570" s="3" t="s">
        <v>1034</v>
      </c>
      <c r="E1570" s="3" t="s">
        <v>1058</v>
      </c>
      <c r="F1570" s="3">
        <v>80517</v>
      </c>
      <c r="G1570" s="3" t="s">
        <v>1045</v>
      </c>
      <c r="H1570" s="3" t="s">
        <v>1037</v>
      </c>
      <c r="I1570" s="3">
        <v>7353842</v>
      </c>
      <c r="J1570" s="3">
        <v>6873230</v>
      </c>
      <c r="K1570" s="3">
        <v>480612</v>
      </c>
      <c r="L1570" s="3">
        <v>5895500</v>
      </c>
      <c r="M1570" s="3">
        <v>2843400</v>
      </c>
      <c r="N1570" s="3">
        <v>262600</v>
      </c>
    </row>
    <row r="1571" spans="1:14" ht="14.4">
      <c r="A1571" s="3">
        <v>13768</v>
      </c>
      <c r="B1571" s="3">
        <v>13769</v>
      </c>
      <c r="C1571" s="3">
        <v>4145</v>
      </c>
      <c r="D1571" s="3" t="s">
        <v>1034</v>
      </c>
      <c r="E1571" s="3" t="s">
        <v>1059</v>
      </c>
      <c r="F1571" s="3">
        <v>80620</v>
      </c>
      <c r="G1571" s="3" t="s">
        <v>1053</v>
      </c>
      <c r="H1571" s="3" t="s">
        <v>1037</v>
      </c>
      <c r="I1571" s="3">
        <v>2606205</v>
      </c>
      <c r="J1571" s="3">
        <v>1634851</v>
      </c>
      <c r="K1571" s="3">
        <v>971354</v>
      </c>
      <c r="L1571" s="3">
        <v>267400</v>
      </c>
      <c r="M1571" s="3">
        <v>172800</v>
      </c>
      <c r="N1571" s="3">
        <v>83700</v>
      </c>
    </row>
    <row r="1572" spans="1:14" ht="14.4">
      <c r="A1572" s="3">
        <v>13768</v>
      </c>
      <c r="B1572" s="3">
        <v>13769</v>
      </c>
      <c r="C1572" s="3">
        <v>4145</v>
      </c>
      <c r="D1572" s="3" t="s">
        <v>1034</v>
      </c>
      <c r="E1572" s="3" t="s">
        <v>1060</v>
      </c>
      <c r="F1572" s="3">
        <v>80439</v>
      </c>
      <c r="G1572" s="3" t="s">
        <v>1039</v>
      </c>
      <c r="H1572" s="3" t="s">
        <v>1037</v>
      </c>
      <c r="I1572" s="3">
        <v>255571</v>
      </c>
      <c r="J1572" s="3">
        <v>134531</v>
      </c>
      <c r="K1572" s="3">
        <v>121040</v>
      </c>
      <c r="L1572" s="3">
        <v>308800</v>
      </c>
      <c r="M1572" s="3">
        <v>134600</v>
      </c>
      <c r="N1572" s="3">
        <v>102900</v>
      </c>
    </row>
    <row r="1573" spans="1:14" ht="14.4">
      <c r="A1573" s="3">
        <v>13768</v>
      </c>
      <c r="B1573" s="3">
        <v>13769</v>
      </c>
      <c r="C1573" s="3">
        <v>4145</v>
      </c>
      <c r="D1573" s="3" t="s">
        <v>1034</v>
      </c>
      <c r="E1573" s="3" t="s">
        <v>1061</v>
      </c>
      <c r="F1573" s="3">
        <v>80525</v>
      </c>
      <c r="G1573" s="3" t="s">
        <v>1045</v>
      </c>
      <c r="H1573" s="3" t="s">
        <v>1037</v>
      </c>
      <c r="I1573" s="3">
        <v>0</v>
      </c>
      <c r="J1573" s="3">
        <v>0</v>
      </c>
      <c r="K1573" s="3">
        <v>0</v>
      </c>
      <c r="L1573" s="3">
        <v>52000</v>
      </c>
      <c r="M1573" s="3">
        <v>0</v>
      </c>
      <c r="N1573" s="3">
        <v>0</v>
      </c>
    </row>
    <row r="1574" spans="1:14" ht="14.4">
      <c r="A1574" s="3">
        <v>13768</v>
      </c>
      <c r="B1574" s="3">
        <v>13769</v>
      </c>
      <c r="C1574" s="3">
        <v>4145</v>
      </c>
      <c r="D1574" s="3" t="s">
        <v>1034</v>
      </c>
      <c r="E1574" s="3" t="s">
        <v>1062</v>
      </c>
      <c r="F1574" s="3">
        <v>80621</v>
      </c>
      <c r="G1574" s="3" t="s">
        <v>1053</v>
      </c>
      <c r="H1574" s="3" t="s">
        <v>1037</v>
      </c>
      <c r="I1574" s="3">
        <v>79184</v>
      </c>
      <c r="J1574" s="3">
        <v>6814</v>
      </c>
      <c r="K1574" s="3">
        <v>72370</v>
      </c>
      <c r="L1574" s="3">
        <v>16000</v>
      </c>
      <c r="M1574" s="3">
        <v>0</v>
      </c>
      <c r="N1574" s="3">
        <v>16000</v>
      </c>
    </row>
    <row r="1575" spans="1:14" ht="14.4">
      <c r="A1575" s="3">
        <v>13768</v>
      </c>
      <c r="B1575" s="3">
        <v>13769</v>
      </c>
      <c r="C1575" s="3">
        <v>4145</v>
      </c>
      <c r="D1575" s="3" t="s">
        <v>1034</v>
      </c>
      <c r="E1575" s="3" t="s">
        <v>1063</v>
      </c>
      <c r="F1575" s="3">
        <v>80530</v>
      </c>
      <c r="G1575" s="3" t="s">
        <v>1053</v>
      </c>
      <c r="H1575" s="3" t="s">
        <v>1037</v>
      </c>
      <c r="I1575" s="3">
        <v>153443</v>
      </c>
      <c r="J1575" s="3">
        <v>120693</v>
      </c>
      <c r="K1575" s="3">
        <v>32750</v>
      </c>
      <c r="L1575" s="3">
        <v>106600</v>
      </c>
      <c r="M1575" s="3">
        <v>56300</v>
      </c>
      <c r="N1575" s="3">
        <v>29300</v>
      </c>
    </row>
    <row r="1576" spans="1:14" ht="14.4">
      <c r="A1576" s="3">
        <v>13768</v>
      </c>
      <c r="B1576" s="3">
        <v>13769</v>
      </c>
      <c r="C1576" s="3">
        <v>4145</v>
      </c>
      <c r="D1576" s="3" t="s">
        <v>1034</v>
      </c>
      <c r="E1576" s="3" t="s">
        <v>1064</v>
      </c>
      <c r="F1576" s="3">
        <v>80532</v>
      </c>
      <c r="G1576" s="3" t="s">
        <v>1045</v>
      </c>
      <c r="H1576" s="3" t="s">
        <v>1037</v>
      </c>
      <c r="I1576" s="3">
        <v>1668692</v>
      </c>
      <c r="J1576" s="3">
        <v>1422147</v>
      </c>
      <c r="K1576" s="3">
        <v>246545</v>
      </c>
      <c r="L1576" s="3">
        <v>884900</v>
      </c>
      <c r="M1576" s="3">
        <v>779500</v>
      </c>
      <c r="N1576" s="3">
        <v>90700</v>
      </c>
    </row>
    <row r="1577" spans="1:14" ht="14.4">
      <c r="A1577" s="3">
        <v>13768</v>
      </c>
      <c r="B1577" s="3">
        <v>13769</v>
      </c>
      <c r="C1577" s="3">
        <v>4145</v>
      </c>
      <c r="D1577" s="3" t="s">
        <v>1034</v>
      </c>
      <c r="E1577" s="3" t="s">
        <v>1065</v>
      </c>
      <c r="F1577" s="3">
        <v>80402</v>
      </c>
      <c r="G1577" s="3" t="s">
        <v>1039</v>
      </c>
      <c r="H1577" s="3" t="s">
        <v>1037</v>
      </c>
      <c r="I1577" s="3">
        <v>2221</v>
      </c>
      <c r="J1577" s="3">
        <v>2221</v>
      </c>
      <c r="K1577" s="3">
        <v>0</v>
      </c>
      <c r="L1577" s="3">
        <v>0</v>
      </c>
      <c r="M1577" s="3">
        <v>0</v>
      </c>
      <c r="N1577" s="3">
        <v>0</v>
      </c>
    </row>
    <row r="1578" spans="1:14" ht="14.4">
      <c r="A1578" s="3">
        <v>13768</v>
      </c>
      <c r="B1578" s="3">
        <v>13769</v>
      </c>
      <c r="C1578" s="3">
        <v>4145</v>
      </c>
      <c r="D1578" s="3" t="s">
        <v>1034</v>
      </c>
      <c r="E1578" s="3" t="s">
        <v>1065</v>
      </c>
      <c r="F1578" s="3">
        <v>80403</v>
      </c>
      <c r="G1578" s="3" t="s">
        <v>1039</v>
      </c>
      <c r="H1578" s="3" t="s">
        <v>1037</v>
      </c>
      <c r="I1578" s="3">
        <v>297529</v>
      </c>
      <c r="J1578" s="3">
        <v>263697</v>
      </c>
      <c r="K1578" s="3">
        <v>33832</v>
      </c>
      <c r="L1578" s="3">
        <v>87300</v>
      </c>
      <c r="M1578" s="3">
        <v>53400</v>
      </c>
      <c r="N1578" s="3">
        <v>33900</v>
      </c>
    </row>
    <row r="1579" spans="1:14" ht="14.4">
      <c r="A1579" s="3">
        <v>13768</v>
      </c>
      <c r="B1579" s="3">
        <v>13769</v>
      </c>
      <c r="C1579" s="3">
        <v>4145</v>
      </c>
      <c r="D1579" s="3" t="s">
        <v>1034</v>
      </c>
      <c r="E1579" s="3" t="s">
        <v>1066</v>
      </c>
      <c r="F1579" s="3">
        <v>80446</v>
      </c>
      <c r="G1579" s="3" t="s">
        <v>1067</v>
      </c>
      <c r="H1579" s="3" t="s">
        <v>1037</v>
      </c>
      <c r="I1579" s="3">
        <v>0</v>
      </c>
      <c r="J1579" s="3">
        <v>0</v>
      </c>
      <c r="K1579" s="3">
        <v>0</v>
      </c>
      <c r="L1579" s="3">
        <v>81700</v>
      </c>
      <c r="M1579" s="3">
        <v>0</v>
      </c>
      <c r="N1579" s="3">
        <v>0</v>
      </c>
    </row>
    <row r="1580" spans="1:14" ht="14.4">
      <c r="A1580" s="3">
        <v>13768</v>
      </c>
      <c r="B1580" s="3">
        <v>13769</v>
      </c>
      <c r="C1580" s="3">
        <v>4145</v>
      </c>
      <c r="D1580" s="3" t="s">
        <v>1034</v>
      </c>
      <c r="E1580" s="3" t="s">
        <v>1068</v>
      </c>
      <c r="F1580" s="3">
        <v>80631</v>
      </c>
      <c r="G1580" s="3" t="s">
        <v>1053</v>
      </c>
      <c r="H1580" s="3" t="s">
        <v>1037</v>
      </c>
      <c r="I1580" s="3">
        <v>337667</v>
      </c>
      <c r="J1580" s="3">
        <v>194182</v>
      </c>
      <c r="K1580" s="3">
        <v>143485</v>
      </c>
      <c r="L1580" s="3">
        <v>136500</v>
      </c>
      <c r="M1580" s="3">
        <v>91200</v>
      </c>
      <c r="N1580" s="3">
        <v>35000</v>
      </c>
    </row>
    <row r="1581" spans="1:14" ht="14.4">
      <c r="A1581" s="3">
        <v>13768</v>
      </c>
      <c r="B1581" s="3">
        <v>13769</v>
      </c>
      <c r="C1581" s="3">
        <v>4145</v>
      </c>
      <c r="D1581" s="3" t="s">
        <v>1034</v>
      </c>
      <c r="E1581" s="3" t="s">
        <v>1068</v>
      </c>
      <c r="F1581" s="3">
        <v>80634</v>
      </c>
      <c r="G1581" s="3" t="s">
        <v>1053</v>
      </c>
      <c r="H1581" s="3" t="s">
        <v>1037</v>
      </c>
      <c r="I1581" s="3">
        <v>14000</v>
      </c>
      <c r="J1581" s="3">
        <v>0</v>
      </c>
      <c r="K1581" s="3">
        <v>14000</v>
      </c>
      <c r="L1581" s="3">
        <v>15000</v>
      </c>
      <c r="M1581" s="3">
        <v>0</v>
      </c>
      <c r="N1581" s="3">
        <v>0</v>
      </c>
    </row>
    <row r="1582" spans="1:14" ht="14.4">
      <c r="A1582" s="3">
        <v>13768</v>
      </c>
      <c r="B1582" s="3">
        <v>13769</v>
      </c>
      <c r="C1582" s="3">
        <v>4145</v>
      </c>
      <c r="D1582" s="3" t="s">
        <v>1034</v>
      </c>
      <c r="E1582" s="3" t="s">
        <v>1069</v>
      </c>
      <c r="F1582" s="3">
        <v>80452</v>
      </c>
      <c r="G1582" s="3" t="s">
        <v>1070</v>
      </c>
      <c r="H1582" s="3" t="s">
        <v>1037</v>
      </c>
      <c r="I1582" s="3">
        <v>29591</v>
      </c>
      <c r="J1582" s="3">
        <v>29591</v>
      </c>
      <c r="K1582" s="3">
        <v>0</v>
      </c>
      <c r="L1582" s="3">
        <v>29600</v>
      </c>
      <c r="M1582" s="3">
        <v>29600</v>
      </c>
      <c r="N1582" s="3">
        <v>0</v>
      </c>
    </row>
    <row r="1583" spans="1:14" ht="14.4">
      <c r="A1583" s="3">
        <v>13768</v>
      </c>
      <c r="B1583" s="3">
        <v>13769</v>
      </c>
      <c r="C1583" s="3">
        <v>4145</v>
      </c>
      <c r="D1583" s="3" t="s">
        <v>1034</v>
      </c>
      <c r="E1583" s="3" t="s">
        <v>1071</v>
      </c>
      <c r="F1583" s="3">
        <v>80455</v>
      </c>
      <c r="G1583" s="3" t="s">
        <v>1036</v>
      </c>
      <c r="H1583" s="3" t="s">
        <v>1037</v>
      </c>
      <c r="I1583" s="3">
        <v>606088</v>
      </c>
      <c r="J1583" s="3">
        <v>552635</v>
      </c>
      <c r="K1583" s="3">
        <v>53453</v>
      </c>
      <c r="L1583" s="3">
        <v>127800</v>
      </c>
      <c r="M1583" s="3">
        <v>88800</v>
      </c>
      <c r="N1583" s="3">
        <v>5000</v>
      </c>
    </row>
    <row r="1584" spans="1:14" ht="14.4">
      <c r="A1584" s="3">
        <v>13768</v>
      </c>
      <c r="B1584" s="3">
        <v>13769</v>
      </c>
      <c r="C1584" s="3">
        <v>4145</v>
      </c>
      <c r="D1584" s="3" t="s">
        <v>1034</v>
      </c>
      <c r="E1584" s="3" t="s">
        <v>1072</v>
      </c>
      <c r="F1584" s="3">
        <v>80534</v>
      </c>
      <c r="G1584" s="3" t="s">
        <v>1053</v>
      </c>
      <c r="H1584" s="3" t="s">
        <v>1037</v>
      </c>
      <c r="I1584" s="3">
        <v>39352</v>
      </c>
      <c r="J1584" s="3">
        <v>36642</v>
      </c>
      <c r="K1584" s="3">
        <v>2710</v>
      </c>
      <c r="L1584" s="3">
        <v>0</v>
      </c>
      <c r="M1584" s="3">
        <v>0</v>
      </c>
      <c r="N1584" s="3">
        <v>0</v>
      </c>
    </row>
    <row r="1585" spans="1:14" ht="14.4">
      <c r="A1585" s="3">
        <v>13768</v>
      </c>
      <c r="B1585" s="3">
        <v>13769</v>
      </c>
      <c r="C1585" s="3">
        <v>4145</v>
      </c>
      <c r="D1585" s="3" t="s">
        <v>1034</v>
      </c>
      <c r="E1585" s="3" t="s">
        <v>1073</v>
      </c>
      <c r="F1585" s="3">
        <v>80644</v>
      </c>
      <c r="G1585" s="3" t="s">
        <v>1053</v>
      </c>
      <c r="H1585" s="3" t="s">
        <v>1037</v>
      </c>
      <c r="I1585" s="3">
        <v>33725</v>
      </c>
      <c r="J1585" s="3">
        <v>31475</v>
      </c>
      <c r="K1585" s="3">
        <v>2250</v>
      </c>
      <c r="L1585" s="3">
        <v>0</v>
      </c>
      <c r="M1585" s="3">
        <v>0</v>
      </c>
      <c r="N1585" s="3">
        <v>0</v>
      </c>
    </row>
    <row r="1586" spans="1:14" ht="14.4">
      <c r="A1586" s="3">
        <v>13768</v>
      </c>
      <c r="B1586" s="3">
        <v>13769</v>
      </c>
      <c r="C1586" s="3">
        <v>4145</v>
      </c>
      <c r="D1586" s="3" t="s">
        <v>1034</v>
      </c>
      <c r="E1586" s="3" t="s">
        <v>1074</v>
      </c>
      <c r="F1586" s="3">
        <v>80457</v>
      </c>
      <c r="G1586" s="3" t="s">
        <v>1039</v>
      </c>
      <c r="H1586" s="3" t="s">
        <v>1037</v>
      </c>
      <c r="I1586" s="3">
        <v>0</v>
      </c>
      <c r="J1586" s="3">
        <v>0</v>
      </c>
      <c r="K1586" s="3">
        <v>0</v>
      </c>
      <c r="L1586" s="3">
        <v>5000</v>
      </c>
      <c r="M1586" s="3">
        <v>0</v>
      </c>
      <c r="N1586" s="3">
        <v>0</v>
      </c>
    </row>
    <row r="1587" spans="1:14" ht="14.4">
      <c r="A1587" s="3">
        <v>13768</v>
      </c>
      <c r="B1587" s="3">
        <v>13769</v>
      </c>
      <c r="C1587" s="3">
        <v>4145</v>
      </c>
      <c r="D1587" s="3" t="s">
        <v>1034</v>
      </c>
      <c r="E1587" s="3" t="s">
        <v>923</v>
      </c>
      <c r="F1587" s="3">
        <v>80645</v>
      </c>
      <c r="G1587" s="3" t="s">
        <v>1053</v>
      </c>
      <c r="H1587" s="3" t="s">
        <v>1037</v>
      </c>
      <c r="I1587" s="3">
        <v>871090</v>
      </c>
      <c r="J1587" s="3">
        <v>828928</v>
      </c>
      <c r="K1587" s="3">
        <v>42162</v>
      </c>
      <c r="L1587" s="3">
        <v>36200</v>
      </c>
      <c r="M1587" s="3">
        <v>34800</v>
      </c>
      <c r="N1587" s="3">
        <v>1400</v>
      </c>
    </row>
    <row r="1588" spans="1:14" ht="14.4">
      <c r="A1588" s="3">
        <v>13768</v>
      </c>
      <c r="B1588" s="3">
        <v>13769</v>
      </c>
      <c r="C1588" s="3">
        <v>4145</v>
      </c>
      <c r="D1588" s="3" t="s">
        <v>1034</v>
      </c>
      <c r="E1588" s="3" t="s">
        <v>1075</v>
      </c>
      <c r="F1588" s="3">
        <v>80026</v>
      </c>
      <c r="G1588" s="3" t="s">
        <v>1036</v>
      </c>
      <c r="H1588" s="3" t="s">
        <v>1037</v>
      </c>
      <c r="I1588" s="3">
        <v>1241817</v>
      </c>
      <c r="J1588" s="3">
        <v>290762</v>
      </c>
      <c r="K1588" s="3">
        <v>951055</v>
      </c>
      <c r="L1588" s="3">
        <v>3400</v>
      </c>
      <c r="M1588" s="3">
        <v>3400</v>
      </c>
      <c r="N1588" s="3">
        <v>0</v>
      </c>
    </row>
    <row r="1589" spans="1:14" ht="14.4">
      <c r="A1589" s="3">
        <v>13768</v>
      </c>
      <c r="B1589" s="3">
        <v>13769</v>
      </c>
      <c r="C1589" s="3">
        <v>4145</v>
      </c>
      <c r="D1589" s="3" t="s">
        <v>1034</v>
      </c>
      <c r="E1589" s="3" t="s">
        <v>568</v>
      </c>
      <c r="F1589" s="3">
        <v>80215</v>
      </c>
      <c r="G1589" s="3" t="s">
        <v>1039</v>
      </c>
      <c r="H1589" s="3" t="s">
        <v>1037</v>
      </c>
      <c r="I1589" s="3">
        <v>11225</v>
      </c>
      <c r="J1589" s="3">
        <v>11225</v>
      </c>
      <c r="K1589" s="3">
        <v>0</v>
      </c>
      <c r="L1589" s="3">
        <v>0</v>
      </c>
      <c r="M1589" s="3">
        <v>0</v>
      </c>
      <c r="N1589" s="3">
        <v>0</v>
      </c>
    </row>
    <row r="1590" spans="1:14" ht="14.4">
      <c r="A1590" s="3">
        <v>13768</v>
      </c>
      <c r="B1590" s="3">
        <v>13769</v>
      </c>
      <c r="C1590" s="3">
        <v>4145</v>
      </c>
      <c r="D1590" s="3" t="s">
        <v>1034</v>
      </c>
      <c r="E1590" s="3" t="s">
        <v>568</v>
      </c>
      <c r="F1590" s="3">
        <v>80228</v>
      </c>
      <c r="G1590" s="3" t="s">
        <v>1039</v>
      </c>
      <c r="H1590" s="3" t="s">
        <v>1037</v>
      </c>
      <c r="I1590" s="3">
        <v>3000</v>
      </c>
      <c r="J1590" s="3">
        <v>0</v>
      </c>
      <c r="K1590" s="3">
        <v>3000</v>
      </c>
      <c r="L1590" s="3">
        <v>0</v>
      </c>
      <c r="M1590" s="3">
        <v>0</v>
      </c>
      <c r="N1590" s="3">
        <v>0</v>
      </c>
    </row>
    <row r="1591" spans="1:14" ht="14.4">
      <c r="A1591" s="3">
        <v>13768</v>
      </c>
      <c r="B1591" s="3">
        <v>13769</v>
      </c>
      <c r="C1591" s="3">
        <v>4145</v>
      </c>
      <c r="D1591" s="3" t="s">
        <v>1034</v>
      </c>
      <c r="E1591" s="3" t="s">
        <v>1076</v>
      </c>
      <c r="F1591" s="3">
        <v>80535</v>
      </c>
      <c r="G1591" s="3" t="s">
        <v>1045</v>
      </c>
      <c r="H1591" s="3" t="s">
        <v>1037</v>
      </c>
      <c r="I1591" s="3">
        <v>9971</v>
      </c>
      <c r="J1591" s="3">
        <v>6461</v>
      </c>
      <c r="K1591" s="3">
        <v>3510</v>
      </c>
      <c r="L1591" s="3">
        <v>7200</v>
      </c>
      <c r="M1591" s="3">
        <v>6500</v>
      </c>
      <c r="N1591" s="3">
        <v>700</v>
      </c>
    </row>
    <row r="1592" spans="1:14" ht="14.4">
      <c r="A1592" s="3">
        <v>13768</v>
      </c>
      <c r="B1592" s="3">
        <v>13769</v>
      </c>
      <c r="C1592" s="3">
        <v>4145</v>
      </c>
      <c r="D1592" s="3" t="s">
        <v>1034</v>
      </c>
      <c r="E1592" s="3" t="s">
        <v>1077</v>
      </c>
      <c r="F1592" s="3">
        <v>80501</v>
      </c>
      <c r="G1592" s="3" t="s">
        <v>1036</v>
      </c>
      <c r="H1592" s="3" t="s">
        <v>1037</v>
      </c>
      <c r="I1592" s="3">
        <v>4937162</v>
      </c>
      <c r="J1592" s="3">
        <v>2818525</v>
      </c>
      <c r="K1592" s="3">
        <v>2118637</v>
      </c>
      <c r="L1592" s="3">
        <v>1561600</v>
      </c>
      <c r="M1592" s="3">
        <v>855300</v>
      </c>
      <c r="N1592" s="3">
        <v>508300</v>
      </c>
    </row>
    <row r="1593" spans="1:14" ht="14.4">
      <c r="A1593" s="3">
        <v>13768</v>
      </c>
      <c r="B1593" s="3">
        <v>13769</v>
      </c>
      <c r="C1593" s="3">
        <v>4145</v>
      </c>
      <c r="D1593" s="3" t="s">
        <v>1034</v>
      </c>
      <c r="E1593" s="3" t="s">
        <v>1077</v>
      </c>
      <c r="F1593" s="3">
        <v>80503</v>
      </c>
      <c r="G1593" s="3" t="s">
        <v>1036</v>
      </c>
      <c r="H1593" s="3" t="s">
        <v>1037</v>
      </c>
      <c r="I1593" s="3">
        <v>2072311</v>
      </c>
      <c r="J1593" s="3">
        <v>1720116</v>
      </c>
      <c r="K1593" s="3">
        <v>352195</v>
      </c>
      <c r="L1593" s="3">
        <v>1393000</v>
      </c>
      <c r="M1593" s="3">
        <v>766700</v>
      </c>
      <c r="N1593" s="3">
        <v>276400</v>
      </c>
    </row>
    <row r="1594" spans="1:14" ht="14.4">
      <c r="A1594" s="3">
        <v>13768</v>
      </c>
      <c r="B1594" s="3">
        <v>13769</v>
      </c>
      <c r="C1594" s="3">
        <v>4145</v>
      </c>
      <c r="D1594" s="3" t="s">
        <v>1034</v>
      </c>
      <c r="E1594" s="3" t="s">
        <v>1077</v>
      </c>
      <c r="F1594" s="3">
        <v>80504</v>
      </c>
      <c r="G1594" s="3" t="s">
        <v>1036</v>
      </c>
      <c r="H1594" s="3" t="s">
        <v>1037</v>
      </c>
      <c r="I1594" s="3">
        <v>56584</v>
      </c>
      <c r="J1594" s="3">
        <v>42707</v>
      </c>
      <c r="K1594" s="3">
        <v>13877</v>
      </c>
      <c r="L1594" s="3">
        <v>0</v>
      </c>
      <c r="M1594" s="3">
        <v>0</v>
      </c>
      <c r="N1594" s="3">
        <v>0</v>
      </c>
    </row>
    <row r="1595" spans="1:14" ht="14.4">
      <c r="A1595" s="3">
        <v>13768</v>
      </c>
      <c r="B1595" s="3">
        <v>13769</v>
      </c>
      <c r="C1595" s="3">
        <v>4145</v>
      </c>
      <c r="D1595" s="3" t="s">
        <v>1034</v>
      </c>
      <c r="E1595" s="3" t="s">
        <v>1077</v>
      </c>
      <c r="F1595" s="3">
        <v>80504</v>
      </c>
      <c r="G1595" s="3" t="s">
        <v>1053</v>
      </c>
      <c r="H1595" s="3" t="s">
        <v>1037</v>
      </c>
      <c r="I1595" s="3">
        <v>395066</v>
      </c>
      <c r="J1595" s="3">
        <v>357073</v>
      </c>
      <c r="K1595" s="3">
        <v>37993</v>
      </c>
      <c r="L1595" s="3">
        <v>437300</v>
      </c>
      <c r="M1595" s="3">
        <v>353500</v>
      </c>
      <c r="N1595" s="3">
        <v>6300</v>
      </c>
    </row>
    <row r="1596" spans="1:14" ht="14.4">
      <c r="A1596" s="3">
        <v>13768</v>
      </c>
      <c r="B1596" s="3">
        <v>13769</v>
      </c>
      <c r="C1596" s="3">
        <v>4145</v>
      </c>
      <c r="D1596" s="3" t="s">
        <v>1034</v>
      </c>
      <c r="E1596" s="3" t="s">
        <v>1078</v>
      </c>
      <c r="F1596" s="3">
        <v>80027</v>
      </c>
      <c r="G1596" s="3" t="s">
        <v>1036</v>
      </c>
      <c r="H1596" s="3" t="s">
        <v>1037</v>
      </c>
      <c r="I1596" s="3">
        <v>9550</v>
      </c>
      <c r="J1596" s="3">
        <v>9550</v>
      </c>
      <c r="K1596" s="3">
        <v>0</v>
      </c>
      <c r="L1596" s="3">
        <v>11200</v>
      </c>
      <c r="M1596" s="3">
        <v>9600</v>
      </c>
      <c r="N1596" s="3">
        <v>0</v>
      </c>
    </row>
    <row r="1597" spans="1:14" ht="14.4">
      <c r="A1597" s="3">
        <v>13768</v>
      </c>
      <c r="B1597" s="3">
        <v>13769</v>
      </c>
      <c r="C1597" s="3">
        <v>4145</v>
      </c>
      <c r="D1597" s="3" t="s">
        <v>1034</v>
      </c>
      <c r="E1597" s="3" t="s">
        <v>1079</v>
      </c>
      <c r="F1597" s="3">
        <v>80537</v>
      </c>
      <c r="G1597" s="3" t="s">
        <v>1045</v>
      </c>
      <c r="H1597" s="3" t="s">
        <v>1037</v>
      </c>
      <c r="I1597" s="3">
        <v>5098995</v>
      </c>
      <c r="J1597" s="3">
        <v>3742909</v>
      </c>
      <c r="K1597" s="3">
        <v>1356086</v>
      </c>
      <c r="L1597" s="3">
        <v>1637600</v>
      </c>
      <c r="M1597" s="3">
        <v>791400</v>
      </c>
      <c r="N1597" s="3">
        <v>324100</v>
      </c>
    </row>
    <row r="1598" spans="1:14" ht="14.4">
      <c r="A1598" s="3">
        <v>13768</v>
      </c>
      <c r="B1598" s="3">
        <v>13769</v>
      </c>
      <c r="C1598" s="3">
        <v>4145</v>
      </c>
      <c r="D1598" s="3" t="s">
        <v>1034</v>
      </c>
      <c r="E1598" s="3" t="s">
        <v>1079</v>
      </c>
      <c r="F1598" s="3">
        <v>80538</v>
      </c>
      <c r="G1598" s="3" t="s">
        <v>1045</v>
      </c>
      <c r="H1598" s="3" t="s">
        <v>1037</v>
      </c>
      <c r="I1598" s="3">
        <v>3039223</v>
      </c>
      <c r="J1598" s="3">
        <v>2789304</v>
      </c>
      <c r="K1598" s="3">
        <v>249919</v>
      </c>
      <c r="L1598" s="3">
        <v>2181100</v>
      </c>
      <c r="M1598" s="3">
        <v>2132400</v>
      </c>
      <c r="N1598" s="3">
        <v>3500</v>
      </c>
    </row>
    <row r="1599" spans="1:14" ht="14.4">
      <c r="A1599" s="3">
        <v>13768</v>
      </c>
      <c r="B1599" s="3">
        <v>13769</v>
      </c>
      <c r="C1599" s="3">
        <v>4145</v>
      </c>
      <c r="D1599" s="3" t="s">
        <v>1034</v>
      </c>
      <c r="E1599" s="3" t="s">
        <v>960</v>
      </c>
      <c r="F1599" s="3">
        <v>80540</v>
      </c>
      <c r="G1599" s="3" t="s">
        <v>1036</v>
      </c>
      <c r="H1599" s="3" t="s">
        <v>1037</v>
      </c>
      <c r="I1599" s="3">
        <v>8172126</v>
      </c>
      <c r="J1599" s="3">
        <v>7316040</v>
      </c>
      <c r="K1599" s="3">
        <v>856086</v>
      </c>
      <c r="L1599" s="3">
        <v>5593900</v>
      </c>
      <c r="M1599" s="3">
        <v>4858800</v>
      </c>
      <c r="N1599" s="3">
        <v>338600</v>
      </c>
    </row>
    <row r="1600" spans="1:14" ht="14.4">
      <c r="A1600" s="3">
        <v>13768</v>
      </c>
      <c r="B1600" s="3">
        <v>13769</v>
      </c>
      <c r="C1600" s="3">
        <v>4145</v>
      </c>
      <c r="D1600" s="3" t="s">
        <v>1034</v>
      </c>
      <c r="E1600" s="3" t="s">
        <v>960</v>
      </c>
      <c r="F1600" s="3">
        <v>80540</v>
      </c>
      <c r="G1600" s="3" t="s">
        <v>1045</v>
      </c>
      <c r="H1600" s="3" t="s">
        <v>1037</v>
      </c>
      <c r="I1600" s="3">
        <v>32477</v>
      </c>
      <c r="J1600" s="3">
        <v>32477</v>
      </c>
      <c r="K1600" s="3">
        <v>0</v>
      </c>
      <c r="L1600" s="3">
        <v>35800</v>
      </c>
      <c r="M1600" s="3">
        <v>32500</v>
      </c>
      <c r="N1600" s="3">
        <v>0</v>
      </c>
    </row>
    <row r="1601" spans="1:14" ht="14.4">
      <c r="A1601" s="3">
        <v>13768</v>
      </c>
      <c r="B1601" s="3">
        <v>13769</v>
      </c>
      <c r="C1601" s="3">
        <v>4145</v>
      </c>
      <c r="D1601" s="3" t="s">
        <v>1034</v>
      </c>
      <c r="E1601" s="3" t="s">
        <v>1080</v>
      </c>
      <c r="F1601" s="3">
        <v>80829</v>
      </c>
      <c r="G1601" s="3" t="s">
        <v>1050</v>
      </c>
      <c r="H1601" s="3" t="s">
        <v>1037</v>
      </c>
      <c r="I1601" s="3">
        <v>439761</v>
      </c>
      <c r="J1601" s="3">
        <v>434861</v>
      </c>
      <c r="K1601" s="3">
        <v>4900</v>
      </c>
      <c r="L1601" s="3">
        <v>140300</v>
      </c>
      <c r="M1601" s="3">
        <v>131500</v>
      </c>
      <c r="N1601" s="3">
        <v>2000</v>
      </c>
    </row>
    <row r="1602" spans="1:14" ht="14.4">
      <c r="A1602" s="3">
        <v>13768</v>
      </c>
      <c r="B1602" s="3">
        <v>13769</v>
      </c>
      <c r="C1602" s="3">
        <v>4145</v>
      </c>
      <c r="D1602" s="3" t="s">
        <v>1034</v>
      </c>
      <c r="E1602" s="3" t="s">
        <v>1081</v>
      </c>
      <c r="F1602" s="3">
        <v>80741</v>
      </c>
      <c r="G1602" s="3" t="s">
        <v>1041</v>
      </c>
      <c r="H1602" s="3" t="s">
        <v>1037</v>
      </c>
      <c r="I1602" s="3">
        <v>0</v>
      </c>
      <c r="J1602" s="3">
        <v>0</v>
      </c>
      <c r="K1602" s="3">
        <v>0</v>
      </c>
      <c r="L1602" s="3">
        <v>29600</v>
      </c>
      <c r="M1602" s="3">
        <v>0</v>
      </c>
      <c r="N1602" s="3">
        <v>0</v>
      </c>
    </row>
    <row r="1603" spans="1:14" ht="14.4">
      <c r="A1603" s="3">
        <v>13768</v>
      </c>
      <c r="B1603" s="3">
        <v>13769</v>
      </c>
      <c r="C1603" s="3">
        <v>4145</v>
      </c>
      <c r="D1603" s="3" t="s">
        <v>1034</v>
      </c>
      <c r="E1603" s="3" t="s">
        <v>1082</v>
      </c>
      <c r="F1603" s="3">
        <v>80543</v>
      </c>
      <c r="G1603" s="3" t="s">
        <v>1053</v>
      </c>
      <c r="H1603" s="3" t="s">
        <v>1037</v>
      </c>
      <c r="I1603" s="3">
        <v>415067</v>
      </c>
      <c r="J1603" s="3">
        <v>393217</v>
      </c>
      <c r="K1603" s="3">
        <v>21850</v>
      </c>
      <c r="L1603" s="3">
        <v>114400</v>
      </c>
      <c r="M1603" s="3">
        <v>114400</v>
      </c>
      <c r="N1603" s="3">
        <v>0</v>
      </c>
    </row>
    <row r="1604" spans="1:14" ht="14.4">
      <c r="A1604" s="3">
        <v>13768</v>
      </c>
      <c r="B1604" s="3">
        <v>13769</v>
      </c>
      <c r="C1604" s="3">
        <v>4145</v>
      </c>
      <c r="D1604" s="3" t="s">
        <v>1034</v>
      </c>
      <c r="E1604" s="3" t="s">
        <v>1083</v>
      </c>
      <c r="F1604" s="3">
        <v>80466</v>
      </c>
      <c r="G1604" s="3" t="s">
        <v>1036</v>
      </c>
      <c r="H1604" s="3" t="s">
        <v>1037</v>
      </c>
      <c r="I1604" s="3">
        <v>97972</v>
      </c>
      <c r="J1604" s="3">
        <v>93472</v>
      </c>
      <c r="K1604" s="3">
        <v>4500</v>
      </c>
      <c r="L1604" s="3">
        <v>117000</v>
      </c>
      <c r="M1604" s="3">
        <v>93500</v>
      </c>
      <c r="N1604" s="3">
        <v>4500</v>
      </c>
    </row>
    <row r="1605" spans="1:14" ht="14.4">
      <c r="A1605" s="3">
        <v>13768</v>
      </c>
      <c r="B1605" s="3">
        <v>13769</v>
      </c>
      <c r="C1605" s="3">
        <v>4145</v>
      </c>
      <c r="D1605" s="3" t="s">
        <v>1034</v>
      </c>
      <c r="E1605" s="3" t="s">
        <v>1084</v>
      </c>
      <c r="F1605" s="3">
        <v>80503</v>
      </c>
      <c r="G1605" s="3" t="s">
        <v>1036</v>
      </c>
      <c r="H1605" s="3" t="s">
        <v>1037</v>
      </c>
      <c r="I1605" s="3">
        <v>27516</v>
      </c>
      <c r="J1605" s="3">
        <v>24016</v>
      </c>
      <c r="K1605" s="3">
        <v>3500</v>
      </c>
      <c r="L1605" s="3">
        <v>5200</v>
      </c>
      <c r="M1605" s="3">
        <v>5200</v>
      </c>
      <c r="N1605" s="3">
        <v>0</v>
      </c>
    </row>
    <row r="1606" spans="1:14" ht="14.4">
      <c r="A1606" s="3">
        <v>13768</v>
      </c>
      <c r="B1606" s="3">
        <v>13769</v>
      </c>
      <c r="C1606" s="3">
        <v>4145</v>
      </c>
      <c r="D1606" s="3" t="s">
        <v>1034</v>
      </c>
      <c r="E1606" s="3" t="s">
        <v>1085</v>
      </c>
      <c r="F1606" s="3">
        <v>80831</v>
      </c>
      <c r="G1606" s="3" t="s">
        <v>1050</v>
      </c>
      <c r="H1606" s="3" t="s">
        <v>1037</v>
      </c>
      <c r="I1606" s="3">
        <v>13160</v>
      </c>
      <c r="J1606" s="3">
        <v>13160</v>
      </c>
      <c r="K1606" s="3">
        <v>0</v>
      </c>
      <c r="L1606" s="3">
        <v>13200</v>
      </c>
      <c r="M1606" s="3">
        <v>13200</v>
      </c>
      <c r="N1606" s="3">
        <v>0</v>
      </c>
    </row>
    <row r="1607" spans="1:14" ht="14.4">
      <c r="A1607" s="3">
        <v>13768</v>
      </c>
      <c r="B1607" s="3">
        <v>13769</v>
      </c>
      <c r="C1607" s="3">
        <v>4145</v>
      </c>
      <c r="D1607" s="3" t="s">
        <v>1034</v>
      </c>
      <c r="E1607" s="3" t="s">
        <v>1086</v>
      </c>
      <c r="F1607" s="3">
        <v>80651</v>
      </c>
      <c r="G1607" s="3" t="s">
        <v>1053</v>
      </c>
      <c r="H1607" s="3" t="s">
        <v>1037</v>
      </c>
      <c r="I1607" s="3">
        <v>0</v>
      </c>
      <c r="J1607" s="3">
        <v>0</v>
      </c>
      <c r="K1607" s="3">
        <v>0</v>
      </c>
      <c r="L1607" s="3">
        <v>50000</v>
      </c>
      <c r="M1607" s="3">
        <v>0</v>
      </c>
      <c r="N1607" s="3">
        <v>0</v>
      </c>
    </row>
    <row r="1608" spans="1:14" ht="14.4">
      <c r="A1608" s="3">
        <v>13768</v>
      </c>
      <c r="B1608" s="3">
        <v>13769</v>
      </c>
      <c r="C1608" s="3">
        <v>4145</v>
      </c>
      <c r="D1608" s="3" t="s">
        <v>1034</v>
      </c>
      <c r="E1608" s="3" t="s">
        <v>1087</v>
      </c>
      <c r="F1608" s="3">
        <v>80751</v>
      </c>
      <c r="G1608" s="3" t="s">
        <v>1041</v>
      </c>
      <c r="H1608" s="3" t="s">
        <v>1037</v>
      </c>
      <c r="I1608" s="3">
        <v>1134798</v>
      </c>
      <c r="J1608" s="3">
        <v>950972</v>
      </c>
      <c r="K1608" s="3">
        <v>183826</v>
      </c>
      <c r="L1608" s="3">
        <v>87200</v>
      </c>
      <c r="M1608" s="3">
        <v>34600</v>
      </c>
      <c r="N1608" s="3">
        <v>0</v>
      </c>
    </row>
    <row r="1609" spans="1:14" ht="14.4">
      <c r="A1609" s="3">
        <v>13768</v>
      </c>
      <c r="B1609" s="3">
        <v>13769</v>
      </c>
      <c r="C1609" s="3">
        <v>4145</v>
      </c>
      <c r="D1609" s="3" t="s">
        <v>1034</v>
      </c>
      <c r="E1609" s="3" t="s">
        <v>1088</v>
      </c>
      <c r="F1609" s="3">
        <v>80027</v>
      </c>
      <c r="G1609" s="3" t="s">
        <v>1036</v>
      </c>
      <c r="H1609" s="3" t="s">
        <v>1037</v>
      </c>
      <c r="I1609" s="3">
        <v>55592</v>
      </c>
      <c r="J1609" s="3">
        <v>46892</v>
      </c>
      <c r="K1609" s="3">
        <v>8700</v>
      </c>
      <c r="L1609" s="3">
        <v>0</v>
      </c>
      <c r="M1609" s="3">
        <v>0</v>
      </c>
      <c r="N1609" s="3">
        <v>0</v>
      </c>
    </row>
    <row r="1610" spans="1:14" ht="14.4">
      <c r="A1610" s="3">
        <v>13768</v>
      </c>
      <c r="B1610" s="3">
        <v>13769</v>
      </c>
      <c r="C1610" s="3">
        <v>4145</v>
      </c>
      <c r="D1610" s="3" t="s">
        <v>1034</v>
      </c>
      <c r="E1610" s="3" t="s">
        <v>1089</v>
      </c>
      <c r="F1610" s="3">
        <v>80229</v>
      </c>
      <c r="G1610" s="3" t="s">
        <v>1042</v>
      </c>
      <c r="H1610" s="3" t="s">
        <v>1037</v>
      </c>
      <c r="I1610" s="3">
        <v>54876</v>
      </c>
      <c r="J1610" s="3">
        <v>54876</v>
      </c>
      <c r="K1610" s="3">
        <v>0</v>
      </c>
      <c r="L1610" s="3">
        <v>54900</v>
      </c>
      <c r="M1610" s="3">
        <v>54900</v>
      </c>
      <c r="N1610" s="3">
        <v>0</v>
      </c>
    </row>
    <row r="1611" spans="1:14" ht="14.4">
      <c r="A1611" s="3">
        <v>13768</v>
      </c>
      <c r="B1611" s="3">
        <v>13769</v>
      </c>
      <c r="C1611" s="3">
        <v>4145</v>
      </c>
      <c r="D1611" s="3" t="s">
        <v>1034</v>
      </c>
      <c r="E1611" s="3" t="s">
        <v>1089</v>
      </c>
      <c r="F1611" s="3">
        <v>80233</v>
      </c>
      <c r="G1611" s="3" t="s">
        <v>1042</v>
      </c>
      <c r="H1611" s="3" t="s">
        <v>1037</v>
      </c>
      <c r="I1611" s="3">
        <v>21503</v>
      </c>
      <c r="J1611" s="3">
        <v>21503</v>
      </c>
      <c r="K1611" s="3">
        <v>0</v>
      </c>
      <c r="L1611" s="3">
        <v>20600</v>
      </c>
      <c r="M1611" s="3">
        <v>20600</v>
      </c>
      <c r="N1611" s="3">
        <v>0</v>
      </c>
    </row>
    <row r="1612" spans="1:14" ht="14.4">
      <c r="A1612" s="3">
        <v>13768</v>
      </c>
      <c r="B1612" s="3">
        <v>13769</v>
      </c>
      <c r="C1612" s="3">
        <v>4145</v>
      </c>
      <c r="D1612" s="3" t="s">
        <v>1034</v>
      </c>
      <c r="E1612" s="3" t="s">
        <v>1090</v>
      </c>
      <c r="F1612" s="3">
        <v>80481</v>
      </c>
      <c r="G1612" s="3" t="s">
        <v>1036</v>
      </c>
      <c r="H1612" s="3" t="s">
        <v>1037</v>
      </c>
      <c r="I1612" s="3">
        <v>63191</v>
      </c>
      <c r="J1612" s="3">
        <v>63191</v>
      </c>
      <c r="K1612" s="3">
        <v>0</v>
      </c>
      <c r="L1612" s="3">
        <v>0</v>
      </c>
      <c r="M1612" s="3">
        <v>0</v>
      </c>
      <c r="N1612" s="3">
        <v>0</v>
      </c>
    </row>
    <row r="1613" spans="1:14" ht="14.4">
      <c r="A1613" s="3">
        <v>13768</v>
      </c>
      <c r="B1613" s="3">
        <v>13769</v>
      </c>
      <c r="C1613" s="3">
        <v>4145</v>
      </c>
      <c r="D1613" s="3" t="s">
        <v>1034</v>
      </c>
      <c r="E1613" s="3" t="s">
        <v>1091</v>
      </c>
      <c r="F1613" s="3">
        <v>80653</v>
      </c>
      <c r="G1613" s="3" t="s">
        <v>1092</v>
      </c>
      <c r="H1613" s="3" t="s">
        <v>1037</v>
      </c>
      <c r="I1613" s="3">
        <v>147291</v>
      </c>
      <c r="J1613" s="3">
        <v>133341</v>
      </c>
      <c r="K1613" s="3">
        <v>13950</v>
      </c>
      <c r="L1613" s="3">
        <v>0</v>
      </c>
      <c r="M1613" s="3">
        <v>0</v>
      </c>
      <c r="N1613" s="3">
        <v>0</v>
      </c>
    </row>
    <row r="1614" spans="1:14" ht="14.4">
      <c r="A1614" s="3">
        <v>13768</v>
      </c>
      <c r="B1614" s="3">
        <v>13769</v>
      </c>
      <c r="C1614" s="3">
        <v>4145</v>
      </c>
      <c r="D1614" s="3" t="s">
        <v>1034</v>
      </c>
      <c r="E1614" s="3" t="s">
        <v>1093</v>
      </c>
      <c r="F1614" s="3">
        <v>80550</v>
      </c>
      <c r="G1614" s="3" t="s">
        <v>1053</v>
      </c>
      <c r="H1614" s="3" t="s">
        <v>1037</v>
      </c>
      <c r="I1614" s="3">
        <v>11128</v>
      </c>
      <c r="J1614" s="3">
        <v>8128</v>
      </c>
      <c r="K1614" s="3">
        <v>3000</v>
      </c>
      <c r="L1614" s="3">
        <v>0</v>
      </c>
      <c r="M1614" s="3">
        <v>0</v>
      </c>
      <c r="N1614" s="3">
        <v>0</v>
      </c>
    </row>
    <row r="1615" spans="1:14" ht="14.4">
      <c r="A1615" s="3"/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1:14" ht="14.4">
      <c r="A1616" s="3" t="s">
        <v>1094</v>
      </c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1:14" ht="14.4">
      <c r="A1617" s="3" t="s">
        <v>1095</v>
      </c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1:14" ht="14.4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</row>
  </sheetData>
  <sheetProtection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669bc4b9-23a2-4861-a480-8f111e99f910}">
  <sheetPr codeName="Sheet3"/>
  <dimension ref="A1:N2500"/>
  <sheetViews>
    <sheetView workbookViewId="0" topLeftCell="A1">
      <selection pane="topLeft" activeCell="A1" sqref="A1:N2500"/>
    </sheetView>
  </sheetViews>
  <sheetFormatPr defaultColWidth="9.142857142857142" defaultRowHeight="14.4"/>
  <sheetData>
    <row r="1" spans="1:8" ht="14.4">
      <c r="A1" t="s">
        <v>0</v>
      </c>
      <c r="H1" t="s">
        <v>1113</v>
      </c>
    </row>
    <row r="2" spans="8:8" ht="14.4">
      <c r="H2" t="s">
        <v>1114</v>
      </c>
    </row>
    <row r="3" spans="1:1" ht="14.4">
      <c r="A3" t="s">
        <v>3</v>
      </c>
    </row>
    <row r="4" spans="1:14" ht="14.4">
      <c r="A4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G4" t="s">
        <v>10</v>
      </c>
      <c r="H4" t="s">
        <v>11</v>
      </c>
      <c r="I4" t="s">
        <v>12</v>
      </c>
      <c r="J4" t="s">
        <v>13</v>
      </c>
      <c r="K4" t="s">
        <v>14</v>
      </c>
      <c r="L4" t="s">
        <v>15</v>
      </c>
      <c r="M4" t="s">
        <v>16</v>
      </c>
      <c r="N4" t="s">
        <v>17</v>
      </c>
    </row>
    <row r="5" spans="1:14" ht="14.4">
      <c r="A5">
        <v>13365</v>
      </c>
      <c r="B5">
        <v>13366</v>
      </c>
      <c r="C5">
        <v>4085</v>
      </c>
      <c r="D5" t="s">
        <v>18</v>
      </c>
      <c r="E5" t="s">
        <v>1115</v>
      </c>
      <c r="F5">
        <v>11434</v>
      </c>
      <c r="G5" t="s">
        <v>28</v>
      </c>
      <c r="H5" t="s">
        <v>21</v>
      </c>
      <c r="I5">
        <v>10925</v>
      </c>
      <c r="J5">
        <v>0</v>
      </c>
      <c r="K5">
        <v>10925</v>
      </c>
      <c r="L5">
        <v>11000</v>
      </c>
      <c r="M5">
        <v>0</v>
      </c>
      <c r="N5">
        <v>11000</v>
      </c>
    </row>
    <row r="6" spans="1:14" ht="14.4">
      <c r="A6">
        <v>13365</v>
      </c>
      <c r="B6">
        <v>13366</v>
      </c>
      <c r="C6">
        <v>4085</v>
      </c>
      <c r="D6" t="s">
        <v>18</v>
      </c>
      <c r="E6" t="s">
        <v>1116</v>
      </c>
      <c r="F6">
        <v>10952</v>
      </c>
      <c r="G6" t="s">
        <v>85</v>
      </c>
      <c r="H6" t="s">
        <v>21</v>
      </c>
      <c r="I6">
        <v>268858</v>
      </c>
      <c r="J6">
        <v>235885</v>
      </c>
      <c r="K6">
        <v>32973</v>
      </c>
      <c r="L6">
        <v>31300</v>
      </c>
      <c r="M6">
        <v>28400</v>
      </c>
      <c r="N6">
        <v>2900</v>
      </c>
    </row>
    <row r="7" spans="1:14" ht="14.4">
      <c r="A7">
        <v>13365</v>
      </c>
      <c r="B7">
        <v>13366</v>
      </c>
      <c r="C7">
        <v>4085</v>
      </c>
      <c r="D7" t="s">
        <v>18</v>
      </c>
      <c r="E7" t="s">
        <v>19</v>
      </c>
      <c r="F7">
        <v>11507</v>
      </c>
      <c r="G7" t="s">
        <v>20</v>
      </c>
      <c r="H7" t="s">
        <v>21</v>
      </c>
      <c r="I7">
        <v>25423</v>
      </c>
      <c r="J7">
        <v>24923</v>
      </c>
      <c r="K7">
        <v>500</v>
      </c>
      <c r="L7">
        <v>18100</v>
      </c>
      <c r="M7">
        <v>17600</v>
      </c>
      <c r="N7">
        <v>500</v>
      </c>
    </row>
    <row r="8" spans="1:14" ht="14.4">
      <c r="A8">
        <v>13365</v>
      </c>
      <c r="B8">
        <v>13366</v>
      </c>
      <c r="C8">
        <v>4085</v>
      </c>
      <c r="D8" t="s">
        <v>18</v>
      </c>
      <c r="E8" t="s">
        <v>1117</v>
      </c>
      <c r="F8">
        <v>11930</v>
      </c>
      <c r="G8" t="s">
        <v>23</v>
      </c>
      <c r="H8" t="s">
        <v>21</v>
      </c>
      <c r="I8">
        <v>136258</v>
      </c>
      <c r="J8">
        <v>116573</v>
      </c>
      <c r="K8">
        <v>19685</v>
      </c>
      <c r="L8">
        <v>62500</v>
      </c>
      <c r="M8">
        <v>53400</v>
      </c>
      <c r="N8">
        <v>9100</v>
      </c>
    </row>
    <row r="9" spans="1:14" ht="14.4">
      <c r="A9">
        <v>13365</v>
      </c>
      <c r="B9">
        <v>13366</v>
      </c>
      <c r="C9">
        <v>4085</v>
      </c>
      <c r="D9" t="s">
        <v>18</v>
      </c>
      <c r="E9" t="s">
        <v>22</v>
      </c>
      <c r="F9">
        <v>11701</v>
      </c>
      <c r="G9" t="s">
        <v>23</v>
      </c>
      <c r="H9" t="s">
        <v>21</v>
      </c>
      <c r="I9">
        <v>10894475</v>
      </c>
      <c r="J9">
        <v>7817121</v>
      </c>
      <c r="K9">
        <v>3077354</v>
      </c>
      <c r="L9">
        <v>5192800</v>
      </c>
      <c r="M9">
        <v>3231300</v>
      </c>
      <c r="N9">
        <v>1824600</v>
      </c>
    </row>
    <row r="10" spans="1:14" ht="14.4">
      <c r="A10">
        <v>13365</v>
      </c>
      <c r="B10">
        <v>13366</v>
      </c>
      <c r="C10">
        <v>4085</v>
      </c>
      <c r="D10" t="s">
        <v>18</v>
      </c>
      <c r="E10" t="s">
        <v>1118</v>
      </c>
      <c r="F10">
        <v>11701</v>
      </c>
      <c r="G10" t="s">
        <v>23</v>
      </c>
      <c r="H10" t="s">
        <v>21</v>
      </c>
      <c r="I10">
        <v>72794</v>
      </c>
      <c r="J10">
        <v>49899</v>
      </c>
      <c r="K10">
        <v>22895</v>
      </c>
      <c r="L10">
        <v>0</v>
      </c>
      <c r="M10">
        <v>0</v>
      </c>
      <c r="N10">
        <v>0</v>
      </c>
    </row>
    <row r="11" spans="1:14" ht="14.4">
      <c r="A11">
        <v>13365</v>
      </c>
      <c r="B11">
        <v>13366</v>
      </c>
      <c r="C11">
        <v>4085</v>
      </c>
      <c r="D11" t="s">
        <v>18</v>
      </c>
      <c r="E11" t="s">
        <v>25</v>
      </c>
      <c r="F11">
        <v>11701</v>
      </c>
      <c r="G11" t="s">
        <v>20</v>
      </c>
      <c r="H11" t="s">
        <v>21</v>
      </c>
      <c r="I11">
        <v>103817</v>
      </c>
      <c r="J11">
        <v>84057</v>
      </c>
      <c r="K11">
        <v>19760</v>
      </c>
      <c r="L11">
        <v>0</v>
      </c>
      <c r="M11">
        <v>0</v>
      </c>
      <c r="N11">
        <v>0</v>
      </c>
    </row>
    <row r="12" spans="1:14" ht="14.4">
      <c r="A12">
        <v>13365</v>
      </c>
      <c r="B12">
        <v>13366</v>
      </c>
      <c r="C12">
        <v>4085</v>
      </c>
      <c r="D12" t="s">
        <v>18</v>
      </c>
      <c r="E12" t="s">
        <v>25</v>
      </c>
      <c r="F12">
        <v>11701</v>
      </c>
      <c r="G12" t="s">
        <v>23</v>
      </c>
      <c r="H12" t="s">
        <v>21</v>
      </c>
      <c r="I12">
        <v>65139834</v>
      </c>
      <c r="J12">
        <v>48089540</v>
      </c>
      <c r="K12">
        <v>17050294</v>
      </c>
      <c r="L12">
        <v>28968000</v>
      </c>
      <c r="M12">
        <v>20031700</v>
      </c>
      <c r="N12">
        <v>8813300</v>
      </c>
    </row>
    <row r="13" spans="1:14" ht="14.4">
      <c r="A13">
        <v>13365</v>
      </c>
      <c r="B13">
        <v>13366</v>
      </c>
      <c r="C13">
        <v>4085</v>
      </c>
      <c r="D13" t="s">
        <v>18</v>
      </c>
      <c r="E13" t="s">
        <v>25</v>
      </c>
      <c r="F13">
        <v>11701</v>
      </c>
      <c r="G13" t="s">
        <v>189</v>
      </c>
      <c r="H13" t="s">
        <v>21</v>
      </c>
      <c r="I13">
        <v>525</v>
      </c>
      <c r="J13">
        <v>0</v>
      </c>
      <c r="K13">
        <v>525</v>
      </c>
      <c r="L13">
        <v>0</v>
      </c>
      <c r="M13">
        <v>0</v>
      </c>
      <c r="N13">
        <v>0</v>
      </c>
    </row>
    <row r="14" spans="1:14" ht="14.4">
      <c r="A14">
        <v>13365</v>
      </c>
      <c r="B14">
        <v>13366</v>
      </c>
      <c r="C14">
        <v>4085</v>
      </c>
      <c r="D14" t="s">
        <v>18</v>
      </c>
      <c r="E14" t="s">
        <v>25</v>
      </c>
      <c r="F14">
        <v>11726</v>
      </c>
      <c r="G14" t="s">
        <v>23</v>
      </c>
      <c r="H14" t="s">
        <v>21</v>
      </c>
      <c r="I14">
        <v>184273</v>
      </c>
      <c r="J14">
        <v>138773</v>
      </c>
      <c r="K14">
        <v>45500</v>
      </c>
      <c r="L14">
        <v>0</v>
      </c>
      <c r="M14">
        <v>0</v>
      </c>
      <c r="N14">
        <v>0</v>
      </c>
    </row>
    <row r="15" spans="1:14" ht="14.4">
      <c r="A15">
        <v>13365</v>
      </c>
      <c r="B15">
        <v>13366</v>
      </c>
      <c r="C15">
        <v>4085</v>
      </c>
      <c r="D15" t="s">
        <v>18</v>
      </c>
      <c r="E15" t="s">
        <v>25</v>
      </c>
      <c r="F15">
        <v>11735</v>
      </c>
      <c r="G15" t="s">
        <v>23</v>
      </c>
      <c r="H15" t="s">
        <v>21</v>
      </c>
      <c r="I15">
        <v>252658</v>
      </c>
      <c r="J15">
        <v>191708</v>
      </c>
      <c r="K15">
        <v>60950</v>
      </c>
      <c r="L15">
        <v>186900</v>
      </c>
      <c r="M15">
        <v>146900</v>
      </c>
      <c r="N15">
        <v>40000</v>
      </c>
    </row>
    <row r="16" spans="1:14" ht="14.4">
      <c r="A16">
        <v>13365</v>
      </c>
      <c r="B16">
        <v>13366</v>
      </c>
      <c r="C16">
        <v>4085</v>
      </c>
      <c r="D16" t="s">
        <v>18</v>
      </c>
      <c r="E16" t="s">
        <v>25</v>
      </c>
      <c r="F16">
        <v>11803</v>
      </c>
      <c r="G16" t="s">
        <v>23</v>
      </c>
      <c r="H16" t="s">
        <v>21</v>
      </c>
      <c r="I16">
        <v>101728</v>
      </c>
      <c r="J16">
        <v>66776</v>
      </c>
      <c r="K16">
        <v>34952</v>
      </c>
      <c r="L16">
        <v>0</v>
      </c>
      <c r="M16">
        <v>0</v>
      </c>
      <c r="N16">
        <v>0</v>
      </c>
    </row>
    <row r="17" spans="1:14" ht="14.4">
      <c r="A17">
        <v>13365</v>
      </c>
      <c r="B17">
        <v>13366</v>
      </c>
      <c r="C17">
        <v>4085</v>
      </c>
      <c r="D17" t="s">
        <v>18</v>
      </c>
      <c r="E17" t="s">
        <v>1119</v>
      </c>
      <c r="F17">
        <v>11701</v>
      </c>
      <c r="G17" t="s">
        <v>23</v>
      </c>
      <c r="H17" t="s">
        <v>21</v>
      </c>
      <c r="I17">
        <v>94659</v>
      </c>
      <c r="J17">
        <v>58859</v>
      </c>
      <c r="K17">
        <v>35800</v>
      </c>
      <c r="L17">
        <v>0</v>
      </c>
      <c r="M17">
        <v>0</v>
      </c>
      <c r="N17">
        <v>0</v>
      </c>
    </row>
    <row r="18" spans="1:14" ht="14.4">
      <c r="A18">
        <v>13365</v>
      </c>
      <c r="B18">
        <v>13366</v>
      </c>
      <c r="C18">
        <v>4085</v>
      </c>
      <c r="D18" t="s">
        <v>18</v>
      </c>
      <c r="E18" t="s">
        <v>26</v>
      </c>
      <c r="F18">
        <v>11901</v>
      </c>
      <c r="G18" t="s">
        <v>23</v>
      </c>
      <c r="H18" t="s">
        <v>21</v>
      </c>
      <c r="I18">
        <v>163717</v>
      </c>
      <c r="J18">
        <v>126277</v>
      </c>
      <c r="K18">
        <v>37440</v>
      </c>
      <c r="L18">
        <v>88100</v>
      </c>
      <c r="M18">
        <v>50700</v>
      </c>
      <c r="N18">
        <v>37400</v>
      </c>
    </row>
    <row r="19" spans="1:14" ht="14.4">
      <c r="A19">
        <v>13365</v>
      </c>
      <c r="B19">
        <v>13366</v>
      </c>
      <c r="C19">
        <v>4085</v>
      </c>
      <c r="D19" t="s">
        <v>18</v>
      </c>
      <c r="E19" t="s">
        <v>26</v>
      </c>
      <c r="F19">
        <v>11931</v>
      </c>
      <c r="G19" t="s">
        <v>23</v>
      </c>
      <c r="H19" t="s">
        <v>21</v>
      </c>
      <c r="I19">
        <v>336548</v>
      </c>
      <c r="J19">
        <v>281478</v>
      </c>
      <c r="K19">
        <v>55070</v>
      </c>
      <c r="L19">
        <v>193700</v>
      </c>
      <c r="M19">
        <v>165200</v>
      </c>
      <c r="N19">
        <v>28500</v>
      </c>
    </row>
    <row r="20" spans="1:14" ht="14.4">
      <c r="A20">
        <v>13365</v>
      </c>
      <c r="B20">
        <v>13366</v>
      </c>
      <c r="C20">
        <v>4085</v>
      </c>
      <c r="D20" t="s">
        <v>18</v>
      </c>
      <c r="E20" t="s">
        <v>1120</v>
      </c>
      <c r="F20">
        <v>10502</v>
      </c>
      <c r="G20" t="s">
        <v>64</v>
      </c>
      <c r="H20" t="s">
        <v>21</v>
      </c>
      <c r="I20">
        <v>16619</v>
      </c>
      <c r="J20">
        <v>14819</v>
      </c>
      <c r="K20">
        <v>1800</v>
      </c>
      <c r="L20">
        <v>0</v>
      </c>
      <c r="M20">
        <v>0</v>
      </c>
      <c r="N20">
        <v>0</v>
      </c>
    </row>
    <row r="21" spans="1:14" ht="14.4">
      <c r="A21">
        <v>13365</v>
      </c>
      <c r="B21">
        <v>13366</v>
      </c>
      <c r="C21">
        <v>4085</v>
      </c>
      <c r="D21" t="s">
        <v>18</v>
      </c>
      <c r="E21" t="s">
        <v>1121</v>
      </c>
      <c r="F21">
        <v>11692</v>
      </c>
      <c r="G21" t="s">
        <v>28</v>
      </c>
      <c r="H21" t="s">
        <v>21</v>
      </c>
      <c r="I21">
        <v>103726</v>
      </c>
      <c r="J21">
        <v>66626</v>
      </c>
      <c r="K21">
        <v>37100</v>
      </c>
      <c r="L21">
        <v>0</v>
      </c>
      <c r="M21">
        <v>0</v>
      </c>
      <c r="N21">
        <v>0</v>
      </c>
    </row>
    <row r="22" spans="1:14" ht="14.4">
      <c r="A22">
        <v>13365</v>
      </c>
      <c r="B22">
        <v>13366</v>
      </c>
      <c r="C22">
        <v>4085</v>
      </c>
      <c r="D22" t="s">
        <v>18</v>
      </c>
      <c r="E22" t="s">
        <v>1122</v>
      </c>
      <c r="F22">
        <v>10504</v>
      </c>
      <c r="G22" t="s">
        <v>64</v>
      </c>
      <c r="H22" t="s">
        <v>21</v>
      </c>
      <c r="I22">
        <v>343399</v>
      </c>
      <c r="J22">
        <v>333049</v>
      </c>
      <c r="K22">
        <v>10350</v>
      </c>
      <c r="L22">
        <v>116700</v>
      </c>
      <c r="M22">
        <v>115300</v>
      </c>
      <c r="N22">
        <v>1400</v>
      </c>
    </row>
    <row r="23" spans="1:14" ht="14.4">
      <c r="A23">
        <v>13365</v>
      </c>
      <c r="B23">
        <v>13366</v>
      </c>
      <c r="C23">
        <v>4085</v>
      </c>
      <c r="D23" t="s">
        <v>18</v>
      </c>
      <c r="E23" t="s">
        <v>29</v>
      </c>
      <c r="F23">
        <v>11212</v>
      </c>
      <c r="G23" t="s">
        <v>32</v>
      </c>
      <c r="H23" t="s">
        <v>21</v>
      </c>
      <c r="I23">
        <v>21775</v>
      </c>
      <c r="J23">
        <v>0</v>
      </c>
      <c r="K23">
        <v>21775</v>
      </c>
      <c r="L23">
        <v>0</v>
      </c>
      <c r="M23">
        <v>0</v>
      </c>
      <c r="N23">
        <v>0</v>
      </c>
    </row>
    <row r="24" spans="1:14" ht="14.4">
      <c r="A24">
        <v>13365</v>
      </c>
      <c r="B24">
        <v>13366</v>
      </c>
      <c r="C24">
        <v>4085</v>
      </c>
      <c r="D24" t="s">
        <v>18</v>
      </c>
      <c r="E24" t="s">
        <v>29</v>
      </c>
      <c r="F24">
        <v>11230</v>
      </c>
      <c r="G24" t="s">
        <v>28</v>
      </c>
      <c r="H24" t="s">
        <v>21</v>
      </c>
      <c r="I24">
        <v>54183</v>
      </c>
      <c r="J24">
        <v>36433</v>
      </c>
      <c r="K24">
        <v>17750</v>
      </c>
      <c r="L24">
        <v>0</v>
      </c>
      <c r="M24">
        <v>0</v>
      </c>
      <c r="N24">
        <v>0</v>
      </c>
    </row>
    <row r="25" spans="1:14" ht="14.4">
      <c r="A25">
        <v>13365</v>
      </c>
      <c r="B25">
        <v>13366</v>
      </c>
      <c r="C25">
        <v>4085</v>
      </c>
      <c r="D25" t="s">
        <v>18</v>
      </c>
      <c r="E25" t="s">
        <v>29</v>
      </c>
      <c r="F25">
        <v>11691</v>
      </c>
      <c r="G25" t="s">
        <v>28</v>
      </c>
      <c r="H25" t="s">
        <v>21</v>
      </c>
      <c r="I25">
        <v>336444</v>
      </c>
      <c r="J25">
        <v>171179</v>
      </c>
      <c r="K25">
        <v>165265</v>
      </c>
      <c r="L25">
        <v>0</v>
      </c>
      <c r="M25">
        <v>0</v>
      </c>
      <c r="N25">
        <v>0</v>
      </c>
    </row>
    <row r="26" spans="1:14" ht="14.4">
      <c r="A26">
        <v>13365</v>
      </c>
      <c r="B26">
        <v>13366</v>
      </c>
      <c r="C26">
        <v>4085</v>
      </c>
      <c r="D26" t="s">
        <v>18</v>
      </c>
      <c r="E26" t="s">
        <v>29</v>
      </c>
      <c r="F26">
        <v>11692</v>
      </c>
      <c r="G26" t="s">
        <v>32</v>
      </c>
      <c r="H26" t="s">
        <v>21</v>
      </c>
      <c r="I26">
        <v>271784</v>
      </c>
      <c r="J26">
        <v>99609</v>
      </c>
      <c r="K26">
        <v>172175</v>
      </c>
      <c r="L26">
        <v>112700</v>
      </c>
      <c r="M26">
        <v>39000</v>
      </c>
      <c r="N26">
        <v>73700</v>
      </c>
    </row>
    <row r="27" spans="1:14" ht="14.4">
      <c r="A27">
        <v>13365</v>
      </c>
      <c r="B27">
        <v>13366</v>
      </c>
      <c r="C27">
        <v>4085</v>
      </c>
      <c r="D27" t="s">
        <v>18</v>
      </c>
      <c r="E27" t="s">
        <v>29</v>
      </c>
      <c r="F27">
        <v>11692</v>
      </c>
      <c r="G27" t="s">
        <v>28</v>
      </c>
      <c r="H27" t="s">
        <v>21</v>
      </c>
      <c r="I27">
        <v>35906418</v>
      </c>
      <c r="J27">
        <v>21681591</v>
      </c>
      <c r="K27">
        <v>14224827</v>
      </c>
      <c r="L27">
        <v>11211400</v>
      </c>
      <c r="M27">
        <v>6277600</v>
      </c>
      <c r="N27">
        <v>4933800</v>
      </c>
    </row>
    <row r="28" spans="1:14" ht="14.4">
      <c r="A28">
        <v>13365</v>
      </c>
      <c r="B28">
        <v>13366</v>
      </c>
      <c r="C28">
        <v>4085</v>
      </c>
      <c r="D28" t="s">
        <v>18</v>
      </c>
      <c r="E28" t="s">
        <v>29</v>
      </c>
      <c r="F28">
        <v>11693</v>
      </c>
      <c r="G28" t="s">
        <v>28</v>
      </c>
      <c r="H28" t="s">
        <v>21</v>
      </c>
      <c r="I28">
        <v>52525</v>
      </c>
      <c r="J28">
        <v>0</v>
      </c>
      <c r="K28">
        <v>52525</v>
      </c>
      <c r="L28">
        <v>20000</v>
      </c>
      <c r="M28">
        <v>0</v>
      </c>
      <c r="N28">
        <v>20000</v>
      </c>
    </row>
    <row r="29" spans="1:14" ht="14.4">
      <c r="A29">
        <v>13365</v>
      </c>
      <c r="B29">
        <v>13366</v>
      </c>
      <c r="C29">
        <v>4085</v>
      </c>
      <c r="D29" t="s">
        <v>18</v>
      </c>
      <c r="E29" t="s">
        <v>29</v>
      </c>
      <c r="F29">
        <v>11699</v>
      </c>
      <c r="G29" t="s">
        <v>28</v>
      </c>
      <c r="H29" t="s">
        <v>21</v>
      </c>
      <c r="I29">
        <v>114149</v>
      </c>
      <c r="J29">
        <v>78889</v>
      </c>
      <c r="K29">
        <v>35260</v>
      </c>
      <c r="L29">
        <v>0</v>
      </c>
      <c r="M29">
        <v>0</v>
      </c>
      <c r="N29">
        <v>0</v>
      </c>
    </row>
    <row r="30" spans="1:14" ht="14.4">
      <c r="A30">
        <v>13365</v>
      </c>
      <c r="B30">
        <v>13366</v>
      </c>
      <c r="C30">
        <v>4085</v>
      </c>
      <c r="D30" t="s">
        <v>18</v>
      </c>
      <c r="E30" t="s">
        <v>29</v>
      </c>
      <c r="F30">
        <v>11962</v>
      </c>
      <c r="G30" t="s">
        <v>28</v>
      </c>
      <c r="H30" t="s">
        <v>21</v>
      </c>
      <c r="I30">
        <v>66815</v>
      </c>
      <c r="J30">
        <v>56115</v>
      </c>
      <c r="K30">
        <v>10700</v>
      </c>
      <c r="L30">
        <v>28000</v>
      </c>
      <c r="M30">
        <v>17300</v>
      </c>
      <c r="N30">
        <v>10700</v>
      </c>
    </row>
    <row r="31" spans="1:14" ht="14.4">
      <c r="A31">
        <v>13365</v>
      </c>
      <c r="B31">
        <v>13366</v>
      </c>
      <c r="C31">
        <v>4085</v>
      </c>
      <c r="D31" t="s">
        <v>18</v>
      </c>
      <c r="E31" t="s">
        <v>1123</v>
      </c>
      <c r="F31">
        <v>11692</v>
      </c>
      <c r="G31" t="s">
        <v>28</v>
      </c>
      <c r="H31" t="s">
        <v>21</v>
      </c>
      <c r="I31">
        <v>93234</v>
      </c>
      <c r="J31">
        <v>51609</v>
      </c>
      <c r="K31">
        <v>41625</v>
      </c>
      <c r="L31">
        <v>0</v>
      </c>
      <c r="M31">
        <v>0</v>
      </c>
      <c r="N31">
        <v>0</v>
      </c>
    </row>
    <row r="32" spans="1:14" ht="14.4">
      <c r="A32">
        <v>13365</v>
      </c>
      <c r="B32">
        <v>13366</v>
      </c>
      <c r="C32">
        <v>4085</v>
      </c>
      <c r="D32" t="s">
        <v>18</v>
      </c>
      <c r="E32" t="s">
        <v>1124</v>
      </c>
      <c r="F32">
        <v>11768</v>
      </c>
      <c r="G32" t="s">
        <v>23</v>
      </c>
      <c r="H32" t="s">
        <v>21</v>
      </c>
      <c r="I32">
        <v>217779</v>
      </c>
      <c r="J32">
        <v>111754</v>
      </c>
      <c r="K32">
        <v>106025</v>
      </c>
      <c r="L32">
        <v>117600</v>
      </c>
      <c r="M32">
        <v>77600</v>
      </c>
      <c r="N32">
        <v>40000</v>
      </c>
    </row>
    <row r="33" spans="1:14" ht="14.4">
      <c r="A33">
        <v>13365</v>
      </c>
      <c r="B33">
        <v>13366</v>
      </c>
      <c r="C33">
        <v>4085</v>
      </c>
      <c r="D33" t="s">
        <v>18</v>
      </c>
      <c r="E33" t="s">
        <v>30</v>
      </c>
      <c r="F33">
        <v>11102</v>
      </c>
      <c r="G33" t="s">
        <v>32</v>
      </c>
      <c r="H33" t="s">
        <v>21</v>
      </c>
      <c r="I33">
        <v>6775</v>
      </c>
      <c r="J33">
        <v>0</v>
      </c>
      <c r="K33">
        <v>6775</v>
      </c>
      <c r="L33">
        <v>6800</v>
      </c>
      <c r="M33">
        <v>0</v>
      </c>
      <c r="N33">
        <v>6800</v>
      </c>
    </row>
    <row r="34" spans="1:14" ht="14.4">
      <c r="A34">
        <v>13365</v>
      </c>
      <c r="B34">
        <v>13366</v>
      </c>
      <c r="C34">
        <v>4085</v>
      </c>
      <c r="D34" t="s">
        <v>18</v>
      </c>
      <c r="E34" t="s">
        <v>30</v>
      </c>
      <c r="F34">
        <v>11102</v>
      </c>
      <c r="G34" t="s">
        <v>28</v>
      </c>
      <c r="H34" t="s">
        <v>21</v>
      </c>
      <c r="I34">
        <v>85165</v>
      </c>
      <c r="J34">
        <v>64978</v>
      </c>
      <c r="K34">
        <v>20187</v>
      </c>
      <c r="L34">
        <v>11100</v>
      </c>
      <c r="M34">
        <v>0</v>
      </c>
      <c r="N34">
        <v>11100</v>
      </c>
    </row>
    <row r="35" spans="1:14" ht="14.4">
      <c r="A35">
        <v>13365</v>
      </c>
      <c r="B35">
        <v>13366</v>
      </c>
      <c r="C35">
        <v>4085</v>
      </c>
      <c r="D35" t="s">
        <v>18</v>
      </c>
      <c r="E35" t="s">
        <v>30</v>
      </c>
      <c r="F35">
        <v>11103</v>
      </c>
      <c r="G35" t="s">
        <v>28</v>
      </c>
      <c r="H35" t="s">
        <v>21</v>
      </c>
      <c r="I35">
        <v>27937</v>
      </c>
      <c r="J35">
        <v>27937</v>
      </c>
      <c r="K35">
        <v>0</v>
      </c>
      <c r="L35">
        <v>11200</v>
      </c>
      <c r="M35">
        <v>11200</v>
      </c>
      <c r="N35">
        <v>0</v>
      </c>
    </row>
    <row r="36" spans="1:14" ht="14.4">
      <c r="A36">
        <v>13365</v>
      </c>
      <c r="B36">
        <v>13366</v>
      </c>
      <c r="C36">
        <v>4085</v>
      </c>
      <c r="D36" t="s">
        <v>18</v>
      </c>
      <c r="E36" t="s">
        <v>30</v>
      </c>
      <c r="F36">
        <v>11103</v>
      </c>
      <c r="G36" t="s">
        <v>71</v>
      </c>
      <c r="H36" t="s">
        <v>21</v>
      </c>
      <c r="I36">
        <v>6300</v>
      </c>
      <c r="J36">
        <v>0</v>
      </c>
      <c r="K36">
        <v>6300</v>
      </c>
      <c r="L36">
        <v>0</v>
      </c>
      <c r="M36">
        <v>0</v>
      </c>
      <c r="N36">
        <v>0</v>
      </c>
    </row>
    <row r="37" spans="1:14" ht="14.4">
      <c r="A37">
        <v>13365</v>
      </c>
      <c r="B37">
        <v>13366</v>
      </c>
      <c r="C37">
        <v>4085</v>
      </c>
      <c r="D37" t="s">
        <v>18</v>
      </c>
      <c r="E37" t="s">
        <v>30</v>
      </c>
      <c r="F37">
        <v>11105</v>
      </c>
      <c r="G37" t="s">
        <v>28</v>
      </c>
      <c r="H37" t="s">
        <v>21</v>
      </c>
      <c r="I37">
        <v>21979</v>
      </c>
      <c r="J37">
        <v>16479</v>
      </c>
      <c r="K37">
        <v>5500</v>
      </c>
      <c r="L37">
        <v>11300</v>
      </c>
      <c r="M37">
        <v>9600</v>
      </c>
      <c r="N37">
        <v>1700</v>
      </c>
    </row>
    <row r="38" spans="1:14" ht="14.4">
      <c r="A38">
        <v>13365</v>
      </c>
      <c r="B38">
        <v>13366</v>
      </c>
      <c r="C38">
        <v>4085</v>
      </c>
      <c r="D38" t="s">
        <v>18</v>
      </c>
      <c r="E38" t="s">
        <v>30</v>
      </c>
      <c r="F38">
        <v>11106</v>
      </c>
      <c r="G38" t="s">
        <v>28</v>
      </c>
      <c r="H38" t="s">
        <v>21</v>
      </c>
      <c r="I38">
        <v>26055</v>
      </c>
      <c r="J38">
        <v>0</v>
      </c>
      <c r="K38">
        <v>26055</v>
      </c>
      <c r="L38">
        <v>1100</v>
      </c>
      <c r="M38">
        <v>0</v>
      </c>
      <c r="N38">
        <v>1100</v>
      </c>
    </row>
    <row r="39" spans="1:14" ht="14.4">
      <c r="A39">
        <v>13365</v>
      </c>
      <c r="B39">
        <v>13366</v>
      </c>
      <c r="C39">
        <v>4085</v>
      </c>
      <c r="D39" t="s">
        <v>18</v>
      </c>
      <c r="E39" t="s">
        <v>31</v>
      </c>
      <c r="F39">
        <v>11509</v>
      </c>
      <c r="G39" t="s">
        <v>20</v>
      </c>
      <c r="H39" t="s">
        <v>21</v>
      </c>
      <c r="I39">
        <v>11427376</v>
      </c>
      <c r="J39">
        <v>7837774</v>
      </c>
      <c r="K39">
        <v>3589602</v>
      </c>
      <c r="L39">
        <v>4086200</v>
      </c>
      <c r="M39">
        <v>2783400</v>
      </c>
      <c r="N39">
        <v>1302800</v>
      </c>
    </row>
    <row r="40" spans="1:14" ht="14.4">
      <c r="A40">
        <v>13365</v>
      </c>
      <c r="B40">
        <v>13366</v>
      </c>
      <c r="C40">
        <v>4085</v>
      </c>
      <c r="D40" t="s">
        <v>18</v>
      </c>
      <c r="E40" t="s">
        <v>1125</v>
      </c>
      <c r="F40">
        <v>11692</v>
      </c>
      <c r="G40" t="s">
        <v>28</v>
      </c>
      <c r="H40" t="s">
        <v>21</v>
      </c>
      <c r="I40">
        <v>76346</v>
      </c>
      <c r="J40">
        <v>47046</v>
      </c>
      <c r="K40">
        <v>29300</v>
      </c>
      <c r="L40">
        <v>0</v>
      </c>
      <c r="M40">
        <v>0</v>
      </c>
      <c r="N40">
        <v>0</v>
      </c>
    </row>
    <row r="41" spans="1:14" ht="14.4">
      <c r="A41">
        <v>13365</v>
      </c>
      <c r="B41">
        <v>13366</v>
      </c>
      <c r="C41">
        <v>4085</v>
      </c>
      <c r="D41" t="s">
        <v>18</v>
      </c>
      <c r="E41" t="s">
        <v>1126</v>
      </c>
      <c r="F41">
        <v>11692</v>
      </c>
      <c r="G41" t="s">
        <v>43</v>
      </c>
      <c r="H41" t="s">
        <v>21</v>
      </c>
      <c r="I41">
        <v>3000</v>
      </c>
      <c r="J41">
        <v>0</v>
      </c>
      <c r="K41">
        <v>3000</v>
      </c>
      <c r="L41">
        <v>0</v>
      </c>
      <c r="M41">
        <v>0</v>
      </c>
      <c r="N41">
        <v>0</v>
      </c>
    </row>
    <row r="42" spans="1:14" ht="14.4">
      <c r="A42">
        <v>13365</v>
      </c>
      <c r="B42">
        <v>13366</v>
      </c>
      <c r="C42">
        <v>4085</v>
      </c>
      <c r="D42" t="s">
        <v>18</v>
      </c>
      <c r="E42" t="s">
        <v>1126</v>
      </c>
      <c r="F42">
        <v>11692</v>
      </c>
      <c r="G42" t="s">
        <v>28</v>
      </c>
      <c r="H42" t="s">
        <v>21</v>
      </c>
      <c r="I42">
        <v>135839</v>
      </c>
      <c r="J42">
        <v>85789</v>
      </c>
      <c r="K42">
        <v>50050</v>
      </c>
      <c r="L42">
        <v>14000</v>
      </c>
      <c r="M42">
        <v>0</v>
      </c>
      <c r="N42">
        <v>14000</v>
      </c>
    </row>
    <row r="43" spans="1:14" ht="14.4">
      <c r="A43">
        <v>13365</v>
      </c>
      <c r="B43">
        <v>13366</v>
      </c>
      <c r="C43">
        <v>4085</v>
      </c>
      <c r="D43" t="s">
        <v>18</v>
      </c>
      <c r="E43" t="s">
        <v>1127</v>
      </c>
      <c r="F43">
        <v>11702</v>
      </c>
      <c r="G43" t="s">
        <v>23</v>
      </c>
      <c r="H43" t="s">
        <v>21</v>
      </c>
      <c r="I43">
        <v>14125</v>
      </c>
      <c r="J43">
        <v>1500</v>
      </c>
      <c r="K43">
        <v>12625</v>
      </c>
      <c r="L43">
        <v>0</v>
      </c>
      <c r="M43">
        <v>0</v>
      </c>
      <c r="N43">
        <v>0</v>
      </c>
    </row>
    <row r="44" spans="1:14" ht="14.4">
      <c r="A44">
        <v>13365</v>
      </c>
      <c r="B44">
        <v>13366</v>
      </c>
      <c r="C44">
        <v>4085</v>
      </c>
      <c r="D44" t="s">
        <v>18</v>
      </c>
      <c r="E44" t="s">
        <v>33</v>
      </c>
      <c r="F44">
        <v>11701</v>
      </c>
      <c r="G44" t="s">
        <v>23</v>
      </c>
      <c r="H44" t="s">
        <v>21</v>
      </c>
      <c r="I44">
        <v>98759</v>
      </c>
      <c r="J44">
        <v>71959</v>
      </c>
      <c r="K44">
        <v>26800</v>
      </c>
      <c r="L44">
        <v>0</v>
      </c>
      <c r="M44">
        <v>0</v>
      </c>
      <c r="N44">
        <v>0</v>
      </c>
    </row>
    <row r="45" spans="1:14" ht="14.4">
      <c r="A45">
        <v>13365</v>
      </c>
      <c r="B45">
        <v>13366</v>
      </c>
      <c r="C45">
        <v>4085</v>
      </c>
      <c r="D45" t="s">
        <v>18</v>
      </c>
      <c r="E45" t="s">
        <v>33</v>
      </c>
      <c r="F45">
        <v>11702</v>
      </c>
      <c r="G45" t="s">
        <v>23</v>
      </c>
      <c r="H45" t="s">
        <v>21</v>
      </c>
      <c r="I45">
        <v>69002957</v>
      </c>
      <c r="J45">
        <v>51742867</v>
      </c>
      <c r="K45">
        <v>17260090</v>
      </c>
      <c r="L45">
        <v>31856200</v>
      </c>
      <c r="M45">
        <v>22710300</v>
      </c>
      <c r="N45">
        <v>8998800</v>
      </c>
    </row>
    <row r="46" spans="1:14" ht="14.4">
      <c r="A46">
        <v>13365</v>
      </c>
      <c r="B46">
        <v>13366</v>
      </c>
      <c r="C46">
        <v>4085</v>
      </c>
      <c r="D46" t="s">
        <v>18</v>
      </c>
      <c r="E46" t="s">
        <v>1128</v>
      </c>
      <c r="F46">
        <v>11702</v>
      </c>
      <c r="G46" t="s">
        <v>23</v>
      </c>
      <c r="H46" t="s">
        <v>21</v>
      </c>
      <c r="I46">
        <v>110087</v>
      </c>
      <c r="J46">
        <v>77562</v>
      </c>
      <c r="K46">
        <v>32525</v>
      </c>
      <c r="L46">
        <v>110100</v>
      </c>
      <c r="M46">
        <v>77600</v>
      </c>
      <c r="N46">
        <v>32500</v>
      </c>
    </row>
    <row r="47" spans="1:14" ht="14.4">
      <c r="A47">
        <v>13365</v>
      </c>
      <c r="B47">
        <v>13366</v>
      </c>
      <c r="C47">
        <v>4085</v>
      </c>
      <c r="D47" t="s">
        <v>18</v>
      </c>
      <c r="E47" t="s">
        <v>34</v>
      </c>
      <c r="F47">
        <v>11510</v>
      </c>
      <c r="G47" t="s">
        <v>20</v>
      </c>
      <c r="H47" t="s">
        <v>21</v>
      </c>
      <c r="I47">
        <v>55142032</v>
      </c>
      <c r="J47">
        <v>39478226</v>
      </c>
      <c r="K47">
        <v>15663806</v>
      </c>
      <c r="L47">
        <v>21336700</v>
      </c>
      <c r="M47">
        <v>14703200</v>
      </c>
      <c r="N47">
        <v>6627800</v>
      </c>
    </row>
    <row r="48" spans="1:14" ht="14.4">
      <c r="A48">
        <v>13365</v>
      </c>
      <c r="B48">
        <v>13366</v>
      </c>
      <c r="C48">
        <v>4085</v>
      </c>
      <c r="D48" t="s">
        <v>18</v>
      </c>
      <c r="E48" t="s">
        <v>34</v>
      </c>
      <c r="F48">
        <v>11510</v>
      </c>
      <c r="G48" t="s">
        <v>32</v>
      </c>
      <c r="H48" t="s">
        <v>21</v>
      </c>
      <c r="I48">
        <v>188448</v>
      </c>
      <c r="J48">
        <v>145948</v>
      </c>
      <c r="K48">
        <v>42500</v>
      </c>
      <c r="L48">
        <v>94100</v>
      </c>
      <c r="M48">
        <v>70300</v>
      </c>
      <c r="N48">
        <v>23800</v>
      </c>
    </row>
    <row r="49" spans="1:14" ht="14.4">
      <c r="A49">
        <v>13365</v>
      </c>
      <c r="B49">
        <v>13366</v>
      </c>
      <c r="C49">
        <v>4085</v>
      </c>
      <c r="D49" t="s">
        <v>18</v>
      </c>
      <c r="E49" t="s">
        <v>34</v>
      </c>
      <c r="F49">
        <v>11520</v>
      </c>
      <c r="G49" t="s">
        <v>20</v>
      </c>
      <c r="H49" t="s">
        <v>21</v>
      </c>
      <c r="I49">
        <v>4300</v>
      </c>
      <c r="J49">
        <v>0</v>
      </c>
      <c r="K49">
        <v>4300</v>
      </c>
      <c r="L49">
        <v>0</v>
      </c>
      <c r="M49">
        <v>0</v>
      </c>
      <c r="N49">
        <v>0</v>
      </c>
    </row>
    <row r="50" spans="1:14" ht="14.4">
      <c r="A50">
        <v>13365</v>
      </c>
      <c r="B50">
        <v>13366</v>
      </c>
      <c r="C50">
        <v>4085</v>
      </c>
      <c r="D50" t="s">
        <v>18</v>
      </c>
      <c r="E50" t="s">
        <v>34</v>
      </c>
      <c r="F50">
        <v>11572</v>
      </c>
      <c r="G50" t="s">
        <v>20</v>
      </c>
      <c r="H50" t="s">
        <v>21</v>
      </c>
      <c r="I50">
        <v>16100</v>
      </c>
      <c r="J50">
        <v>0</v>
      </c>
      <c r="K50">
        <v>16100</v>
      </c>
      <c r="L50">
        <v>16100</v>
      </c>
      <c r="M50">
        <v>0</v>
      </c>
      <c r="N50">
        <v>16100</v>
      </c>
    </row>
    <row r="51" spans="1:14" ht="14.4">
      <c r="A51">
        <v>13365</v>
      </c>
      <c r="B51">
        <v>13366</v>
      </c>
      <c r="C51">
        <v>4085</v>
      </c>
      <c r="D51" t="s">
        <v>18</v>
      </c>
      <c r="E51" t="s">
        <v>1129</v>
      </c>
      <c r="F51">
        <v>11510</v>
      </c>
      <c r="G51" t="s">
        <v>20</v>
      </c>
      <c r="H51" t="s">
        <v>21</v>
      </c>
      <c r="I51">
        <v>2914280</v>
      </c>
      <c r="J51">
        <v>2134984</v>
      </c>
      <c r="K51">
        <v>779296</v>
      </c>
      <c r="L51">
        <v>1235000</v>
      </c>
      <c r="M51">
        <v>909900</v>
      </c>
      <c r="N51">
        <v>325100</v>
      </c>
    </row>
    <row r="52" spans="1:14" ht="14.4">
      <c r="A52">
        <v>13365</v>
      </c>
      <c r="B52">
        <v>13366</v>
      </c>
      <c r="C52">
        <v>4085</v>
      </c>
      <c r="D52" t="s">
        <v>18</v>
      </c>
      <c r="E52" t="s">
        <v>1130</v>
      </c>
      <c r="F52">
        <v>11510</v>
      </c>
      <c r="G52" t="s">
        <v>20</v>
      </c>
      <c r="H52" t="s">
        <v>21</v>
      </c>
      <c r="I52">
        <v>52159</v>
      </c>
      <c r="J52">
        <v>29334</v>
      </c>
      <c r="K52">
        <v>22825</v>
      </c>
      <c r="L52">
        <v>0</v>
      </c>
      <c r="M52">
        <v>0</v>
      </c>
      <c r="N52">
        <v>0</v>
      </c>
    </row>
    <row r="53" spans="1:14" ht="14.4">
      <c r="A53">
        <v>13365</v>
      </c>
      <c r="B53">
        <v>13366</v>
      </c>
      <c r="C53">
        <v>4085</v>
      </c>
      <c r="D53" t="s">
        <v>18</v>
      </c>
      <c r="E53" t="s">
        <v>1131</v>
      </c>
      <c r="F53">
        <v>10505</v>
      </c>
      <c r="G53" t="s">
        <v>64</v>
      </c>
      <c r="H53" t="s">
        <v>21</v>
      </c>
      <c r="I53">
        <v>52656</v>
      </c>
      <c r="J53">
        <v>49156</v>
      </c>
      <c r="K53">
        <v>3500</v>
      </c>
      <c r="L53">
        <v>37700</v>
      </c>
      <c r="M53">
        <v>34200</v>
      </c>
      <c r="N53">
        <v>3500</v>
      </c>
    </row>
    <row r="54" spans="1:14" ht="14.4">
      <c r="A54">
        <v>13365</v>
      </c>
      <c r="B54">
        <v>13366</v>
      </c>
      <c r="C54">
        <v>4085</v>
      </c>
      <c r="D54" t="s">
        <v>18</v>
      </c>
      <c r="E54" t="s">
        <v>35</v>
      </c>
      <c r="F54">
        <v>11702</v>
      </c>
      <c r="G54" t="s">
        <v>23</v>
      </c>
      <c r="H54" t="s">
        <v>21</v>
      </c>
      <c r="I54">
        <v>152724</v>
      </c>
      <c r="J54">
        <v>121174</v>
      </c>
      <c r="K54">
        <v>31550</v>
      </c>
      <c r="L54">
        <v>0</v>
      </c>
      <c r="M54">
        <v>0</v>
      </c>
      <c r="N54">
        <v>0</v>
      </c>
    </row>
    <row r="55" spans="1:14" ht="14.4">
      <c r="A55">
        <v>13365</v>
      </c>
      <c r="B55">
        <v>13366</v>
      </c>
      <c r="C55">
        <v>4085</v>
      </c>
      <c r="D55" t="s">
        <v>18</v>
      </c>
      <c r="E55" t="s">
        <v>35</v>
      </c>
      <c r="F55">
        <v>11706</v>
      </c>
      <c r="G55" t="s">
        <v>23</v>
      </c>
      <c r="H55" t="s">
        <v>21</v>
      </c>
      <c r="I55">
        <v>10982571</v>
      </c>
      <c r="J55">
        <v>8892996</v>
      </c>
      <c r="K55">
        <v>2089575</v>
      </c>
      <c r="L55">
        <v>4178800</v>
      </c>
      <c r="M55">
        <v>3163700</v>
      </c>
      <c r="N55">
        <v>1015100</v>
      </c>
    </row>
    <row r="56" spans="1:14" ht="14.4">
      <c r="A56">
        <v>13365</v>
      </c>
      <c r="B56">
        <v>13366</v>
      </c>
      <c r="C56">
        <v>4085</v>
      </c>
      <c r="D56" t="s">
        <v>18</v>
      </c>
      <c r="E56" t="s">
        <v>1132</v>
      </c>
      <c r="F56">
        <v>11705</v>
      </c>
      <c r="G56" t="s">
        <v>23</v>
      </c>
      <c r="H56" t="s">
        <v>21</v>
      </c>
      <c r="I56">
        <v>3739216</v>
      </c>
      <c r="J56">
        <v>3221496</v>
      </c>
      <c r="K56">
        <v>517720</v>
      </c>
      <c r="L56">
        <v>1769600</v>
      </c>
      <c r="M56">
        <v>1521700</v>
      </c>
      <c r="N56">
        <v>247900</v>
      </c>
    </row>
    <row r="57" spans="1:14" ht="14.4">
      <c r="A57">
        <v>13365</v>
      </c>
      <c r="B57">
        <v>13366</v>
      </c>
      <c r="C57">
        <v>4085</v>
      </c>
      <c r="D57" t="s">
        <v>18</v>
      </c>
      <c r="E57" t="s">
        <v>39</v>
      </c>
      <c r="F57">
        <v>11706</v>
      </c>
      <c r="G57" t="s">
        <v>23</v>
      </c>
      <c r="H57" t="s">
        <v>21</v>
      </c>
      <c r="I57">
        <v>620606</v>
      </c>
      <c r="J57">
        <v>517701</v>
      </c>
      <c r="K57">
        <v>102905</v>
      </c>
      <c r="L57">
        <v>66800</v>
      </c>
      <c r="M57">
        <v>52000</v>
      </c>
      <c r="N57">
        <v>14800</v>
      </c>
    </row>
    <row r="58" spans="1:14" ht="14.4">
      <c r="A58">
        <v>13365</v>
      </c>
      <c r="B58">
        <v>13366</v>
      </c>
      <c r="C58">
        <v>4085</v>
      </c>
      <c r="D58" t="s">
        <v>18</v>
      </c>
      <c r="E58" t="s">
        <v>40</v>
      </c>
      <c r="F58">
        <v>11360</v>
      </c>
      <c r="G58" t="s">
        <v>32</v>
      </c>
      <c r="H58" t="s">
        <v>21</v>
      </c>
      <c r="I58">
        <v>6065</v>
      </c>
      <c r="J58">
        <v>5665</v>
      </c>
      <c r="K58">
        <v>400</v>
      </c>
      <c r="L58">
        <v>3700</v>
      </c>
      <c r="M58">
        <v>3300</v>
      </c>
      <c r="N58">
        <v>400</v>
      </c>
    </row>
    <row r="59" spans="1:14" ht="14.4">
      <c r="A59">
        <v>13365</v>
      </c>
      <c r="B59">
        <v>13366</v>
      </c>
      <c r="C59">
        <v>4085</v>
      </c>
      <c r="D59" t="s">
        <v>18</v>
      </c>
      <c r="E59" t="s">
        <v>40</v>
      </c>
      <c r="F59">
        <v>11360</v>
      </c>
      <c r="G59" t="s">
        <v>28</v>
      </c>
      <c r="H59" t="s">
        <v>21</v>
      </c>
      <c r="I59">
        <v>15822</v>
      </c>
      <c r="J59">
        <v>15822</v>
      </c>
      <c r="K59">
        <v>0</v>
      </c>
      <c r="L59">
        <v>11400</v>
      </c>
      <c r="M59">
        <v>11400</v>
      </c>
      <c r="N59">
        <v>0</v>
      </c>
    </row>
    <row r="60" spans="1:14" ht="14.4">
      <c r="A60">
        <v>13365</v>
      </c>
      <c r="B60">
        <v>13366</v>
      </c>
      <c r="C60">
        <v>4085</v>
      </c>
      <c r="D60" t="s">
        <v>18</v>
      </c>
      <c r="E60" t="s">
        <v>40</v>
      </c>
      <c r="F60">
        <v>11361</v>
      </c>
      <c r="G60" t="s">
        <v>32</v>
      </c>
      <c r="H60" t="s">
        <v>21</v>
      </c>
      <c r="I60">
        <v>21564</v>
      </c>
      <c r="J60">
        <v>21564</v>
      </c>
      <c r="K60">
        <v>0</v>
      </c>
      <c r="L60">
        <v>21600</v>
      </c>
      <c r="M60">
        <v>21600</v>
      </c>
      <c r="N60">
        <v>0</v>
      </c>
    </row>
    <row r="61" spans="1:14" ht="14.4">
      <c r="A61">
        <v>13365</v>
      </c>
      <c r="B61">
        <v>13366</v>
      </c>
      <c r="C61">
        <v>4085</v>
      </c>
      <c r="D61" t="s">
        <v>18</v>
      </c>
      <c r="E61" t="s">
        <v>40</v>
      </c>
      <c r="F61">
        <v>11361</v>
      </c>
      <c r="G61" t="s">
        <v>28</v>
      </c>
      <c r="H61" t="s">
        <v>21</v>
      </c>
      <c r="I61">
        <v>57796</v>
      </c>
      <c r="J61">
        <v>15641</v>
      </c>
      <c r="K61">
        <v>42155</v>
      </c>
      <c r="L61">
        <v>19200</v>
      </c>
      <c r="M61">
        <v>14000</v>
      </c>
      <c r="N61">
        <v>5200</v>
      </c>
    </row>
    <row r="62" spans="1:14" ht="14.4">
      <c r="A62">
        <v>13365</v>
      </c>
      <c r="B62">
        <v>13366</v>
      </c>
      <c r="C62">
        <v>4085</v>
      </c>
      <c r="D62" t="s">
        <v>18</v>
      </c>
      <c r="E62" t="s">
        <v>40</v>
      </c>
      <c r="F62">
        <v>11364</v>
      </c>
      <c r="G62" t="s">
        <v>28</v>
      </c>
      <c r="H62" t="s">
        <v>21</v>
      </c>
      <c r="I62">
        <v>19837</v>
      </c>
      <c r="J62">
        <v>19837</v>
      </c>
      <c r="K62">
        <v>0</v>
      </c>
      <c r="L62">
        <v>0</v>
      </c>
      <c r="M62">
        <v>0</v>
      </c>
      <c r="N62">
        <v>0</v>
      </c>
    </row>
    <row r="63" spans="1:14" ht="14.4">
      <c r="A63">
        <v>13365</v>
      </c>
      <c r="B63">
        <v>13366</v>
      </c>
      <c r="C63">
        <v>4085</v>
      </c>
      <c r="D63" t="s">
        <v>18</v>
      </c>
      <c r="E63" t="s">
        <v>1133</v>
      </c>
      <c r="F63">
        <v>11364</v>
      </c>
      <c r="G63" t="s">
        <v>28</v>
      </c>
      <c r="H63" t="s">
        <v>21</v>
      </c>
      <c r="I63">
        <v>11169</v>
      </c>
      <c r="J63">
        <v>9869</v>
      </c>
      <c r="K63">
        <v>1300</v>
      </c>
      <c r="L63">
        <v>0</v>
      </c>
      <c r="M63">
        <v>0</v>
      </c>
      <c r="N63">
        <v>0</v>
      </c>
    </row>
    <row r="64" spans="1:14" ht="14.4">
      <c r="A64">
        <v>13365</v>
      </c>
      <c r="B64">
        <v>13366</v>
      </c>
      <c r="C64">
        <v>4085</v>
      </c>
      <c r="D64" t="s">
        <v>18</v>
      </c>
      <c r="E64" t="s">
        <v>1134</v>
      </c>
      <c r="F64">
        <v>11691</v>
      </c>
      <c r="G64" t="s">
        <v>28</v>
      </c>
      <c r="H64" t="s">
        <v>21</v>
      </c>
      <c r="I64">
        <v>27155</v>
      </c>
      <c r="J64">
        <v>26355</v>
      </c>
      <c r="K64">
        <v>800</v>
      </c>
      <c r="L64">
        <v>0</v>
      </c>
      <c r="M64">
        <v>0</v>
      </c>
      <c r="N64">
        <v>0</v>
      </c>
    </row>
    <row r="65" spans="1:14" ht="14.4">
      <c r="A65">
        <v>13365</v>
      </c>
      <c r="B65">
        <v>13366</v>
      </c>
      <c r="C65">
        <v>4085</v>
      </c>
      <c r="D65" t="s">
        <v>18</v>
      </c>
      <c r="E65" t="s">
        <v>41</v>
      </c>
      <c r="F65">
        <v>11709</v>
      </c>
      <c r="G65" t="s">
        <v>20</v>
      </c>
      <c r="H65" t="s">
        <v>21</v>
      </c>
      <c r="I65">
        <v>4909746</v>
      </c>
      <c r="J65">
        <v>3602753</v>
      </c>
      <c r="K65">
        <v>1306993</v>
      </c>
      <c r="L65">
        <v>2346400</v>
      </c>
      <c r="M65">
        <v>1602700</v>
      </c>
      <c r="N65">
        <v>743700</v>
      </c>
    </row>
    <row r="66" spans="1:14" ht="14.4">
      <c r="A66">
        <v>13365</v>
      </c>
      <c r="B66">
        <v>13366</v>
      </c>
      <c r="C66">
        <v>4085</v>
      </c>
      <c r="D66" t="s">
        <v>18</v>
      </c>
      <c r="E66" t="s">
        <v>1135</v>
      </c>
      <c r="F66">
        <v>11694</v>
      </c>
      <c r="G66" t="s">
        <v>28</v>
      </c>
      <c r="H66" t="s">
        <v>21</v>
      </c>
      <c r="I66">
        <v>97367</v>
      </c>
      <c r="J66">
        <v>64367</v>
      </c>
      <c r="K66">
        <v>33000</v>
      </c>
      <c r="L66">
        <v>0</v>
      </c>
      <c r="M66">
        <v>0</v>
      </c>
      <c r="N66">
        <v>0</v>
      </c>
    </row>
    <row r="67" spans="1:14" ht="14.4">
      <c r="A67">
        <v>13365</v>
      </c>
      <c r="B67">
        <v>13366</v>
      </c>
      <c r="C67">
        <v>4085</v>
      </c>
      <c r="D67" t="s">
        <v>18</v>
      </c>
      <c r="E67" t="s">
        <v>1136</v>
      </c>
      <c r="F67">
        <v>10506</v>
      </c>
      <c r="G67" t="s">
        <v>64</v>
      </c>
      <c r="H67" t="s">
        <v>21</v>
      </c>
      <c r="I67">
        <v>59171</v>
      </c>
      <c r="J67">
        <v>43646</v>
      </c>
      <c r="K67">
        <v>15525</v>
      </c>
      <c r="L67">
        <v>40700</v>
      </c>
      <c r="M67">
        <v>37300</v>
      </c>
      <c r="N67">
        <v>3400</v>
      </c>
    </row>
    <row r="68" spans="1:14" ht="14.4">
      <c r="A68">
        <v>13365</v>
      </c>
      <c r="B68">
        <v>13366</v>
      </c>
      <c r="C68">
        <v>4085</v>
      </c>
      <c r="D68" t="s">
        <v>18</v>
      </c>
      <c r="E68" t="s">
        <v>1137</v>
      </c>
      <c r="F68">
        <v>10507</v>
      </c>
      <c r="G68" t="s">
        <v>64</v>
      </c>
      <c r="H68" t="s">
        <v>21</v>
      </c>
      <c r="I68">
        <v>128398</v>
      </c>
      <c r="J68">
        <v>110848</v>
      </c>
      <c r="K68">
        <v>17550</v>
      </c>
      <c r="L68">
        <v>14000</v>
      </c>
      <c r="M68">
        <v>600</v>
      </c>
      <c r="N68">
        <v>13400</v>
      </c>
    </row>
    <row r="69" spans="1:14" ht="14.4">
      <c r="A69">
        <v>13365</v>
      </c>
      <c r="B69">
        <v>13366</v>
      </c>
      <c r="C69">
        <v>4085</v>
      </c>
      <c r="D69" t="s">
        <v>18</v>
      </c>
      <c r="E69" t="s">
        <v>1138</v>
      </c>
      <c r="F69">
        <v>11694</v>
      </c>
      <c r="G69" t="s">
        <v>28</v>
      </c>
      <c r="H69" t="s">
        <v>21</v>
      </c>
      <c r="I69">
        <v>201790</v>
      </c>
      <c r="J69">
        <v>170465</v>
      </c>
      <c r="K69">
        <v>31325</v>
      </c>
      <c r="L69">
        <v>169200</v>
      </c>
      <c r="M69">
        <v>137900</v>
      </c>
      <c r="N69">
        <v>31300</v>
      </c>
    </row>
    <row r="70" spans="1:14" ht="14.4">
      <c r="A70">
        <v>13365</v>
      </c>
      <c r="B70">
        <v>13366</v>
      </c>
      <c r="C70">
        <v>4085</v>
      </c>
      <c r="D70" t="s">
        <v>18</v>
      </c>
      <c r="E70" t="s">
        <v>1139</v>
      </c>
      <c r="F70">
        <v>11694</v>
      </c>
      <c r="G70" t="s">
        <v>28</v>
      </c>
      <c r="H70" t="s">
        <v>21</v>
      </c>
      <c r="I70">
        <v>92987</v>
      </c>
      <c r="J70">
        <v>85487</v>
      </c>
      <c r="K70">
        <v>7500</v>
      </c>
      <c r="L70">
        <v>74300</v>
      </c>
      <c r="M70">
        <v>66800</v>
      </c>
      <c r="N70">
        <v>7500</v>
      </c>
    </row>
    <row r="71" spans="1:14" ht="14.4">
      <c r="A71">
        <v>13365</v>
      </c>
      <c r="B71">
        <v>13366</v>
      </c>
      <c r="C71">
        <v>4085</v>
      </c>
      <c r="D71" t="s">
        <v>18</v>
      </c>
      <c r="E71" t="s">
        <v>42</v>
      </c>
      <c r="F71">
        <v>11691</v>
      </c>
      <c r="G71" t="s">
        <v>28</v>
      </c>
      <c r="H71" t="s">
        <v>21</v>
      </c>
      <c r="I71">
        <v>41600</v>
      </c>
      <c r="J71">
        <v>0</v>
      </c>
      <c r="K71">
        <v>41600</v>
      </c>
      <c r="L71">
        <v>0</v>
      </c>
      <c r="M71">
        <v>0</v>
      </c>
      <c r="N71">
        <v>0</v>
      </c>
    </row>
    <row r="72" spans="1:14" ht="14.4">
      <c r="A72">
        <v>13365</v>
      </c>
      <c r="B72">
        <v>13366</v>
      </c>
      <c r="C72">
        <v>4085</v>
      </c>
      <c r="D72" t="s">
        <v>18</v>
      </c>
      <c r="E72" t="s">
        <v>42</v>
      </c>
      <c r="F72">
        <v>11693</v>
      </c>
      <c r="G72" t="s">
        <v>28</v>
      </c>
      <c r="H72" t="s">
        <v>21</v>
      </c>
      <c r="I72">
        <v>145948</v>
      </c>
      <c r="J72">
        <v>102798</v>
      </c>
      <c r="K72">
        <v>43150</v>
      </c>
      <c r="L72">
        <v>86000</v>
      </c>
      <c r="M72">
        <v>52800</v>
      </c>
      <c r="N72">
        <v>33200</v>
      </c>
    </row>
    <row r="73" spans="1:14" ht="14.4">
      <c r="A73">
        <v>13365</v>
      </c>
      <c r="B73">
        <v>13366</v>
      </c>
      <c r="C73">
        <v>4085</v>
      </c>
      <c r="D73" t="s">
        <v>18</v>
      </c>
      <c r="E73" t="s">
        <v>42</v>
      </c>
      <c r="F73">
        <v>11694</v>
      </c>
      <c r="G73" t="s">
        <v>43</v>
      </c>
      <c r="H73" t="s">
        <v>21</v>
      </c>
      <c r="I73">
        <v>105042</v>
      </c>
      <c r="J73">
        <v>94292</v>
      </c>
      <c r="K73">
        <v>10750</v>
      </c>
      <c r="L73">
        <v>0</v>
      </c>
      <c r="M73">
        <v>0</v>
      </c>
      <c r="N73">
        <v>0</v>
      </c>
    </row>
    <row r="74" spans="1:14" ht="14.4">
      <c r="A74">
        <v>13365</v>
      </c>
      <c r="B74">
        <v>13366</v>
      </c>
      <c r="C74">
        <v>4085</v>
      </c>
      <c r="D74" t="s">
        <v>18</v>
      </c>
      <c r="E74" t="s">
        <v>42</v>
      </c>
      <c r="F74">
        <v>11694</v>
      </c>
      <c r="G74" t="s">
        <v>32</v>
      </c>
      <c r="H74" t="s">
        <v>21</v>
      </c>
      <c r="I74">
        <v>113691</v>
      </c>
      <c r="J74">
        <v>85516</v>
      </c>
      <c r="K74">
        <v>28175</v>
      </c>
      <c r="L74">
        <v>0</v>
      </c>
      <c r="M74">
        <v>0</v>
      </c>
      <c r="N74">
        <v>0</v>
      </c>
    </row>
    <row r="75" spans="1:14" ht="14.4">
      <c r="A75">
        <v>13365</v>
      </c>
      <c r="B75">
        <v>13366</v>
      </c>
      <c r="C75">
        <v>4085</v>
      </c>
      <c r="D75" t="s">
        <v>18</v>
      </c>
      <c r="E75" t="s">
        <v>42</v>
      </c>
      <c r="F75">
        <v>11694</v>
      </c>
      <c r="G75" t="s">
        <v>28</v>
      </c>
      <c r="H75" t="s">
        <v>21</v>
      </c>
      <c r="I75">
        <v>76263427</v>
      </c>
      <c r="J75">
        <v>51836689</v>
      </c>
      <c r="K75">
        <v>24426738</v>
      </c>
      <c r="L75">
        <v>35742300</v>
      </c>
      <c r="M75">
        <v>24846100</v>
      </c>
      <c r="N75">
        <v>10896200</v>
      </c>
    </row>
    <row r="76" spans="1:14" ht="14.4">
      <c r="A76">
        <v>13365</v>
      </c>
      <c r="B76">
        <v>13366</v>
      </c>
      <c r="C76">
        <v>4085</v>
      </c>
      <c r="D76" t="s">
        <v>18</v>
      </c>
      <c r="E76" t="s">
        <v>42</v>
      </c>
      <c r="F76">
        <v>11695</v>
      </c>
      <c r="G76" t="s">
        <v>28</v>
      </c>
      <c r="H76" t="s">
        <v>21</v>
      </c>
      <c r="I76">
        <v>122640</v>
      </c>
      <c r="J76">
        <v>83375</v>
      </c>
      <c r="K76">
        <v>39265</v>
      </c>
      <c r="L76">
        <v>61100</v>
      </c>
      <c r="M76">
        <v>26500</v>
      </c>
      <c r="N76">
        <v>34600</v>
      </c>
    </row>
    <row r="77" spans="1:14" ht="14.4">
      <c r="A77">
        <v>13365</v>
      </c>
      <c r="B77">
        <v>13366</v>
      </c>
      <c r="C77">
        <v>4085</v>
      </c>
      <c r="D77" t="s">
        <v>18</v>
      </c>
      <c r="E77" t="s">
        <v>42</v>
      </c>
      <c r="F77">
        <v>11696</v>
      </c>
      <c r="G77" t="s">
        <v>28</v>
      </c>
      <c r="H77" t="s">
        <v>21</v>
      </c>
      <c r="I77">
        <v>53366</v>
      </c>
      <c r="J77">
        <v>51266</v>
      </c>
      <c r="K77">
        <v>2100</v>
      </c>
      <c r="L77">
        <v>0</v>
      </c>
      <c r="M77">
        <v>0</v>
      </c>
      <c r="N77">
        <v>0</v>
      </c>
    </row>
    <row r="78" spans="1:14" ht="14.4">
      <c r="A78">
        <v>13365</v>
      </c>
      <c r="B78">
        <v>13366</v>
      </c>
      <c r="C78">
        <v>4085</v>
      </c>
      <c r="D78" t="s">
        <v>18</v>
      </c>
      <c r="E78" t="s">
        <v>1140</v>
      </c>
      <c r="F78">
        <v>11694</v>
      </c>
      <c r="G78" t="s">
        <v>28</v>
      </c>
      <c r="H78" t="s">
        <v>21</v>
      </c>
      <c r="I78">
        <v>68136</v>
      </c>
      <c r="J78">
        <v>11936</v>
      </c>
      <c r="K78">
        <v>56200</v>
      </c>
      <c r="L78">
        <v>0</v>
      </c>
      <c r="M78">
        <v>0</v>
      </c>
      <c r="N78">
        <v>0</v>
      </c>
    </row>
    <row r="79" spans="1:14" ht="14.4">
      <c r="A79">
        <v>13365</v>
      </c>
      <c r="B79">
        <v>13366</v>
      </c>
      <c r="C79">
        <v>4085</v>
      </c>
      <c r="D79" t="s">
        <v>18</v>
      </c>
      <c r="E79" t="s">
        <v>45</v>
      </c>
      <c r="F79">
        <v>11426</v>
      </c>
      <c r="G79" t="s">
        <v>28</v>
      </c>
      <c r="H79" t="s">
        <v>21</v>
      </c>
      <c r="I79">
        <v>166543</v>
      </c>
      <c r="J79">
        <v>139943</v>
      </c>
      <c r="K79">
        <v>26600</v>
      </c>
      <c r="L79">
        <v>66800</v>
      </c>
      <c r="M79">
        <v>50800</v>
      </c>
      <c r="N79">
        <v>16000</v>
      </c>
    </row>
    <row r="80" spans="1:14" ht="14.4">
      <c r="A80">
        <v>13365</v>
      </c>
      <c r="B80">
        <v>13366</v>
      </c>
      <c r="C80">
        <v>4085</v>
      </c>
      <c r="D80" t="s">
        <v>18</v>
      </c>
      <c r="E80" t="s">
        <v>46</v>
      </c>
      <c r="F80">
        <v>11710</v>
      </c>
      <c r="G80" t="s">
        <v>20</v>
      </c>
      <c r="H80" t="s">
        <v>21</v>
      </c>
      <c r="I80">
        <v>50208449</v>
      </c>
      <c r="J80">
        <v>36287150</v>
      </c>
      <c r="K80">
        <v>13921299</v>
      </c>
      <c r="L80">
        <v>20930000</v>
      </c>
      <c r="M80">
        <v>14390200</v>
      </c>
      <c r="N80">
        <v>6526100</v>
      </c>
    </row>
    <row r="81" spans="1:14" ht="14.4">
      <c r="A81">
        <v>13365</v>
      </c>
      <c r="B81">
        <v>13366</v>
      </c>
      <c r="C81">
        <v>4085</v>
      </c>
      <c r="D81" t="s">
        <v>18</v>
      </c>
      <c r="E81" t="s">
        <v>46</v>
      </c>
      <c r="F81">
        <v>11735</v>
      </c>
      <c r="G81" t="s">
        <v>20</v>
      </c>
      <c r="H81" t="s">
        <v>21</v>
      </c>
      <c r="I81">
        <v>54175</v>
      </c>
      <c r="J81">
        <v>0</v>
      </c>
      <c r="K81">
        <v>54175</v>
      </c>
      <c r="L81">
        <v>14000</v>
      </c>
      <c r="M81">
        <v>0</v>
      </c>
      <c r="N81">
        <v>14000</v>
      </c>
    </row>
    <row r="82" spans="1:14" ht="14.4">
      <c r="A82">
        <v>13365</v>
      </c>
      <c r="B82">
        <v>13366</v>
      </c>
      <c r="C82">
        <v>4085</v>
      </c>
      <c r="D82" t="s">
        <v>18</v>
      </c>
      <c r="E82" t="s">
        <v>1141</v>
      </c>
      <c r="F82">
        <v>11694</v>
      </c>
      <c r="G82" t="s">
        <v>28</v>
      </c>
      <c r="H82" t="s">
        <v>21</v>
      </c>
      <c r="I82">
        <v>15460</v>
      </c>
      <c r="J82">
        <v>0</v>
      </c>
      <c r="K82">
        <v>15460</v>
      </c>
      <c r="L82">
        <v>0</v>
      </c>
      <c r="M82">
        <v>0</v>
      </c>
      <c r="N82">
        <v>0</v>
      </c>
    </row>
    <row r="83" spans="1:14" ht="14.4">
      <c r="A83">
        <v>13365</v>
      </c>
      <c r="B83">
        <v>13366</v>
      </c>
      <c r="C83">
        <v>4085</v>
      </c>
      <c r="D83" t="s">
        <v>18</v>
      </c>
      <c r="E83" t="s">
        <v>47</v>
      </c>
      <c r="F83">
        <v>11713</v>
      </c>
      <c r="G83" t="s">
        <v>23</v>
      </c>
      <c r="H83" t="s">
        <v>21</v>
      </c>
      <c r="I83">
        <v>75226</v>
      </c>
      <c r="J83">
        <v>69426</v>
      </c>
      <c r="K83">
        <v>5800</v>
      </c>
      <c r="L83">
        <v>32100</v>
      </c>
      <c r="M83">
        <v>29600</v>
      </c>
      <c r="N83">
        <v>2500</v>
      </c>
    </row>
    <row r="84" spans="1:14" ht="14.4">
      <c r="A84">
        <v>13365</v>
      </c>
      <c r="B84">
        <v>13366</v>
      </c>
      <c r="C84">
        <v>4085</v>
      </c>
      <c r="D84" t="s">
        <v>18</v>
      </c>
      <c r="E84" t="s">
        <v>1142</v>
      </c>
      <c r="F84">
        <v>11426</v>
      </c>
      <c r="G84" t="s">
        <v>28</v>
      </c>
      <c r="H84" t="s">
        <v>21</v>
      </c>
      <c r="I84">
        <v>13500</v>
      </c>
      <c r="J84">
        <v>0</v>
      </c>
      <c r="K84">
        <v>13500</v>
      </c>
      <c r="L84">
        <v>0</v>
      </c>
      <c r="M84">
        <v>0</v>
      </c>
      <c r="N84">
        <v>0</v>
      </c>
    </row>
    <row r="85" spans="1:14" ht="14.4">
      <c r="A85">
        <v>13365</v>
      </c>
      <c r="B85">
        <v>13366</v>
      </c>
      <c r="C85">
        <v>4085</v>
      </c>
      <c r="D85" t="s">
        <v>18</v>
      </c>
      <c r="E85" t="s">
        <v>1143</v>
      </c>
      <c r="F85">
        <v>11710</v>
      </c>
      <c r="G85" t="s">
        <v>20</v>
      </c>
      <c r="H85" t="s">
        <v>21</v>
      </c>
      <c r="I85">
        <v>127355</v>
      </c>
      <c r="J85">
        <v>39080</v>
      </c>
      <c r="K85">
        <v>88275</v>
      </c>
      <c r="L85">
        <v>29400</v>
      </c>
      <c r="M85">
        <v>18700</v>
      </c>
      <c r="N85">
        <v>10700</v>
      </c>
    </row>
    <row r="86" spans="1:14" ht="14.4">
      <c r="A86">
        <v>13365</v>
      </c>
      <c r="B86">
        <v>13366</v>
      </c>
      <c r="C86">
        <v>4085</v>
      </c>
      <c r="D86" t="s">
        <v>18</v>
      </c>
      <c r="E86" t="s">
        <v>1144</v>
      </c>
      <c r="F86">
        <v>11224</v>
      </c>
      <c r="G86" t="s">
        <v>43</v>
      </c>
      <c r="H86" t="s">
        <v>21</v>
      </c>
      <c r="I86">
        <v>85473</v>
      </c>
      <c r="J86">
        <v>67748</v>
      </c>
      <c r="K86">
        <v>17725</v>
      </c>
      <c r="L86">
        <v>0</v>
      </c>
      <c r="M86">
        <v>0</v>
      </c>
      <c r="N86">
        <v>0</v>
      </c>
    </row>
    <row r="87" spans="1:14" ht="14.4">
      <c r="A87">
        <v>13365</v>
      </c>
      <c r="B87">
        <v>13366</v>
      </c>
      <c r="C87">
        <v>4085</v>
      </c>
      <c r="D87" t="s">
        <v>18</v>
      </c>
      <c r="E87" t="s">
        <v>48</v>
      </c>
      <c r="F87">
        <v>11714</v>
      </c>
      <c r="G87" t="s">
        <v>20</v>
      </c>
      <c r="H87" t="s">
        <v>21</v>
      </c>
      <c r="I87">
        <v>412335</v>
      </c>
      <c r="J87">
        <v>345660</v>
      </c>
      <c r="K87">
        <v>66675</v>
      </c>
      <c r="L87">
        <v>113500</v>
      </c>
      <c r="M87">
        <v>101000</v>
      </c>
      <c r="N87">
        <v>12500</v>
      </c>
    </row>
    <row r="88" spans="1:14" ht="14.4">
      <c r="A88">
        <v>13365</v>
      </c>
      <c r="B88">
        <v>13366</v>
      </c>
      <c r="C88">
        <v>4085</v>
      </c>
      <c r="D88" t="s">
        <v>18</v>
      </c>
      <c r="E88" t="s">
        <v>49</v>
      </c>
      <c r="F88">
        <v>11207</v>
      </c>
      <c r="G88" t="s">
        <v>32</v>
      </c>
      <c r="H88" t="s">
        <v>21</v>
      </c>
      <c r="I88">
        <v>6200</v>
      </c>
      <c r="J88">
        <v>0</v>
      </c>
      <c r="K88">
        <v>6200</v>
      </c>
      <c r="L88">
        <v>0</v>
      </c>
      <c r="M88">
        <v>0</v>
      </c>
      <c r="N88">
        <v>0</v>
      </c>
    </row>
    <row r="89" spans="1:14" ht="14.4">
      <c r="A89">
        <v>13365</v>
      </c>
      <c r="B89">
        <v>13366</v>
      </c>
      <c r="C89">
        <v>4085</v>
      </c>
      <c r="D89" t="s">
        <v>18</v>
      </c>
      <c r="E89" t="s">
        <v>49</v>
      </c>
      <c r="F89">
        <v>11224</v>
      </c>
      <c r="G89" t="s">
        <v>43</v>
      </c>
      <c r="H89" t="s">
        <v>21</v>
      </c>
      <c r="I89">
        <v>36225</v>
      </c>
      <c r="J89">
        <v>0</v>
      </c>
      <c r="K89">
        <v>36225</v>
      </c>
      <c r="L89">
        <v>29300</v>
      </c>
      <c r="M89">
        <v>0</v>
      </c>
      <c r="N89">
        <v>29300</v>
      </c>
    </row>
    <row r="90" spans="1:14" ht="14.4">
      <c r="A90">
        <v>13365</v>
      </c>
      <c r="B90">
        <v>13366</v>
      </c>
      <c r="C90">
        <v>4085</v>
      </c>
      <c r="D90" t="s">
        <v>18</v>
      </c>
      <c r="E90" t="s">
        <v>49</v>
      </c>
      <c r="F90">
        <v>11226</v>
      </c>
      <c r="G90" t="s">
        <v>32</v>
      </c>
      <c r="H90" t="s">
        <v>21</v>
      </c>
      <c r="I90">
        <v>1830</v>
      </c>
      <c r="J90">
        <v>1830</v>
      </c>
      <c r="K90">
        <v>0</v>
      </c>
      <c r="L90">
        <v>0</v>
      </c>
      <c r="M90">
        <v>0</v>
      </c>
      <c r="N90">
        <v>0</v>
      </c>
    </row>
    <row r="91" spans="1:14" ht="14.4">
      <c r="A91">
        <v>13365</v>
      </c>
      <c r="B91">
        <v>13366</v>
      </c>
      <c r="C91">
        <v>4085</v>
      </c>
      <c r="D91" t="s">
        <v>18</v>
      </c>
      <c r="E91" t="s">
        <v>1145</v>
      </c>
      <c r="F91">
        <v>11236</v>
      </c>
      <c r="G91" t="s">
        <v>43</v>
      </c>
      <c r="H91" t="s">
        <v>21</v>
      </c>
      <c r="I91">
        <v>17975</v>
      </c>
      <c r="J91">
        <v>0</v>
      </c>
      <c r="K91">
        <v>17975</v>
      </c>
      <c r="L91">
        <v>0</v>
      </c>
      <c r="M91">
        <v>0</v>
      </c>
      <c r="N91">
        <v>0</v>
      </c>
    </row>
    <row r="92" spans="1:14" ht="14.4">
      <c r="A92">
        <v>13365</v>
      </c>
      <c r="B92">
        <v>13366</v>
      </c>
      <c r="C92">
        <v>4085</v>
      </c>
      <c r="D92" t="s">
        <v>18</v>
      </c>
      <c r="E92" t="s">
        <v>1146</v>
      </c>
      <c r="F92">
        <v>10913</v>
      </c>
      <c r="G92" t="s">
        <v>85</v>
      </c>
      <c r="H92" t="s">
        <v>21</v>
      </c>
      <c r="I92">
        <v>544972</v>
      </c>
      <c r="J92">
        <v>498897</v>
      </c>
      <c r="K92">
        <v>46075</v>
      </c>
      <c r="L92">
        <v>12900</v>
      </c>
      <c r="M92">
        <v>7400</v>
      </c>
      <c r="N92">
        <v>5500</v>
      </c>
    </row>
    <row r="93" spans="1:14" ht="14.4">
      <c r="A93">
        <v>13365</v>
      </c>
      <c r="B93">
        <v>13366</v>
      </c>
      <c r="C93">
        <v>4085</v>
      </c>
      <c r="D93" t="s">
        <v>18</v>
      </c>
      <c r="E93" t="s">
        <v>1147</v>
      </c>
      <c r="F93">
        <v>12721</v>
      </c>
      <c r="G93" t="s">
        <v>189</v>
      </c>
      <c r="H93" t="s">
        <v>21</v>
      </c>
      <c r="I93">
        <v>151702</v>
      </c>
      <c r="J93">
        <v>143352</v>
      </c>
      <c r="K93">
        <v>8350</v>
      </c>
      <c r="L93">
        <v>96500</v>
      </c>
      <c r="M93">
        <v>88100</v>
      </c>
      <c r="N93">
        <v>8400</v>
      </c>
    </row>
    <row r="94" spans="1:14" ht="14.4">
      <c r="A94">
        <v>13365</v>
      </c>
      <c r="B94">
        <v>13366</v>
      </c>
      <c r="C94">
        <v>4085</v>
      </c>
      <c r="D94" t="s">
        <v>18</v>
      </c>
      <c r="E94" t="s">
        <v>52</v>
      </c>
      <c r="F94">
        <v>11715</v>
      </c>
      <c r="G94" t="s">
        <v>23</v>
      </c>
      <c r="H94" t="s">
        <v>21</v>
      </c>
      <c r="I94">
        <v>6011029</v>
      </c>
      <c r="J94">
        <v>4811886</v>
      </c>
      <c r="K94">
        <v>1199143</v>
      </c>
      <c r="L94">
        <v>3041400</v>
      </c>
      <c r="M94">
        <v>2381800</v>
      </c>
      <c r="N94">
        <v>659600</v>
      </c>
    </row>
    <row r="95" spans="1:14" ht="14.4">
      <c r="A95">
        <v>13365</v>
      </c>
      <c r="B95">
        <v>13366</v>
      </c>
      <c r="C95">
        <v>4085</v>
      </c>
      <c r="D95" t="s">
        <v>18</v>
      </c>
      <c r="E95" t="s">
        <v>53</v>
      </c>
      <c r="F95">
        <v>11716</v>
      </c>
      <c r="G95" t="s">
        <v>23</v>
      </c>
      <c r="H95" t="s">
        <v>21</v>
      </c>
      <c r="I95">
        <v>28007</v>
      </c>
      <c r="J95">
        <v>21257</v>
      </c>
      <c r="K95">
        <v>6750</v>
      </c>
      <c r="L95">
        <v>0</v>
      </c>
      <c r="M95">
        <v>0</v>
      </c>
      <c r="N95">
        <v>0</v>
      </c>
    </row>
    <row r="96" spans="1:14" ht="14.4">
      <c r="A96">
        <v>13365</v>
      </c>
      <c r="B96">
        <v>13366</v>
      </c>
      <c r="C96">
        <v>4085</v>
      </c>
      <c r="D96" t="s">
        <v>18</v>
      </c>
      <c r="E96" t="s">
        <v>1148</v>
      </c>
      <c r="F96">
        <v>11693</v>
      </c>
      <c r="G96" t="s">
        <v>28</v>
      </c>
      <c r="H96" t="s">
        <v>21</v>
      </c>
      <c r="I96">
        <v>131152</v>
      </c>
      <c r="J96">
        <v>86852</v>
      </c>
      <c r="K96">
        <v>44300</v>
      </c>
      <c r="L96">
        <v>13600</v>
      </c>
      <c r="M96">
        <v>0</v>
      </c>
      <c r="N96">
        <v>13600</v>
      </c>
    </row>
    <row r="97" spans="1:14" ht="14.4">
      <c r="A97">
        <v>13365</v>
      </c>
      <c r="B97">
        <v>13366</v>
      </c>
      <c r="C97">
        <v>4085</v>
      </c>
      <c r="D97" t="s">
        <v>18</v>
      </c>
      <c r="E97" t="s">
        <v>1149</v>
      </c>
      <c r="F97">
        <v>11697</v>
      </c>
      <c r="G97" t="s">
        <v>28</v>
      </c>
      <c r="H97" t="s">
        <v>21</v>
      </c>
      <c r="I97">
        <v>107561</v>
      </c>
      <c r="J97">
        <v>63561</v>
      </c>
      <c r="K97">
        <v>44000</v>
      </c>
      <c r="L97">
        <v>0</v>
      </c>
      <c r="M97">
        <v>0</v>
      </c>
      <c r="N97">
        <v>0</v>
      </c>
    </row>
    <row r="98" spans="1:14" ht="14.4">
      <c r="A98">
        <v>13365</v>
      </c>
      <c r="B98">
        <v>13366</v>
      </c>
      <c r="C98">
        <v>4085</v>
      </c>
      <c r="D98" t="s">
        <v>18</v>
      </c>
      <c r="E98" t="s">
        <v>1150</v>
      </c>
      <c r="F98">
        <v>11697</v>
      </c>
      <c r="G98" t="s">
        <v>28</v>
      </c>
      <c r="H98" t="s">
        <v>21</v>
      </c>
      <c r="I98">
        <v>93453</v>
      </c>
      <c r="J98">
        <v>61128</v>
      </c>
      <c r="K98">
        <v>32325</v>
      </c>
      <c r="L98">
        <v>74600</v>
      </c>
      <c r="M98">
        <v>42300</v>
      </c>
      <c r="N98">
        <v>32300</v>
      </c>
    </row>
    <row r="99" spans="1:14" ht="14.4">
      <c r="A99">
        <v>13365</v>
      </c>
      <c r="B99">
        <v>13366</v>
      </c>
      <c r="C99">
        <v>4085</v>
      </c>
      <c r="D99" t="s">
        <v>18</v>
      </c>
      <c r="E99" t="s">
        <v>55</v>
      </c>
      <c r="F99">
        <v>10463</v>
      </c>
      <c r="G99" t="s">
        <v>28</v>
      </c>
      <c r="H99" t="s">
        <v>21</v>
      </c>
      <c r="I99">
        <v>164051</v>
      </c>
      <c r="J99">
        <v>133876</v>
      </c>
      <c r="K99">
        <v>30175</v>
      </c>
      <c r="L99">
        <v>0</v>
      </c>
      <c r="M99">
        <v>0</v>
      </c>
      <c r="N99">
        <v>0</v>
      </c>
    </row>
    <row r="100" spans="1:14" ht="14.4">
      <c r="A100">
        <v>13365</v>
      </c>
      <c r="B100">
        <v>13366</v>
      </c>
      <c r="C100">
        <v>4085</v>
      </c>
      <c r="D100" t="s">
        <v>18</v>
      </c>
      <c r="E100" t="s">
        <v>55</v>
      </c>
      <c r="F100">
        <v>11694</v>
      </c>
      <c r="G100" t="s">
        <v>28</v>
      </c>
      <c r="H100" t="s">
        <v>21</v>
      </c>
      <c r="I100">
        <v>385807</v>
      </c>
      <c r="J100">
        <v>295532</v>
      </c>
      <c r="K100">
        <v>90275</v>
      </c>
      <c r="L100">
        <v>0</v>
      </c>
      <c r="M100">
        <v>0</v>
      </c>
      <c r="N100">
        <v>0</v>
      </c>
    </row>
    <row r="101" spans="1:14" ht="14.4">
      <c r="A101">
        <v>13365</v>
      </c>
      <c r="B101">
        <v>13366</v>
      </c>
      <c r="C101">
        <v>4085</v>
      </c>
      <c r="D101" t="s">
        <v>18</v>
      </c>
      <c r="E101" t="s">
        <v>55</v>
      </c>
      <c r="F101">
        <v>11697</v>
      </c>
      <c r="G101" t="s">
        <v>43</v>
      </c>
      <c r="H101" t="s">
        <v>21</v>
      </c>
      <c r="I101">
        <v>90977</v>
      </c>
      <c r="J101">
        <v>75017</v>
      </c>
      <c r="K101">
        <v>15960</v>
      </c>
      <c r="L101">
        <v>0</v>
      </c>
      <c r="M101">
        <v>0</v>
      </c>
      <c r="N101">
        <v>0</v>
      </c>
    </row>
    <row r="102" spans="1:14" ht="14.4">
      <c r="A102">
        <v>13365</v>
      </c>
      <c r="B102">
        <v>13366</v>
      </c>
      <c r="C102">
        <v>4085</v>
      </c>
      <c r="D102" t="s">
        <v>18</v>
      </c>
      <c r="E102" t="s">
        <v>55</v>
      </c>
      <c r="F102">
        <v>11697</v>
      </c>
      <c r="G102" t="s">
        <v>32</v>
      </c>
      <c r="H102" t="s">
        <v>21</v>
      </c>
      <c r="I102">
        <v>781526</v>
      </c>
      <c r="J102">
        <v>581941</v>
      </c>
      <c r="K102">
        <v>199585</v>
      </c>
      <c r="L102">
        <v>11400</v>
      </c>
      <c r="M102">
        <v>0</v>
      </c>
      <c r="N102">
        <v>11400</v>
      </c>
    </row>
    <row r="103" spans="1:14" ht="14.4">
      <c r="A103">
        <v>13365</v>
      </c>
      <c r="B103">
        <v>13366</v>
      </c>
      <c r="C103">
        <v>4085</v>
      </c>
      <c r="D103" t="s">
        <v>18</v>
      </c>
      <c r="E103" t="s">
        <v>55</v>
      </c>
      <c r="F103">
        <v>11697</v>
      </c>
      <c r="G103" t="s">
        <v>28</v>
      </c>
      <c r="H103" t="s">
        <v>21</v>
      </c>
      <c r="I103">
        <v>112867445</v>
      </c>
      <c r="J103">
        <v>83334970</v>
      </c>
      <c r="K103">
        <v>29532475</v>
      </c>
      <c r="L103">
        <v>48658900</v>
      </c>
      <c r="M103">
        <v>33373800</v>
      </c>
      <c r="N103">
        <v>15285100</v>
      </c>
    </row>
    <row r="104" spans="1:14" ht="14.4">
      <c r="A104">
        <v>13365</v>
      </c>
      <c r="B104">
        <v>13366</v>
      </c>
      <c r="C104">
        <v>4085</v>
      </c>
      <c r="D104" t="s">
        <v>18</v>
      </c>
      <c r="E104" t="s">
        <v>1151</v>
      </c>
      <c r="F104">
        <v>11697</v>
      </c>
      <c r="G104" t="s">
        <v>28</v>
      </c>
      <c r="H104" t="s">
        <v>21</v>
      </c>
      <c r="I104">
        <v>236897</v>
      </c>
      <c r="J104">
        <v>187187</v>
      </c>
      <c r="K104">
        <v>49710</v>
      </c>
      <c r="L104">
        <v>0</v>
      </c>
      <c r="M104">
        <v>0</v>
      </c>
      <c r="N104">
        <v>0</v>
      </c>
    </row>
    <row r="105" spans="1:14" ht="14.4">
      <c r="A105">
        <v>13365</v>
      </c>
      <c r="B105">
        <v>13366</v>
      </c>
      <c r="C105">
        <v>4085</v>
      </c>
      <c r="D105" t="s">
        <v>18</v>
      </c>
      <c r="E105" t="s">
        <v>56</v>
      </c>
      <c r="F105">
        <v>11717</v>
      </c>
      <c r="G105" t="s">
        <v>32</v>
      </c>
      <c r="H105" t="s">
        <v>21</v>
      </c>
      <c r="I105">
        <v>8482</v>
      </c>
      <c r="J105">
        <v>6007</v>
      </c>
      <c r="K105">
        <v>2475</v>
      </c>
      <c r="L105">
        <v>2400</v>
      </c>
      <c r="M105">
        <v>0</v>
      </c>
      <c r="N105">
        <v>2400</v>
      </c>
    </row>
    <row r="106" spans="1:14" ht="14.4">
      <c r="A106">
        <v>13365</v>
      </c>
      <c r="B106">
        <v>13366</v>
      </c>
      <c r="C106">
        <v>4085</v>
      </c>
      <c r="D106" t="s">
        <v>18</v>
      </c>
      <c r="E106" t="s">
        <v>56</v>
      </c>
      <c r="F106">
        <v>11717</v>
      </c>
      <c r="G106" t="s">
        <v>23</v>
      </c>
      <c r="H106" t="s">
        <v>21</v>
      </c>
      <c r="I106">
        <v>1053011</v>
      </c>
      <c r="J106">
        <v>897385</v>
      </c>
      <c r="K106">
        <v>155626</v>
      </c>
      <c r="L106">
        <v>588400</v>
      </c>
      <c r="M106">
        <v>495600</v>
      </c>
      <c r="N106">
        <v>92800</v>
      </c>
    </row>
    <row r="107" spans="1:14" ht="14.4">
      <c r="A107">
        <v>13365</v>
      </c>
      <c r="B107">
        <v>13366</v>
      </c>
      <c r="C107">
        <v>4085</v>
      </c>
      <c r="D107" t="s">
        <v>18</v>
      </c>
      <c r="E107" t="s">
        <v>1152</v>
      </c>
      <c r="F107">
        <v>10510</v>
      </c>
      <c r="G107" t="s">
        <v>64</v>
      </c>
      <c r="H107" t="s">
        <v>21</v>
      </c>
      <c r="I107">
        <v>117186</v>
      </c>
      <c r="J107">
        <v>107761</v>
      </c>
      <c r="K107">
        <v>9425</v>
      </c>
      <c r="L107">
        <v>87100</v>
      </c>
      <c r="M107">
        <v>78500</v>
      </c>
      <c r="N107">
        <v>8600</v>
      </c>
    </row>
    <row r="108" spans="1:14" ht="14.4">
      <c r="A108">
        <v>13365</v>
      </c>
      <c r="B108">
        <v>13366</v>
      </c>
      <c r="C108">
        <v>4085</v>
      </c>
      <c r="D108" t="s">
        <v>18</v>
      </c>
      <c r="E108" t="s">
        <v>1153</v>
      </c>
      <c r="F108">
        <v>11415</v>
      </c>
      <c r="G108" t="s">
        <v>28</v>
      </c>
      <c r="H108" t="s">
        <v>21</v>
      </c>
      <c r="I108">
        <v>5375</v>
      </c>
      <c r="J108">
        <v>0</v>
      </c>
      <c r="K108">
        <v>5375</v>
      </c>
      <c r="L108">
        <v>5400</v>
      </c>
      <c r="M108">
        <v>0</v>
      </c>
      <c r="N108">
        <v>5400</v>
      </c>
    </row>
    <row r="109" spans="1:14" ht="14.4">
      <c r="A109">
        <v>13365</v>
      </c>
      <c r="B109">
        <v>13366</v>
      </c>
      <c r="C109">
        <v>4085</v>
      </c>
      <c r="D109" t="s">
        <v>18</v>
      </c>
      <c r="E109" t="s">
        <v>1153</v>
      </c>
      <c r="F109">
        <v>11435</v>
      </c>
      <c r="G109" t="s">
        <v>28</v>
      </c>
      <c r="H109" t="s">
        <v>21</v>
      </c>
      <c r="I109">
        <v>16611</v>
      </c>
      <c r="J109">
        <v>16611</v>
      </c>
      <c r="K109">
        <v>0</v>
      </c>
      <c r="L109">
        <v>16500</v>
      </c>
      <c r="M109">
        <v>16500</v>
      </c>
      <c r="N109">
        <v>0</v>
      </c>
    </row>
    <row r="110" spans="1:14" ht="14.4">
      <c r="A110">
        <v>13365</v>
      </c>
      <c r="B110">
        <v>13366</v>
      </c>
      <c r="C110">
        <v>4085</v>
      </c>
      <c r="D110" t="s">
        <v>18</v>
      </c>
      <c r="E110" t="s">
        <v>1154</v>
      </c>
      <c r="F110">
        <v>11932</v>
      </c>
      <c r="G110" t="s">
        <v>23</v>
      </c>
      <c r="H110" t="s">
        <v>21</v>
      </c>
      <c r="I110">
        <v>124561</v>
      </c>
      <c r="J110">
        <v>115061</v>
      </c>
      <c r="K110">
        <v>9500</v>
      </c>
      <c r="L110">
        <v>104500</v>
      </c>
      <c r="M110">
        <v>95000</v>
      </c>
      <c r="N110">
        <v>9500</v>
      </c>
    </row>
    <row r="111" spans="1:14" ht="14.4">
      <c r="A111">
        <v>13365</v>
      </c>
      <c r="B111">
        <v>13366</v>
      </c>
      <c r="C111">
        <v>4085</v>
      </c>
      <c r="D111" t="s">
        <v>18</v>
      </c>
      <c r="E111" t="s">
        <v>59</v>
      </c>
      <c r="F111">
        <v>11718</v>
      </c>
      <c r="G111" t="s">
        <v>23</v>
      </c>
      <c r="H111" t="s">
        <v>21</v>
      </c>
      <c r="I111">
        <v>1600609</v>
      </c>
      <c r="J111">
        <v>1459897</v>
      </c>
      <c r="K111">
        <v>140712</v>
      </c>
      <c r="L111">
        <v>464700</v>
      </c>
      <c r="M111">
        <v>425700</v>
      </c>
      <c r="N111">
        <v>39000</v>
      </c>
    </row>
    <row r="112" spans="1:14" ht="14.4">
      <c r="A112">
        <v>13365</v>
      </c>
      <c r="B112">
        <v>13366</v>
      </c>
      <c r="C112">
        <v>4085</v>
      </c>
      <c r="D112" t="s">
        <v>18</v>
      </c>
      <c r="E112" t="s">
        <v>1155</v>
      </c>
      <c r="F112">
        <v>11236</v>
      </c>
      <c r="G112" t="s">
        <v>43</v>
      </c>
      <c r="H112" t="s">
        <v>21</v>
      </c>
      <c r="I112">
        <v>4900</v>
      </c>
      <c r="J112">
        <v>0</v>
      </c>
      <c r="K112">
        <v>4900</v>
      </c>
      <c r="L112">
        <v>4900</v>
      </c>
      <c r="M112">
        <v>0</v>
      </c>
      <c r="N112">
        <v>4900</v>
      </c>
    </row>
    <row r="113" spans="1:14" ht="14.4">
      <c r="A113">
        <v>13365</v>
      </c>
      <c r="B113">
        <v>13366</v>
      </c>
      <c r="C113">
        <v>4085</v>
      </c>
      <c r="D113" t="s">
        <v>18</v>
      </c>
      <c r="E113" t="s">
        <v>1156</v>
      </c>
      <c r="F113">
        <v>11693</v>
      </c>
      <c r="G113" t="s">
        <v>28</v>
      </c>
      <c r="H113" t="s">
        <v>21</v>
      </c>
      <c r="I113">
        <v>18000</v>
      </c>
      <c r="J113">
        <v>0</v>
      </c>
      <c r="K113">
        <v>18000</v>
      </c>
      <c r="L113">
        <v>0</v>
      </c>
      <c r="M113">
        <v>0</v>
      </c>
      <c r="N113">
        <v>0</v>
      </c>
    </row>
    <row r="114" spans="1:14" ht="14.4">
      <c r="A114">
        <v>13365</v>
      </c>
      <c r="B114">
        <v>13366</v>
      </c>
      <c r="C114">
        <v>4085</v>
      </c>
      <c r="D114" t="s">
        <v>18</v>
      </c>
      <c r="E114" t="s">
        <v>60</v>
      </c>
      <c r="F114">
        <v>11414</v>
      </c>
      <c r="G114" t="s">
        <v>28</v>
      </c>
      <c r="H114" t="s">
        <v>21</v>
      </c>
      <c r="I114">
        <v>17375</v>
      </c>
      <c r="J114">
        <v>0</v>
      </c>
      <c r="K114">
        <v>17375</v>
      </c>
      <c r="L114">
        <v>0</v>
      </c>
      <c r="M114">
        <v>0</v>
      </c>
      <c r="N114">
        <v>0</v>
      </c>
    </row>
    <row r="115" spans="1:14" ht="14.4">
      <c r="A115">
        <v>13365</v>
      </c>
      <c r="B115">
        <v>13366</v>
      </c>
      <c r="C115">
        <v>4085</v>
      </c>
      <c r="D115" t="s">
        <v>18</v>
      </c>
      <c r="E115" t="s">
        <v>60</v>
      </c>
      <c r="F115">
        <v>11693</v>
      </c>
      <c r="G115" t="s">
        <v>32</v>
      </c>
      <c r="H115" t="s">
        <v>21</v>
      </c>
      <c r="I115">
        <v>273535</v>
      </c>
      <c r="J115">
        <v>167210</v>
      </c>
      <c r="K115">
        <v>106325</v>
      </c>
      <c r="L115">
        <v>71000</v>
      </c>
      <c r="M115">
        <v>32900</v>
      </c>
      <c r="N115">
        <v>38100</v>
      </c>
    </row>
    <row r="116" spans="1:14" ht="14.4">
      <c r="A116">
        <v>13365</v>
      </c>
      <c r="B116">
        <v>13366</v>
      </c>
      <c r="C116">
        <v>4085</v>
      </c>
      <c r="D116" t="s">
        <v>18</v>
      </c>
      <c r="E116" t="s">
        <v>60</v>
      </c>
      <c r="F116">
        <v>11693</v>
      </c>
      <c r="G116" t="s">
        <v>28</v>
      </c>
      <c r="H116" t="s">
        <v>21</v>
      </c>
      <c r="I116">
        <v>49684164</v>
      </c>
      <c r="J116">
        <v>34997592</v>
      </c>
      <c r="K116">
        <v>14686572</v>
      </c>
      <c r="L116">
        <v>26963600</v>
      </c>
      <c r="M116">
        <v>18226900</v>
      </c>
      <c r="N116">
        <v>8736700</v>
      </c>
    </row>
    <row r="117" spans="1:14" ht="14.4">
      <c r="A117">
        <v>13365</v>
      </c>
      <c r="B117">
        <v>13366</v>
      </c>
      <c r="C117">
        <v>4085</v>
      </c>
      <c r="D117" t="s">
        <v>18</v>
      </c>
      <c r="E117" t="s">
        <v>1157</v>
      </c>
      <c r="F117">
        <v>11224</v>
      </c>
      <c r="G117" t="s">
        <v>43</v>
      </c>
      <c r="H117" t="s">
        <v>21</v>
      </c>
      <c r="I117">
        <v>24000</v>
      </c>
      <c r="J117">
        <v>0</v>
      </c>
      <c r="K117">
        <v>24000</v>
      </c>
      <c r="L117">
        <v>0</v>
      </c>
      <c r="M117">
        <v>0</v>
      </c>
      <c r="N117">
        <v>0</v>
      </c>
    </row>
    <row r="118" spans="1:14" ht="14.4">
      <c r="A118">
        <v>13365</v>
      </c>
      <c r="B118">
        <v>13366</v>
      </c>
      <c r="C118">
        <v>4085</v>
      </c>
      <c r="D118" t="s">
        <v>18</v>
      </c>
      <c r="E118" t="s">
        <v>1157</v>
      </c>
      <c r="F118">
        <v>11236</v>
      </c>
      <c r="G118" t="s">
        <v>43</v>
      </c>
      <c r="H118" t="s">
        <v>21</v>
      </c>
      <c r="I118">
        <v>10900</v>
      </c>
      <c r="J118">
        <v>0</v>
      </c>
      <c r="K118">
        <v>10900</v>
      </c>
      <c r="L118">
        <v>3700</v>
      </c>
      <c r="M118">
        <v>0</v>
      </c>
      <c r="N118">
        <v>3700</v>
      </c>
    </row>
    <row r="119" spans="1:14" ht="14.4">
      <c r="A119">
        <v>13365</v>
      </c>
      <c r="B119">
        <v>13366</v>
      </c>
      <c r="C119">
        <v>4085</v>
      </c>
      <c r="D119" t="s">
        <v>18</v>
      </c>
      <c r="E119" t="s">
        <v>61</v>
      </c>
      <c r="F119">
        <v>10451</v>
      </c>
      <c r="G119" t="s">
        <v>61</v>
      </c>
      <c r="H119" t="s">
        <v>21</v>
      </c>
      <c r="I119">
        <v>2750</v>
      </c>
      <c r="J119">
        <v>0</v>
      </c>
      <c r="K119">
        <v>2750</v>
      </c>
      <c r="L119">
        <v>2800</v>
      </c>
      <c r="M119">
        <v>0</v>
      </c>
      <c r="N119">
        <v>2800</v>
      </c>
    </row>
    <row r="120" spans="1:14" ht="14.4">
      <c r="A120">
        <v>13365</v>
      </c>
      <c r="B120">
        <v>13366</v>
      </c>
      <c r="C120">
        <v>4085</v>
      </c>
      <c r="D120" t="s">
        <v>18</v>
      </c>
      <c r="E120" t="s">
        <v>61</v>
      </c>
      <c r="F120">
        <v>10451</v>
      </c>
      <c r="G120" t="s">
        <v>32</v>
      </c>
      <c r="H120" t="s">
        <v>21</v>
      </c>
      <c r="I120">
        <v>1900</v>
      </c>
      <c r="J120">
        <v>0</v>
      </c>
      <c r="K120">
        <v>1900</v>
      </c>
      <c r="L120">
        <v>0</v>
      </c>
      <c r="M120">
        <v>0</v>
      </c>
      <c r="N120">
        <v>0</v>
      </c>
    </row>
    <row r="121" spans="1:14" ht="14.4">
      <c r="A121">
        <v>13365</v>
      </c>
      <c r="B121">
        <v>13366</v>
      </c>
      <c r="C121">
        <v>4085</v>
      </c>
      <c r="D121" t="s">
        <v>18</v>
      </c>
      <c r="E121" t="s">
        <v>61</v>
      </c>
      <c r="F121">
        <v>10452</v>
      </c>
      <c r="G121" t="s">
        <v>61</v>
      </c>
      <c r="H121" t="s">
        <v>21</v>
      </c>
      <c r="I121">
        <v>16280</v>
      </c>
      <c r="J121">
        <v>0</v>
      </c>
      <c r="K121">
        <v>16280</v>
      </c>
      <c r="L121">
        <v>0</v>
      </c>
      <c r="M121">
        <v>0</v>
      </c>
      <c r="N121">
        <v>0</v>
      </c>
    </row>
    <row r="122" spans="1:14" ht="14.4">
      <c r="A122">
        <v>13365</v>
      </c>
      <c r="B122">
        <v>13366</v>
      </c>
      <c r="C122">
        <v>4085</v>
      </c>
      <c r="D122" t="s">
        <v>18</v>
      </c>
      <c r="E122" t="s">
        <v>61</v>
      </c>
      <c r="F122">
        <v>10452</v>
      </c>
      <c r="G122" t="s">
        <v>28</v>
      </c>
      <c r="H122" t="s">
        <v>21</v>
      </c>
      <c r="I122">
        <v>6750</v>
      </c>
      <c r="J122">
        <v>0</v>
      </c>
      <c r="K122">
        <v>6750</v>
      </c>
      <c r="L122">
        <v>6800</v>
      </c>
      <c r="M122">
        <v>0</v>
      </c>
      <c r="N122">
        <v>6800</v>
      </c>
    </row>
    <row r="123" spans="1:14" ht="14.4">
      <c r="A123">
        <v>13365</v>
      </c>
      <c r="B123">
        <v>13366</v>
      </c>
      <c r="C123">
        <v>4085</v>
      </c>
      <c r="D123" t="s">
        <v>18</v>
      </c>
      <c r="E123" t="s">
        <v>61</v>
      </c>
      <c r="F123">
        <v>10453</v>
      </c>
      <c r="G123" t="s">
        <v>61</v>
      </c>
      <c r="H123" t="s">
        <v>21</v>
      </c>
      <c r="I123">
        <v>36575</v>
      </c>
      <c r="J123">
        <v>0</v>
      </c>
      <c r="K123">
        <v>36575</v>
      </c>
      <c r="L123">
        <v>20700</v>
      </c>
      <c r="M123">
        <v>0</v>
      </c>
      <c r="N123">
        <v>20700</v>
      </c>
    </row>
    <row r="124" spans="1:14" ht="14.4">
      <c r="A124">
        <v>13365</v>
      </c>
      <c r="B124">
        <v>13366</v>
      </c>
      <c r="C124">
        <v>4085</v>
      </c>
      <c r="D124" t="s">
        <v>18</v>
      </c>
      <c r="E124" t="s">
        <v>61</v>
      </c>
      <c r="F124">
        <v>10454</v>
      </c>
      <c r="G124" t="s">
        <v>61</v>
      </c>
      <c r="H124" t="s">
        <v>21</v>
      </c>
      <c r="I124">
        <v>39284</v>
      </c>
      <c r="J124">
        <v>7184</v>
      </c>
      <c r="K124">
        <v>32100</v>
      </c>
      <c r="L124">
        <v>0</v>
      </c>
      <c r="M124">
        <v>0</v>
      </c>
      <c r="N124">
        <v>0</v>
      </c>
    </row>
    <row r="125" spans="1:14" ht="14.4">
      <c r="A125">
        <v>13365</v>
      </c>
      <c r="B125">
        <v>13366</v>
      </c>
      <c r="C125">
        <v>4085</v>
      </c>
      <c r="D125" t="s">
        <v>18</v>
      </c>
      <c r="E125" t="s">
        <v>61</v>
      </c>
      <c r="F125">
        <v>10455</v>
      </c>
      <c r="G125" t="s">
        <v>61</v>
      </c>
      <c r="H125" t="s">
        <v>21</v>
      </c>
      <c r="I125">
        <v>89410</v>
      </c>
      <c r="J125">
        <v>59310</v>
      </c>
      <c r="K125">
        <v>30100</v>
      </c>
      <c r="L125">
        <v>26700</v>
      </c>
      <c r="M125">
        <v>0</v>
      </c>
      <c r="N125">
        <v>26700</v>
      </c>
    </row>
    <row r="126" spans="1:14" ht="14.4">
      <c r="A126">
        <v>13365</v>
      </c>
      <c r="B126">
        <v>13366</v>
      </c>
      <c r="C126">
        <v>4085</v>
      </c>
      <c r="D126" t="s">
        <v>18</v>
      </c>
      <c r="E126" t="s">
        <v>61</v>
      </c>
      <c r="F126">
        <v>10456</v>
      </c>
      <c r="G126" t="s">
        <v>61</v>
      </c>
      <c r="H126" t="s">
        <v>21</v>
      </c>
      <c r="I126">
        <v>56025</v>
      </c>
      <c r="J126">
        <v>0</v>
      </c>
      <c r="K126">
        <v>56025</v>
      </c>
      <c r="L126">
        <v>0</v>
      </c>
      <c r="M126">
        <v>0</v>
      </c>
      <c r="N126">
        <v>0</v>
      </c>
    </row>
    <row r="127" spans="1:14" ht="14.4">
      <c r="A127">
        <v>13365</v>
      </c>
      <c r="B127">
        <v>13366</v>
      </c>
      <c r="C127">
        <v>4085</v>
      </c>
      <c r="D127" t="s">
        <v>18</v>
      </c>
      <c r="E127" t="s">
        <v>61</v>
      </c>
      <c r="F127">
        <v>10457</v>
      </c>
      <c r="G127" t="s">
        <v>61</v>
      </c>
      <c r="H127" t="s">
        <v>21</v>
      </c>
      <c r="I127">
        <v>12850</v>
      </c>
      <c r="J127">
        <v>0</v>
      </c>
      <c r="K127">
        <v>12850</v>
      </c>
      <c r="L127">
        <v>5300</v>
      </c>
      <c r="M127">
        <v>0</v>
      </c>
      <c r="N127">
        <v>5300</v>
      </c>
    </row>
    <row r="128" spans="1:14" ht="14.4">
      <c r="A128">
        <v>13365</v>
      </c>
      <c r="B128">
        <v>13366</v>
      </c>
      <c r="C128">
        <v>4085</v>
      </c>
      <c r="D128" t="s">
        <v>18</v>
      </c>
      <c r="E128" t="s">
        <v>61</v>
      </c>
      <c r="F128">
        <v>10458</v>
      </c>
      <c r="G128" t="s">
        <v>61</v>
      </c>
      <c r="H128" t="s">
        <v>21</v>
      </c>
      <c r="I128">
        <v>15632</v>
      </c>
      <c r="J128">
        <v>15632</v>
      </c>
      <c r="K128">
        <v>0</v>
      </c>
      <c r="L128">
        <v>9100</v>
      </c>
      <c r="M128">
        <v>9100</v>
      </c>
      <c r="N128">
        <v>0</v>
      </c>
    </row>
    <row r="129" spans="1:14" ht="14.4">
      <c r="A129">
        <v>13365</v>
      </c>
      <c r="B129">
        <v>13366</v>
      </c>
      <c r="C129">
        <v>4085</v>
      </c>
      <c r="D129" t="s">
        <v>18</v>
      </c>
      <c r="E129" t="s">
        <v>61</v>
      </c>
      <c r="F129">
        <v>10459</v>
      </c>
      <c r="G129" t="s">
        <v>61</v>
      </c>
      <c r="H129" t="s">
        <v>21</v>
      </c>
      <c r="I129">
        <v>87542</v>
      </c>
      <c r="J129">
        <v>47542</v>
      </c>
      <c r="K129">
        <v>40000</v>
      </c>
      <c r="L129">
        <v>67200</v>
      </c>
      <c r="M129">
        <v>37500</v>
      </c>
      <c r="N129">
        <v>29700</v>
      </c>
    </row>
    <row r="130" spans="1:14" ht="14.4">
      <c r="A130">
        <v>13365</v>
      </c>
      <c r="B130">
        <v>13366</v>
      </c>
      <c r="C130">
        <v>4085</v>
      </c>
      <c r="D130" t="s">
        <v>18</v>
      </c>
      <c r="E130" t="s">
        <v>61</v>
      </c>
      <c r="F130">
        <v>10460</v>
      </c>
      <c r="G130" t="s">
        <v>61</v>
      </c>
      <c r="H130" t="s">
        <v>21</v>
      </c>
      <c r="I130">
        <v>35669</v>
      </c>
      <c r="J130">
        <v>35269</v>
      </c>
      <c r="K130">
        <v>400</v>
      </c>
      <c r="L130">
        <v>29900</v>
      </c>
      <c r="M130">
        <v>29900</v>
      </c>
      <c r="N130">
        <v>0</v>
      </c>
    </row>
    <row r="131" spans="1:14" ht="14.4">
      <c r="A131">
        <v>13365</v>
      </c>
      <c r="B131">
        <v>13366</v>
      </c>
      <c r="C131">
        <v>4085</v>
      </c>
      <c r="D131" t="s">
        <v>18</v>
      </c>
      <c r="E131" t="s">
        <v>61</v>
      </c>
      <c r="F131">
        <v>10461</v>
      </c>
      <c r="G131" t="s">
        <v>61</v>
      </c>
      <c r="H131" t="s">
        <v>21</v>
      </c>
      <c r="I131">
        <v>33731</v>
      </c>
      <c r="J131">
        <v>26491</v>
      </c>
      <c r="K131">
        <v>7240</v>
      </c>
      <c r="L131">
        <v>2500</v>
      </c>
      <c r="M131">
        <v>0</v>
      </c>
      <c r="N131">
        <v>2500</v>
      </c>
    </row>
    <row r="132" spans="1:14" ht="14.4">
      <c r="A132">
        <v>13365</v>
      </c>
      <c r="B132">
        <v>13366</v>
      </c>
      <c r="C132">
        <v>4085</v>
      </c>
      <c r="D132" t="s">
        <v>18</v>
      </c>
      <c r="E132" t="s">
        <v>61</v>
      </c>
      <c r="F132">
        <v>10463</v>
      </c>
      <c r="G132" t="s">
        <v>61</v>
      </c>
      <c r="H132" t="s">
        <v>21</v>
      </c>
      <c r="I132">
        <v>23977</v>
      </c>
      <c r="J132">
        <v>7077</v>
      </c>
      <c r="K132">
        <v>16900</v>
      </c>
      <c r="L132">
        <v>6900</v>
      </c>
      <c r="M132">
        <v>6900</v>
      </c>
      <c r="N132">
        <v>0</v>
      </c>
    </row>
    <row r="133" spans="1:14" ht="14.4">
      <c r="A133">
        <v>13365</v>
      </c>
      <c r="B133">
        <v>13366</v>
      </c>
      <c r="C133">
        <v>4085</v>
      </c>
      <c r="D133" t="s">
        <v>18</v>
      </c>
      <c r="E133" t="s">
        <v>61</v>
      </c>
      <c r="F133">
        <v>10464</v>
      </c>
      <c r="G133" t="s">
        <v>61</v>
      </c>
      <c r="H133" t="s">
        <v>21</v>
      </c>
      <c r="I133">
        <v>1089691</v>
      </c>
      <c r="J133">
        <v>963011</v>
      </c>
      <c r="K133">
        <v>126680</v>
      </c>
      <c r="L133">
        <v>496200</v>
      </c>
      <c r="M133">
        <v>401800</v>
      </c>
      <c r="N133">
        <v>94400</v>
      </c>
    </row>
    <row r="134" spans="1:14" ht="14.4">
      <c r="A134">
        <v>13365</v>
      </c>
      <c r="B134">
        <v>13366</v>
      </c>
      <c r="C134">
        <v>4085</v>
      </c>
      <c r="D134" t="s">
        <v>18</v>
      </c>
      <c r="E134" t="s">
        <v>61</v>
      </c>
      <c r="F134">
        <v>10465</v>
      </c>
      <c r="G134" t="s">
        <v>61</v>
      </c>
      <c r="H134" t="s">
        <v>21</v>
      </c>
      <c r="I134">
        <v>3004453</v>
      </c>
      <c r="J134">
        <v>2245263</v>
      </c>
      <c r="K134">
        <v>759190</v>
      </c>
      <c r="L134">
        <v>1108100</v>
      </c>
      <c r="M134">
        <v>742100</v>
      </c>
      <c r="N134">
        <v>366000</v>
      </c>
    </row>
    <row r="135" spans="1:14" ht="14.4">
      <c r="A135">
        <v>13365</v>
      </c>
      <c r="B135">
        <v>13366</v>
      </c>
      <c r="C135">
        <v>4085</v>
      </c>
      <c r="D135" t="s">
        <v>18</v>
      </c>
      <c r="E135" t="s">
        <v>61</v>
      </c>
      <c r="F135">
        <v>10466</v>
      </c>
      <c r="G135" t="s">
        <v>61</v>
      </c>
      <c r="H135" t="s">
        <v>21</v>
      </c>
      <c r="I135">
        <v>226196</v>
      </c>
      <c r="J135">
        <v>182296</v>
      </c>
      <c r="K135">
        <v>43900</v>
      </c>
      <c r="L135">
        <v>73800</v>
      </c>
      <c r="M135">
        <v>68500</v>
      </c>
      <c r="N135">
        <v>5300</v>
      </c>
    </row>
    <row r="136" spans="1:14" ht="14.4">
      <c r="A136">
        <v>13365</v>
      </c>
      <c r="B136">
        <v>13366</v>
      </c>
      <c r="C136">
        <v>4085</v>
      </c>
      <c r="D136" t="s">
        <v>18</v>
      </c>
      <c r="E136" t="s">
        <v>61</v>
      </c>
      <c r="F136">
        <v>10468</v>
      </c>
      <c r="G136" t="s">
        <v>61</v>
      </c>
      <c r="H136" t="s">
        <v>21</v>
      </c>
      <c r="I136">
        <v>20800</v>
      </c>
      <c r="J136">
        <v>0</v>
      </c>
      <c r="K136">
        <v>20800</v>
      </c>
      <c r="L136">
        <v>1100</v>
      </c>
      <c r="M136">
        <v>0</v>
      </c>
      <c r="N136">
        <v>1100</v>
      </c>
    </row>
    <row r="137" spans="1:14" ht="14.4">
      <c r="A137">
        <v>13365</v>
      </c>
      <c r="B137">
        <v>13366</v>
      </c>
      <c r="C137">
        <v>4085</v>
      </c>
      <c r="D137" t="s">
        <v>18</v>
      </c>
      <c r="E137" t="s">
        <v>61</v>
      </c>
      <c r="F137">
        <v>10469</v>
      </c>
      <c r="G137" t="s">
        <v>61</v>
      </c>
      <c r="H137" t="s">
        <v>21</v>
      </c>
      <c r="I137">
        <v>620928</v>
      </c>
      <c r="J137">
        <v>542088</v>
      </c>
      <c r="K137">
        <v>78840</v>
      </c>
      <c r="L137">
        <v>425100</v>
      </c>
      <c r="M137">
        <v>368700</v>
      </c>
      <c r="N137">
        <v>56400</v>
      </c>
    </row>
    <row r="138" spans="1:14" ht="14.4">
      <c r="A138">
        <v>13365</v>
      </c>
      <c r="B138">
        <v>13366</v>
      </c>
      <c r="C138">
        <v>4085</v>
      </c>
      <c r="D138" t="s">
        <v>18</v>
      </c>
      <c r="E138" t="s">
        <v>61</v>
      </c>
      <c r="F138">
        <v>10469</v>
      </c>
      <c r="G138" t="s">
        <v>43</v>
      </c>
      <c r="H138" t="s">
        <v>21</v>
      </c>
      <c r="I138">
        <v>2650</v>
      </c>
      <c r="J138">
        <v>0</v>
      </c>
      <c r="K138">
        <v>2650</v>
      </c>
      <c r="L138">
        <v>0</v>
      </c>
      <c r="M138">
        <v>0</v>
      </c>
      <c r="N138">
        <v>0</v>
      </c>
    </row>
    <row r="139" spans="1:14" ht="14.4">
      <c r="A139">
        <v>13365</v>
      </c>
      <c r="B139">
        <v>13366</v>
      </c>
      <c r="C139">
        <v>4085</v>
      </c>
      <c r="D139" t="s">
        <v>18</v>
      </c>
      <c r="E139" t="s">
        <v>61</v>
      </c>
      <c r="F139">
        <v>10470</v>
      </c>
      <c r="G139" t="s">
        <v>61</v>
      </c>
      <c r="H139" t="s">
        <v>21</v>
      </c>
      <c r="I139">
        <v>8159</v>
      </c>
      <c r="J139">
        <v>4784</v>
      </c>
      <c r="K139">
        <v>3375</v>
      </c>
      <c r="L139">
        <v>3000</v>
      </c>
      <c r="M139">
        <v>0</v>
      </c>
      <c r="N139">
        <v>3000</v>
      </c>
    </row>
    <row r="140" spans="1:14" ht="14.4">
      <c r="A140">
        <v>13365</v>
      </c>
      <c r="B140">
        <v>13366</v>
      </c>
      <c r="C140">
        <v>4085</v>
      </c>
      <c r="D140" t="s">
        <v>18</v>
      </c>
      <c r="E140" t="s">
        <v>61</v>
      </c>
      <c r="F140">
        <v>10471</v>
      </c>
      <c r="G140" t="s">
        <v>61</v>
      </c>
      <c r="H140" t="s">
        <v>21</v>
      </c>
      <c r="I140">
        <v>600</v>
      </c>
      <c r="J140">
        <v>0</v>
      </c>
      <c r="K140">
        <v>600</v>
      </c>
      <c r="L140">
        <v>600</v>
      </c>
      <c r="M140">
        <v>0</v>
      </c>
      <c r="N140">
        <v>600</v>
      </c>
    </row>
    <row r="141" spans="1:14" ht="14.4">
      <c r="A141">
        <v>13365</v>
      </c>
      <c r="B141">
        <v>13366</v>
      </c>
      <c r="C141">
        <v>4085</v>
      </c>
      <c r="D141" t="s">
        <v>18</v>
      </c>
      <c r="E141" t="s">
        <v>61</v>
      </c>
      <c r="F141">
        <v>10472</v>
      </c>
      <c r="G141" t="s">
        <v>61</v>
      </c>
      <c r="H141" t="s">
        <v>21</v>
      </c>
      <c r="I141">
        <v>22273</v>
      </c>
      <c r="J141">
        <v>13848</v>
      </c>
      <c r="K141">
        <v>8425</v>
      </c>
      <c r="L141">
        <v>0</v>
      </c>
      <c r="M141">
        <v>0</v>
      </c>
      <c r="N141">
        <v>0</v>
      </c>
    </row>
    <row r="142" spans="1:14" ht="14.4">
      <c r="A142">
        <v>13365</v>
      </c>
      <c r="B142">
        <v>13366</v>
      </c>
      <c r="C142">
        <v>4085</v>
      </c>
      <c r="D142" t="s">
        <v>18</v>
      </c>
      <c r="E142" t="s">
        <v>61</v>
      </c>
      <c r="F142">
        <v>10473</v>
      </c>
      <c r="G142" t="s">
        <v>61</v>
      </c>
      <c r="H142" t="s">
        <v>21</v>
      </c>
      <c r="I142">
        <v>1165037</v>
      </c>
      <c r="J142">
        <v>901375</v>
      </c>
      <c r="K142">
        <v>263662</v>
      </c>
      <c r="L142">
        <v>415400</v>
      </c>
      <c r="M142">
        <v>332700</v>
      </c>
      <c r="N142">
        <v>82700</v>
      </c>
    </row>
    <row r="143" spans="1:14" ht="14.4">
      <c r="A143">
        <v>13365</v>
      </c>
      <c r="B143">
        <v>13366</v>
      </c>
      <c r="C143">
        <v>4085</v>
      </c>
      <c r="D143" t="s">
        <v>18</v>
      </c>
      <c r="E143" t="s">
        <v>61</v>
      </c>
      <c r="F143">
        <v>10473</v>
      </c>
      <c r="G143" t="s">
        <v>32</v>
      </c>
      <c r="H143" t="s">
        <v>21</v>
      </c>
      <c r="I143">
        <v>8700</v>
      </c>
      <c r="J143">
        <v>0</v>
      </c>
      <c r="K143">
        <v>8700</v>
      </c>
      <c r="L143">
        <v>8700</v>
      </c>
      <c r="M143">
        <v>0</v>
      </c>
      <c r="N143">
        <v>8700</v>
      </c>
    </row>
    <row r="144" spans="1:14" ht="14.4">
      <c r="A144">
        <v>13365</v>
      </c>
      <c r="B144">
        <v>13366</v>
      </c>
      <c r="C144">
        <v>4085</v>
      </c>
      <c r="D144" t="s">
        <v>18</v>
      </c>
      <c r="E144" t="s">
        <v>61</v>
      </c>
      <c r="F144">
        <v>10475</v>
      </c>
      <c r="G144" t="s">
        <v>61</v>
      </c>
      <c r="H144" t="s">
        <v>21</v>
      </c>
      <c r="I144">
        <v>68841</v>
      </c>
      <c r="J144">
        <v>47841</v>
      </c>
      <c r="K144">
        <v>21000</v>
      </c>
      <c r="L144">
        <v>36900</v>
      </c>
      <c r="M144">
        <v>15900</v>
      </c>
      <c r="N144">
        <v>21000</v>
      </c>
    </row>
    <row r="145" spans="1:14" ht="14.4">
      <c r="A145">
        <v>13365</v>
      </c>
      <c r="B145">
        <v>13366</v>
      </c>
      <c r="C145">
        <v>4085</v>
      </c>
      <c r="D145" t="s">
        <v>18</v>
      </c>
      <c r="E145" t="s">
        <v>63</v>
      </c>
      <c r="F145">
        <v>10708</v>
      </c>
      <c r="G145" t="s">
        <v>64</v>
      </c>
      <c r="H145" t="s">
        <v>21</v>
      </c>
      <c r="I145">
        <v>5611</v>
      </c>
      <c r="J145">
        <v>4911</v>
      </c>
      <c r="K145">
        <v>700</v>
      </c>
      <c r="L145">
        <v>0</v>
      </c>
      <c r="M145">
        <v>0</v>
      </c>
      <c r="N145">
        <v>0</v>
      </c>
    </row>
    <row r="146" spans="1:14" ht="14.4">
      <c r="A146">
        <v>13365</v>
      </c>
      <c r="B146">
        <v>13366</v>
      </c>
      <c r="C146">
        <v>4085</v>
      </c>
      <c r="D146" t="s">
        <v>18</v>
      </c>
      <c r="E146" t="s">
        <v>1158</v>
      </c>
      <c r="F146">
        <v>11235</v>
      </c>
      <c r="G146" t="s">
        <v>43</v>
      </c>
      <c r="H146" t="s">
        <v>21</v>
      </c>
      <c r="I146">
        <v>148178</v>
      </c>
      <c r="J146">
        <v>117728</v>
      </c>
      <c r="K146">
        <v>30450</v>
      </c>
      <c r="L146">
        <v>0</v>
      </c>
      <c r="M146">
        <v>0</v>
      </c>
      <c r="N146">
        <v>0</v>
      </c>
    </row>
    <row r="147" spans="1:14" ht="14.4">
      <c r="A147">
        <v>13365</v>
      </c>
      <c r="B147">
        <v>13366</v>
      </c>
      <c r="C147">
        <v>4085</v>
      </c>
      <c r="D147" t="s">
        <v>18</v>
      </c>
      <c r="E147" t="s">
        <v>65</v>
      </c>
      <c r="F147">
        <v>11719</v>
      </c>
      <c r="G147" t="s">
        <v>23</v>
      </c>
      <c r="H147" t="s">
        <v>21</v>
      </c>
      <c r="I147">
        <v>1179026</v>
      </c>
      <c r="J147">
        <v>911901</v>
      </c>
      <c r="K147">
        <v>267125</v>
      </c>
      <c r="L147">
        <v>646100</v>
      </c>
      <c r="M147">
        <v>454000</v>
      </c>
      <c r="N147">
        <v>192100</v>
      </c>
    </row>
    <row r="148" spans="1:14" ht="14.4">
      <c r="A148">
        <v>13365</v>
      </c>
      <c r="B148">
        <v>13366</v>
      </c>
      <c r="C148">
        <v>4085</v>
      </c>
      <c r="D148" t="s">
        <v>18</v>
      </c>
      <c r="E148" t="s">
        <v>1159</v>
      </c>
      <c r="F148">
        <v>11224</v>
      </c>
      <c r="G148" t="s">
        <v>43</v>
      </c>
      <c r="H148" t="s">
        <v>21</v>
      </c>
      <c r="I148">
        <v>20075</v>
      </c>
      <c r="J148">
        <v>0</v>
      </c>
      <c r="K148">
        <v>20075</v>
      </c>
      <c r="L148">
        <v>20100</v>
      </c>
      <c r="M148">
        <v>0</v>
      </c>
      <c r="N148">
        <v>20100</v>
      </c>
    </row>
    <row r="149" spans="1:14" ht="14.4">
      <c r="A149">
        <v>13365</v>
      </c>
      <c r="B149">
        <v>13366</v>
      </c>
      <c r="C149">
        <v>4085</v>
      </c>
      <c r="D149" t="s">
        <v>18</v>
      </c>
      <c r="E149" t="s">
        <v>1160</v>
      </c>
      <c r="F149">
        <v>11224</v>
      </c>
      <c r="G149" t="s">
        <v>43</v>
      </c>
      <c r="H149" t="s">
        <v>21</v>
      </c>
      <c r="I149">
        <v>31950</v>
      </c>
      <c r="J149">
        <v>0</v>
      </c>
      <c r="K149">
        <v>31950</v>
      </c>
      <c r="L149">
        <v>0</v>
      </c>
      <c r="M149">
        <v>0</v>
      </c>
      <c r="N149">
        <v>0</v>
      </c>
    </row>
    <row r="150" spans="1:14" ht="14.4">
      <c r="A150">
        <v>13365</v>
      </c>
      <c r="B150">
        <v>13366</v>
      </c>
      <c r="C150">
        <v>4085</v>
      </c>
      <c r="D150" t="s">
        <v>18</v>
      </c>
      <c r="E150" t="s">
        <v>67</v>
      </c>
      <c r="F150">
        <v>11229</v>
      </c>
      <c r="G150" t="s">
        <v>43</v>
      </c>
      <c r="H150" t="s">
        <v>21</v>
      </c>
      <c r="I150">
        <v>53123</v>
      </c>
      <c r="J150">
        <v>20648</v>
      </c>
      <c r="K150">
        <v>32475</v>
      </c>
      <c r="L150">
        <v>0</v>
      </c>
      <c r="M150">
        <v>0</v>
      </c>
      <c r="N150">
        <v>0</v>
      </c>
    </row>
    <row r="151" spans="1:14" ht="14.4">
      <c r="A151">
        <v>13365</v>
      </c>
      <c r="B151">
        <v>13366</v>
      </c>
      <c r="C151">
        <v>4085</v>
      </c>
      <c r="D151" t="s">
        <v>18</v>
      </c>
      <c r="E151" t="s">
        <v>67</v>
      </c>
      <c r="F151">
        <v>11234</v>
      </c>
      <c r="G151" t="s">
        <v>43</v>
      </c>
      <c r="H151" t="s">
        <v>21</v>
      </c>
      <c r="I151">
        <v>112383</v>
      </c>
      <c r="J151">
        <v>86683</v>
      </c>
      <c r="K151">
        <v>25700</v>
      </c>
      <c r="L151">
        <v>0</v>
      </c>
      <c r="M151">
        <v>0</v>
      </c>
      <c r="N151">
        <v>0</v>
      </c>
    </row>
    <row r="152" spans="1:14" ht="14.4">
      <c r="A152">
        <v>13365</v>
      </c>
      <c r="B152">
        <v>13366</v>
      </c>
      <c r="C152">
        <v>4085</v>
      </c>
      <c r="D152" t="s">
        <v>18</v>
      </c>
      <c r="E152" t="s">
        <v>67</v>
      </c>
      <c r="F152">
        <v>11235</v>
      </c>
      <c r="G152" t="s">
        <v>43</v>
      </c>
      <c r="H152" t="s">
        <v>21</v>
      </c>
      <c r="I152">
        <v>20925</v>
      </c>
      <c r="J152">
        <v>0</v>
      </c>
      <c r="K152">
        <v>20925</v>
      </c>
      <c r="L152">
        <v>0</v>
      </c>
      <c r="M152">
        <v>0</v>
      </c>
      <c r="N152">
        <v>0</v>
      </c>
    </row>
    <row r="153" spans="1:14" ht="14.4">
      <c r="A153">
        <v>13365</v>
      </c>
      <c r="B153">
        <v>13366</v>
      </c>
      <c r="C153">
        <v>4085</v>
      </c>
      <c r="D153" t="s">
        <v>18</v>
      </c>
      <c r="E153" t="s">
        <v>67</v>
      </c>
      <c r="F153">
        <v>11236</v>
      </c>
      <c r="G153" t="s">
        <v>43</v>
      </c>
      <c r="H153" t="s">
        <v>21</v>
      </c>
      <c r="I153">
        <v>11678</v>
      </c>
      <c r="J153">
        <v>7178</v>
      </c>
      <c r="K153">
        <v>4500</v>
      </c>
      <c r="L153">
        <v>0</v>
      </c>
      <c r="M153">
        <v>0</v>
      </c>
      <c r="N153">
        <v>0</v>
      </c>
    </row>
    <row r="154" spans="1:14" ht="14.4">
      <c r="A154">
        <v>13365</v>
      </c>
      <c r="B154">
        <v>13366</v>
      </c>
      <c r="C154">
        <v>4085</v>
      </c>
      <c r="D154" t="s">
        <v>18</v>
      </c>
      <c r="E154" t="s">
        <v>1161</v>
      </c>
      <c r="F154">
        <v>11224</v>
      </c>
      <c r="G154" t="s">
        <v>43</v>
      </c>
      <c r="H154" t="s">
        <v>21</v>
      </c>
      <c r="I154">
        <v>12125</v>
      </c>
      <c r="J154">
        <v>0</v>
      </c>
      <c r="K154">
        <v>12125</v>
      </c>
      <c r="L154">
        <v>12200</v>
      </c>
      <c r="M154">
        <v>0</v>
      </c>
      <c r="N154">
        <v>12200</v>
      </c>
    </row>
    <row r="155" spans="1:14" ht="14.4">
      <c r="A155">
        <v>13365</v>
      </c>
      <c r="B155">
        <v>13366</v>
      </c>
      <c r="C155">
        <v>4085</v>
      </c>
      <c r="D155" t="s">
        <v>18</v>
      </c>
      <c r="E155" t="s">
        <v>1161</v>
      </c>
      <c r="F155">
        <v>11231</v>
      </c>
      <c r="G155" t="s">
        <v>43</v>
      </c>
      <c r="H155" t="s">
        <v>21</v>
      </c>
      <c r="I155">
        <v>205304</v>
      </c>
      <c r="J155">
        <v>167954</v>
      </c>
      <c r="K155">
        <v>37350</v>
      </c>
      <c r="L155">
        <v>190400</v>
      </c>
      <c r="M155">
        <v>153000</v>
      </c>
      <c r="N155">
        <v>37400</v>
      </c>
    </row>
    <row r="156" spans="1:14" ht="14.4">
      <c r="A156">
        <v>13365</v>
      </c>
      <c r="B156">
        <v>13366</v>
      </c>
      <c r="C156">
        <v>4085</v>
      </c>
      <c r="D156" t="s">
        <v>18</v>
      </c>
      <c r="E156" t="s">
        <v>69</v>
      </c>
      <c r="F156">
        <v>10301</v>
      </c>
      <c r="G156" t="s">
        <v>43</v>
      </c>
      <c r="H156" t="s">
        <v>21</v>
      </c>
      <c r="I156">
        <v>13525</v>
      </c>
      <c r="J156">
        <v>0</v>
      </c>
      <c r="K156">
        <v>13525</v>
      </c>
      <c r="L156">
        <v>0</v>
      </c>
      <c r="M156">
        <v>0</v>
      </c>
      <c r="N156">
        <v>0</v>
      </c>
    </row>
    <row r="157" spans="1:14" ht="14.4">
      <c r="A157">
        <v>13365</v>
      </c>
      <c r="B157">
        <v>13366</v>
      </c>
      <c r="C157">
        <v>4085</v>
      </c>
      <c r="D157" t="s">
        <v>18</v>
      </c>
      <c r="E157" t="s">
        <v>69</v>
      </c>
      <c r="F157">
        <v>10303</v>
      </c>
      <c r="G157" t="s">
        <v>32</v>
      </c>
      <c r="H157" t="s">
        <v>21</v>
      </c>
      <c r="I157">
        <v>13474</v>
      </c>
      <c r="J157">
        <v>7074</v>
      </c>
      <c r="K157">
        <v>6400</v>
      </c>
      <c r="L157">
        <v>0</v>
      </c>
      <c r="M157">
        <v>0</v>
      </c>
      <c r="N157">
        <v>0</v>
      </c>
    </row>
    <row r="158" spans="1:14" ht="14.4">
      <c r="A158">
        <v>13365</v>
      </c>
      <c r="B158">
        <v>13366</v>
      </c>
      <c r="C158">
        <v>4085</v>
      </c>
      <c r="D158" t="s">
        <v>18</v>
      </c>
      <c r="E158" t="s">
        <v>69</v>
      </c>
      <c r="F158">
        <v>10305</v>
      </c>
      <c r="G158" t="s">
        <v>71</v>
      </c>
      <c r="H158" t="s">
        <v>21</v>
      </c>
      <c r="I158">
        <v>74080</v>
      </c>
      <c r="J158">
        <v>52780</v>
      </c>
      <c r="K158">
        <v>21300</v>
      </c>
      <c r="L158">
        <v>18700</v>
      </c>
      <c r="M158">
        <v>0</v>
      </c>
      <c r="N158">
        <v>18700</v>
      </c>
    </row>
    <row r="159" spans="1:14" ht="14.4">
      <c r="A159">
        <v>13365</v>
      </c>
      <c r="B159">
        <v>13366</v>
      </c>
      <c r="C159">
        <v>4085</v>
      </c>
      <c r="D159" t="s">
        <v>18</v>
      </c>
      <c r="E159" t="s">
        <v>69</v>
      </c>
      <c r="F159">
        <v>11122</v>
      </c>
      <c r="G159" t="s">
        <v>43</v>
      </c>
      <c r="H159" t="s">
        <v>21</v>
      </c>
      <c r="I159">
        <v>9100</v>
      </c>
      <c r="J159">
        <v>0</v>
      </c>
      <c r="K159">
        <v>9100</v>
      </c>
      <c r="L159">
        <v>0</v>
      </c>
      <c r="M159">
        <v>0</v>
      </c>
      <c r="N159">
        <v>0</v>
      </c>
    </row>
    <row r="160" spans="1:14" ht="14.4">
      <c r="A160">
        <v>13365</v>
      </c>
      <c r="B160">
        <v>13366</v>
      </c>
      <c r="C160">
        <v>4085</v>
      </c>
      <c r="D160" t="s">
        <v>18</v>
      </c>
      <c r="E160" t="s">
        <v>69</v>
      </c>
      <c r="F160">
        <v>11201</v>
      </c>
      <c r="G160" t="s">
        <v>43</v>
      </c>
      <c r="H160" t="s">
        <v>21</v>
      </c>
      <c r="I160">
        <v>208111</v>
      </c>
      <c r="J160">
        <v>52436</v>
      </c>
      <c r="K160">
        <v>155675</v>
      </c>
      <c r="L160">
        <v>106700</v>
      </c>
      <c r="M160">
        <v>19900</v>
      </c>
      <c r="N160">
        <v>86800</v>
      </c>
    </row>
    <row r="161" spans="1:14" ht="14.4">
      <c r="A161">
        <v>13365</v>
      </c>
      <c r="B161">
        <v>13366</v>
      </c>
      <c r="C161">
        <v>4085</v>
      </c>
      <c r="D161" t="s">
        <v>18</v>
      </c>
      <c r="E161" t="s">
        <v>69</v>
      </c>
      <c r="F161">
        <v>11202</v>
      </c>
      <c r="G161" t="s">
        <v>43</v>
      </c>
      <c r="H161" t="s">
        <v>21</v>
      </c>
      <c r="I161">
        <v>9075</v>
      </c>
      <c r="J161">
        <v>0</v>
      </c>
      <c r="K161">
        <v>9075</v>
      </c>
      <c r="L161">
        <v>5000</v>
      </c>
      <c r="M161">
        <v>0</v>
      </c>
      <c r="N161">
        <v>5000</v>
      </c>
    </row>
    <row r="162" spans="1:14" ht="14.4">
      <c r="A162">
        <v>13365</v>
      </c>
      <c r="B162">
        <v>13366</v>
      </c>
      <c r="C162">
        <v>4085</v>
      </c>
      <c r="D162" t="s">
        <v>18</v>
      </c>
      <c r="E162" t="s">
        <v>69</v>
      </c>
      <c r="F162">
        <v>11203</v>
      </c>
      <c r="G162" t="s">
        <v>43</v>
      </c>
      <c r="H162" t="s">
        <v>21</v>
      </c>
      <c r="I162">
        <v>720003</v>
      </c>
      <c r="J162">
        <v>618653</v>
      </c>
      <c r="K162">
        <v>101350</v>
      </c>
      <c r="L162">
        <v>175300</v>
      </c>
      <c r="M162">
        <v>126900</v>
      </c>
      <c r="N162">
        <v>48400</v>
      </c>
    </row>
    <row r="163" spans="1:14" ht="14.4">
      <c r="A163">
        <v>13365</v>
      </c>
      <c r="B163">
        <v>13366</v>
      </c>
      <c r="C163">
        <v>4085</v>
      </c>
      <c r="D163" t="s">
        <v>18</v>
      </c>
      <c r="E163" t="s">
        <v>69</v>
      </c>
      <c r="F163">
        <v>11203</v>
      </c>
      <c r="G163" t="s">
        <v>32</v>
      </c>
      <c r="H163" t="s">
        <v>21</v>
      </c>
      <c r="I163">
        <v>34262</v>
      </c>
      <c r="J163">
        <v>26412</v>
      </c>
      <c r="K163">
        <v>7850</v>
      </c>
      <c r="L163">
        <v>0</v>
      </c>
      <c r="M163">
        <v>0</v>
      </c>
      <c r="N163">
        <v>0</v>
      </c>
    </row>
    <row r="164" spans="1:14" ht="14.4">
      <c r="A164">
        <v>13365</v>
      </c>
      <c r="B164">
        <v>13366</v>
      </c>
      <c r="C164">
        <v>4085</v>
      </c>
      <c r="D164" t="s">
        <v>18</v>
      </c>
      <c r="E164" t="s">
        <v>69</v>
      </c>
      <c r="F164">
        <v>11204</v>
      </c>
      <c r="G164" t="s">
        <v>43</v>
      </c>
      <c r="H164" t="s">
        <v>21</v>
      </c>
      <c r="I164">
        <v>37966</v>
      </c>
      <c r="J164">
        <v>8641</v>
      </c>
      <c r="K164">
        <v>29325</v>
      </c>
      <c r="L164">
        <v>0</v>
      </c>
      <c r="M164">
        <v>0</v>
      </c>
      <c r="N164">
        <v>0</v>
      </c>
    </row>
    <row r="165" spans="1:14" ht="14.4">
      <c r="A165">
        <v>13365</v>
      </c>
      <c r="B165">
        <v>13366</v>
      </c>
      <c r="C165">
        <v>4085</v>
      </c>
      <c r="D165" t="s">
        <v>18</v>
      </c>
      <c r="E165" t="s">
        <v>69</v>
      </c>
      <c r="F165">
        <v>11205</v>
      </c>
      <c r="G165" t="s">
        <v>43</v>
      </c>
      <c r="H165" t="s">
        <v>21</v>
      </c>
      <c r="I165">
        <v>68068</v>
      </c>
      <c r="J165">
        <v>40193</v>
      </c>
      <c r="K165">
        <v>27875</v>
      </c>
      <c r="L165">
        <v>0</v>
      </c>
      <c r="M165">
        <v>0</v>
      </c>
      <c r="N165">
        <v>0</v>
      </c>
    </row>
    <row r="166" spans="1:14" ht="14.4">
      <c r="A166">
        <v>13365</v>
      </c>
      <c r="B166">
        <v>13366</v>
      </c>
      <c r="C166">
        <v>4085</v>
      </c>
      <c r="D166" t="s">
        <v>18</v>
      </c>
      <c r="E166" t="s">
        <v>69</v>
      </c>
      <c r="F166">
        <v>11207</v>
      </c>
      <c r="G166" t="s">
        <v>43</v>
      </c>
      <c r="H166" t="s">
        <v>21</v>
      </c>
      <c r="I166">
        <v>148026</v>
      </c>
      <c r="J166">
        <v>91951</v>
      </c>
      <c r="K166">
        <v>56075</v>
      </c>
      <c r="L166">
        <v>49400</v>
      </c>
      <c r="M166">
        <v>28300</v>
      </c>
      <c r="N166">
        <v>21100</v>
      </c>
    </row>
    <row r="167" spans="1:14" ht="14.4">
      <c r="A167">
        <v>13365</v>
      </c>
      <c r="B167">
        <v>13366</v>
      </c>
      <c r="C167">
        <v>4085</v>
      </c>
      <c r="D167" t="s">
        <v>18</v>
      </c>
      <c r="E167" t="s">
        <v>69</v>
      </c>
      <c r="F167">
        <v>11207</v>
      </c>
      <c r="G167" t="s">
        <v>32</v>
      </c>
      <c r="H167" t="s">
        <v>21</v>
      </c>
      <c r="I167">
        <v>22271</v>
      </c>
      <c r="J167">
        <v>20171</v>
      </c>
      <c r="K167">
        <v>2100</v>
      </c>
      <c r="L167">
        <v>0</v>
      </c>
      <c r="M167">
        <v>0</v>
      </c>
      <c r="N167">
        <v>0</v>
      </c>
    </row>
    <row r="168" spans="1:14" ht="14.4">
      <c r="A168">
        <v>13365</v>
      </c>
      <c r="B168">
        <v>13366</v>
      </c>
      <c r="C168">
        <v>4085</v>
      </c>
      <c r="D168" t="s">
        <v>18</v>
      </c>
      <c r="E168" t="s">
        <v>69</v>
      </c>
      <c r="F168">
        <v>11208</v>
      </c>
      <c r="G168" t="s">
        <v>43</v>
      </c>
      <c r="H168" t="s">
        <v>21</v>
      </c>
      <c r="I168">
        <v>160918</v>
      </c>
      <c r="J168">
        <v>129468</v>
      </c>
      <c r="K168">
        <v>31450</v>
      </c>
      <c r="L168">
        <v>34700</v>
      </c>
      <c r="M168">
        <v>18200</v>
      </c>
      <c r="N168">
        <v>16500</v>
      </c>
    </row>
    <row r="169" spans="1:14" ht="14.4">
      <c r="A169">
        <v>13365</v>
      </c>
      <c r="B169">
        <v>13366</v>
      </c>
      <c r="C169">
        <v>4085</v>
      </c>
      <c r="D169" t="s">
        <v>18</v>
      </c>
      <c r="E169" t="s">
        <v>69</v>
      </c>
      <c r="F169">
        <v>11209</v>
      </c>
      <c r="G169" t="s">
        <v>43</v>
      </c>
      <c r="H169" t="s">
        <v>21</v>
      </c>
      <c r="I169">
        <v>147923</v>
      </c>
      <c r="J169">
        <v>113623</v>
      </c>
      <c r="K169">
        <v>34300</v>
      </c>
      <c r="L169">
        <v>103600</v>
      </c>
      <c r="M169">
        <v>97300</v>
      </c>
      <c r="N169">
        <v>6300</v>
      </c>
    </row>
    <row r="170" spans="1:14" ht="14.4">
      <c r="A170">
        <v>13365</v>
      </c>
      <c r="B170">
        <v>13366</v>
      </c>
      <c r="C170">
        <v>4085</v>
      </c>
      <c r="D170" t="s">
        <v>18</v>
      </c>
      <c r="E170" t="s">
        <v>69</v>
      </c>
      <c r="F170">
        <v>11210</v>
      </c>
      <c r="G170" t="s">
        <v>43</v>
      </c>
      <c r="H170" t="s">
        <v>21</v>
      </c>
      <c r="I170">
        <v>473050</v>
      </c>
      <c r="J170">
        <v>342480</v>
      </c>
      <c r="K170">
        <v>130570</v>
      </c>
      <c r="L170">
        <v>163400</v>
      </c>
      <c r="M170">
        <v>135000</v>
      </c>
      <c r="N170">
        <v>28400</v>
      </c>
    </row>
    <row r="171" spans="1:14" ht="14.4">
      <c r="A171">
        <v>13365</v>
      </c>
      <c r="B171">
        <v>13366</v>
      </c>
      <c r="C171">
        <v>4085</v>
      </c>
      <c r="D171" t="s">
        <v>18</v>
      </c>
      <c r="E171" t="s">
        <v>69</v>
      </c>
      <c r="F171">
        <v>11211</v>
      </c>
      <c r="G171" t="s">
        <v>43</v>
      </c>
      <c r="H171" t="s">
        <v>21</v>
      </c>
      <c r="I171">
        <v>62223</v>
      </c>
      <c r="J171">
        <v>29573</v>
      </c>
      <c r="K171">
        <v>32650</v>
      </c>
      <c r="L171">
        <v>0</v>
      </c>
      <c r="M171">
        <v>0</v>
      </c>
      <c r="N171">
        <v>0</v>
      </c>
    </row>
    <row r="172" spans="1:14" ht="14.4">
      <c r="A172">
        <v>13365</v>
      </c>
      <c r="B172">
        <v>13366</v>
      </c>
      <c r="C172">
        <v>4085</v>
      </c>
      <c r="D172" t="s">
        <v>18</v>
      </c>
      <c r="E172" t="s">
        <v>69</v>
      </c>
      <c r="F172">
        <v>11212</v>
      </c>
      <c r="G172" t="s">
        <v>43</v>
      </c>
      <c r="H172" t="s">
        <v>21</v>
      </c>
      <c r="I172">
        <v>209063</v>
      </c>
      <c r="J172">
        <v>154538</v>
      </c>
      <c r="K172">
        <v>54525</v>
      </c>
      <c r="L172">
        <v>22400</v>
      </c>
      <c r="M172">
        <v>7500</v>
      </c>
      <c r="N172">
        <v>14900</v>
      </c>
    </row>
    <row r="173" spans="1:14" ht="14.4">
      <c r="A173">
        <v>13365</v>
      </c>
      <c r="B173">
        <v>13366</v>
      </c>
      <c r="C173">
        <v>4085</v>
      </c>
      <c r="D173" t="s">
        <v>18</v>
      </c>
      <c r="E173" t="s">
        <v>69</v>
      </c>
      <c r="F173">
        <v>11212</v>
      </c>
      <c r="G173" t="s">
        <v>32</v>
      </c>
      <c r="H173" t="s">
        <v>21</v>
      </c>
      <c r="I173">
        <v>13750</v>
      </c>
      <c r="J173">
        <v>0</v>
      </c>
      <c r="K173">
        <v>13750</v>
      </c>
      <c r="L173">
        <v>0</v>
      </c>
      <c r="M173">
        <v>0</v>
      </c>
      <c r="N173">
        <v>0</v>
      </c>
    </row>
    <row r="174" spans="1:14" ht="14.4">
      <c r="A174">
        <v>13365</v>
      </c>
      <c r="B174">
        <v>13366</v>
      </c>
      <c r="C174">
        <v>4085</v>
      </c>
      <c r="D174" t="s">
        <v>18</v>
      </c>
      <c r="E174" t="s">
        <v>69</v>
      </c>
      <c r="F174">
        <v>11213</v>
      </c>
      <c r="G174" t="s">
        <v>43</v>
      </c>
      <c r="H174" t="s">
        <v>21</v>
      </c>
      <c r="I174">
        <v>108920</v>
      </c>
      <c r="J174">
        <v>74320</v>
      </c>
      <c r="K174">
        <v>34600</v>
      </c>
      <c r="L174">
        <v>84500</v>
      </c>
      <c r="M174">
        <v>61500</v>
      </c>
      <c r="N174">
        <v>23000</v>
      </c>
    </row>
    <row r="175" spans="1:14" ht="14.4">
      <c r="A175">
        <v>13365</v>
      </c>
      <c r="B175">
        <v>13366</v>
      </c>
      <c r="C175">
        <v>4085</v>
      </c>
      <c r="D175" t="s">
        <v>18</v>
      </c>
      <c r="E175" t="s">
        <v>69</v>
      </c>
      <c r="F175">
        <v>11214</v>
      </c>
      <c r="G175" t="s">
        <v>43</v>
      </c>
      <c r="H175" t="s">
        <v>21</v>
      </c>
      <c r="I175">
        <v>3953723</v>
      </c>
      <c r="J175">
        <v>2392308</v>
      </c>
      <c r="K175">
        <v>1561415</v>
      </c>
      <c r="L175">
        <v>1508600</v>
      </c>
      <c r="M175">
        <v>877100</v>
      </c>
      <c r="N175">
        <v>631500</v>
      </c>
    </row>
    <row r="176" spans="1:14" ht="14.4">
      <c r="A176">
        <v>13365</v>
      </c>
      <c r="B176">
        <v>13366</v>
      </c>
      <c r="C176">
        <v>4085</v>
      </c>
      <c r="D176" t="s">
        <v>18</v>
      </c>
      <c r="E176" t="s">
        <v>69</v>
      </c>
      <c r="F176">
        <v>11214</v>
      </c>
      <c r="G176" t="s">
        <v>32</v>
      </c>
      <c r="H176" t="s">
        <v>21</v>
      </c>
      <c r="I176">
        <v>104300</v>
      </c>
      <c r="J176">
        <v>77900</v>
      </c>
      <c r="K176">
        <v>26400</v>
      </c>
      <c r="L176">
        <v>0</v>
      </c>
      <c r="M176">
        <v>0</v>
      </c>
      <c r="N176">
        <v>0</v>
      </c>
    </row>
    <row r="177" spans="1:14" ht="14.4">
      <c r="A177">
        <v>13365</v>
      </c>
      <c r="B177">
        <v>13366</v>
      </c>
      <c r="C177">
        <v>4085</v>
      </c>
      <c r="D177" t="s">
        <v>18</v>
      </c>
      <c r="E177" t="s">
        <v>69</v>
      </c>
      <c r="F177">
        <v>11215</v>
      </c>
      <c r="G177" t="s">
        <v>43</v>
      </c>
      <c r="H177" t="s">
        <v>21</v>
      </c>
      <c r="I177">
        <v>34070</v>
      </c>
      <c r="J177">
        <v>0</v>
      </c>
      <c r="K177">
        <v>34070</v>
      </c>
      <c r="L177">
        <v>0</v>
      </c>
      <c r="M177">
        <v>0</v>
      </c>
      <c r="N177">
        <v>0</v>
      </c>
    </row>
    <row r="178" spans="1:14" ht="14.4">
      <c r="A178">
        <v>13365</v>
      </c>
      <c r="B178">
        <v>13366</v>
      </c>
      <c r="C178">
        <v>4085</v>
      </c>
      <c r="D178" t="s">
        <v>18</v>
      </c>
      <c r="E178" t="s">
        <v>69</v>
      </c>
      <c r="F178">
        <v>11216</v>
      </c>
      <c r="G178" t="s">
        <v>43</v>
      </c>
      <c r="H178" t="s">
        <v>21</v>
      </c>
      <c r="I178">
        <v>93001</v>
      </c>
      <c r="J178">
        <v>76051</v>
      </c>
      <c r="K178">
        <v>16950</v>
      </c>
      <c r="L178">
        <v>3000</v>
      </c>
      <c r="M178">
        <v>0</v>
      </c>
      <c r="N178">
        <v>3000</v>
      </c>
    </row>
    <row r="179" spans="1:14" ht="14.4">
      <c r="A179">
        <v>13365</v>
      </c>
      <c r="B179">
        <v>13366</v>
      </c>
      <c r="C179">
        <v>4085</v>
      </c>
      <c r="D179" t="s">
        <v>18</v>
      </c>
      <c r="E179" t="s">
        <v>69</v>
      </c>
      <c r="F179">
        <v>11217</v>
      </c>
      <c r="G179" t="s">
        <v>43</v>
      </c>
      <c r="H179" t="s">
        <v>21</v>
      </c>
      <c r="I179">
        <v>312045</v>
      </c>
      <c r="J179">
        <v>250420</v>
      </c>
      <c r="K179">
        <v>61625</v>
      </c>
      <c r="L179">
        <v>198300</v>
      </c>
      <c r="M179">
        <v>151100</v>
      </c>
      <c r="N179">
        <v>47200</v>
      </c>
    </row>
    <row r="180" spans="1:14" ht="14.4">
      <c r="A180">
        <v>13365</v>
      </c>
      <c r="B180">
        <v>13366</v>
      </c>
      <c r="C180">
        <v>4085</v>
      </c>
      <c r="D180" t="s">
        <v>18</v>
      </c>
      <c r="E180" t="s">
        <v>69</v>
      </c>
      <c r="F180">
        <v>11218</v>
      </c>
      <c r="G180" t="s">
        <v>43</v>
      </c>
      <c r="H180" t="s">
        <v>21</v>
      </c>
      <c r="I180">
        <v>32883</v>
      </c>
      <c r="J180">
        <v>32121</v>
      </c>
      <c r="K180">
        <v>762</v>
      </c>
      <c r="L180">
        <v>21200</v>
      </c>
      <c r="M180">
        <v>21200</v>
      </c>
      <c r="N180">
        <v>0</v>
      </c>
    </row>
    <row r="181" spans="1:14" ht="14.4">
      <c r="A181">
        <v>13365</v>
      </c>
      <c r="B181">
        <v>13366</v>
      </c>
      <c r="C181">
        <v>4085</v>
      </c>
      <c r="D181" t="s">
        <v>18</v>
      </c>
      <c r="E181" t="s">
        <v>69</v>
      </c>
      <c r="F181">
        <v>11219</v>
      </c>
      <c r="G181" t="s">
        <v>43</v>
      </c>
      <c r="H181" t="s">
        <v>21</v>
      </c>
      <c r="I181">
        <v>7950</v>
      </c>
      <c r="J181">
        <v>0</v>
      </c>
      <c r="K181">
        <v>7950</v>
      </c>
      <c r="L181">
        <v>8000</v>
      </c>
      <c r="M181">
        <v>0</v>
      </c>
      <c r="N181">
        <v>8000</v>
      </c>
    </row>
    <row r="182" spans="1:14" ht="14.4">
      <c r="A182">
        <v>13365</v>
      </c>
      <c r="B182">
        <v>13366</v>
      </c>
      <c r="C182">
        <v>4085</v>
      </c>
      <c r="D182" t="s">
        <v>18</v>
      </c>
      <c r="E182" t="s">
        <v>69</v>
      </c>
      <c r="F182">
        <v>11220</v>
      </c>
      <c r="G182" t="s">
        <v>43</v>
      </c>
      <c r="H182" t="s">
        <v>21</v>
      </c>
      <c r="I182">
        <v>247630</v>
      </c>
      <c r="J182">
        <v>178985</v>
      </c>
      <c r="K182">
        <v>68645</v>
      </c>
      <c r="L182">
        <v>86000</v>
      </c>
      <c r="M182">
        <v>53700</v>
      </c>
      <c r="N182">
        <v>32300</v>
      </c>
    </row>
    <row r="183" spans="1:14" ht="14.4">
      <c r="A183">
        <v>13365</v>
      </c>
      <c r="B183">
        <v>13366</v>
      </c>
      <c r="C183">
        <v>4085</v>
      </c>
      <c r="D183" t="s">
        <v>18</v>
      </c>
      <c r="E183" t="s">
        <v>69</v>
      </c>
      <c r="F183">
        <v>11221</v>
      </c>
      <c r="G183" t="s">
        <v>43</v>
      </c>
      <c r="H183" t="s">
        <v>21</v>
      </c>
      <c r="I183">
        <v>485273</v>
      </c>
      <c r="J183">
        <v>470048</v>
      </c>
      <c r="K183">
        <v>15225</v>
      </c>
      <c r="L183">
        <v>250700</v>
      </c>
      <c r="M183">
        <v>239600</v>
      </c>
      <c r="N183">
        <v>11100</v>
      </c>
    </row>
    <row r="184" spans="1:14" ht="14.4">
      <c r="A184">
        <v>13365</v>
      </c>
      <c r="B184">
        <v>13366</v>
      </c>
      <c r="C184">
        <v>4085</v>
      </c>
      <c r="D184" t="s">
        <v>18</v>
      </c>
      <c r="E184" t="s">
        <v>69</v>
      </c>
      <c r="F184">
        <v>11222</v>
      </c>
      <c r="G184" t="s">
        <v>43</v>
      </c>
      <c r="H184" t="s">
        <v>21</v>
      </c>
      <c r="I184">
        <v>153591</v>
      </c>
      <c r="J184">
        <v>62526</v>
      </c>
      <c r="K184">
        <v>91065</v>
      </c>
      <c r="L184">
        <v>61400</v>
      </c>
      <c r="M184">
        <v>29600</v>
      </c>
      <c r="N184">
        <v>31800</v>
      </c>
    </row>
    <row r="185" spans="1:14" ht="14.4">
      <c r="A185">
        <v>13365</v>
      </c>
      <c r="B185">
        <v>13366</v>
      </c>
      <c r="C185">
        <v>4085</v>
      </c>
      <c r="D185" t="s">
        <v>18</v>
      </c>
      <c r="E185" t="s">
        <v>69</v>
      </c>
      <c r="F185">
        <v>11223</v>
      </c>
      <c r="G185" t="s">
        <v>43</v>
      </c>
      <c r="H185" t="s">
        <v>21</v>
      </c>
      <c r="I185">
        <v>3605262</v>
      </c>
      <c r="J185">
        <v>2002510</v>
      </c>
      <c r="K185">
        <v>1602752</v>
      </c>
      <c r="L185">
        <v>1275100</v>
      </c>
      <c r="M185">
        <v>678400</v>
      </c>
      <c r="N185">
        <v>596700</v>
      </c>
    </row>
    <row r="186" spans="1:14" ht="14.4">
      <c r="A186">
        <v>13365</v>
      </c>
      <c r="B186">
        <v>13366</v>
      </c>
      <c r="C186">
        <v>4085</v>
      </c>
      <c r="D186" t="s">
        <v>18</v>
      </c>
      <c r="E186" t="s">
        <v>69</v>
      </c>
      <c r="F186">
        <v>11223</v>
      </c>
      <c r="G186" t="s">
        <v>20</v>
      </c>
      <c r="H186" t="s">
        <v>21</v>
      </c>
      <c r="I186">
        <v>12000</v>
      </c>
      <c r="J186">
        <v>0</v>
      </c>
      <c r="K186">
        <v>12000</v>
      </c>
      <c r="L186">
        <v>0</v>
      </c>
      <c r="M186">
        <v>0</v>
      </c>
      <c r="N186">
        <v>0</v>
      </c>
    </row>
    <row r="187" spans="1:14" ht="14.4">
      <c r="A187">
        <v>13365</v>
      </c>
      <c r="B187">
        <v>13366</v>
      </c>
      <c r="C187">
        <v>4085</v>
      </c>
      <c r="D187" t="s">
        <v>18</v>
      </c>
      <c r="E187" t="s">
        <v>69</v>
      </c>
      <c r="F187">
        <v>11223</v>
      </c>
      <c r="G187" t="s">
        <v>71</v>
      </c>
      <c r="H187" t="s">
        <v>21</v>
      </c>
      <c r="I187">
        <v>34820</v>
      </c>
      <c r="J187">
        <v>34820</v>
      </c>
      <c r="K187">
        <v>0</v>
      </c>
      <c r="L187">
        <v>0</v>
      </c>
      <c r="M187">
        <v>0</v>
      </c>
      <c r="N187">
        <v>0</v>
      </c>
    </row>
    <row r="188" spans="1:14" ht="14.4">
      <c r="A188">
        <v>13365</v>
      </c>
      <c r="B188">
        <v>13366</v>
      </c>
      <c r="C188">
        <v>4085</v>
      </c>
      <c r="D188" t="s">
        <v>18</v>
      </c>
      <c r="E188" t="s">
        <v>69</v>
      </c>
      <c r="F188">
        <v>11224</v>
      </c>
      <c r="G188" t="s">
        <v>61</v>
      </c>
      <c r="H188" t="s">
        <v>21</v>
      </c>
      <c r="I188">
        <v>3000</v>
      </c>
      <c r="J188">
        <v>0</v>
      </c>
      <c r="K188">
        <v>3000</v>
      </c>
      <c r="L188">
        <v>0</v>
      </c>
      <c r="M188">
        <v>0</v>
      </c>
      <c r="N188">
        <v>0</v>
      </c>
    </row>
    <row r="189" spans="1:14" ht="14.4">
      <c r="A189">
        <v>13365</v>
      </c>
      <c r="B189">
        <v>13366</v>
      </c>
      <c r="C189">
        <v>4085</v>
      </c>
      <c r="D189" t="s">
        <v>18</v>
      </c>
      <c r="E189" t="s">
        <v>69</v>
      </c>
      <c r="F189">
        <v>11224</v>
      </c>
      <c r="G189" t="s">
        <v>43</v>
      </c>
      <c r="H189" t="s">
        <v>21</v>
      </c>
      <c r="I189">
        <v>57467852</v>
      </c>
      <c r="J189">
        <v>35062685</v>
      </c>
      <c r="K189">
        <v>22405167</v>
      </c>
      <c r="L189">
        <v>21489400</v>
      </c>
      <c r="M189">
        <v>12182800</v>
      </c>
      <c r="N189">
        <v>9306600</v>
      </c>
    </row>
    <row r="190" spans="1:14" ht="14.4">
      <c r="A190">
        <v>13365</v>
      </c>
      <c r="B190">
        <v>13366</v>
      </c>
      <c r="C190">
        <v>4085</v>
      </c>
      <c r="D190" t="s">
        <v>18</v>
      </c>
      <c r="E190" t="s">
        <v>69</v>
      </c>
      <c r="F190">
        <v>11224</v>
      </c>
      <c r="G190" t="s">
        <v>20</v>
      </c>
      <c r="H190" t="s">
        <v>21</v>
      </c>
      <c r="I190">
        <v>13675</v>
      </c>
      <c r="J190">
        <v>0</v>
      </c>
      <c r="K190">
        <v>13675</v>
      </c>
      <c r="L190">
        <v>13700</v>
      </c>
      <c r="M190">
        <v>0</v>
      </c>
      <c r="N190">
        <v>13700</v>
      </c>
    </row>
    <row r="191" spans="1:14" ht="14.4">
      <c r="A191">
        <v>13365</v>
      </c>
      <c r="B191">
        <v>13366</v>
      </c>
      <c r="C191">
        <v>4085</v>
      </c>
      <c r="D191" t="s">
        <v>18</v>
      </c>
      <c r="E191" t="s">
        <v>69</v>
      </c>
      <c r="F191">
        <v>11224</v>
      </c>
      <c r="G191" t="s">
        <v>32</v>
      </c>
      <c r="H191" t="s">
        <v>21</v>
      </c>
      <c r="I191">
        <v>433640</v>
      </c>
      <c r="J191">
        <v>209245</v>
      </c>
      <c r="K191">
        <v>224395</v>
      </c>
      <c r="L191">
        <v>147400</v>
      </c>
      <c r="M191">
        <v>44000</v>
      </c>
      <c r="N191">
        <v>103400</v>
      </c>
    </row>
    <row r="192" spans="1:14" ht="14.4">
      <c r="A192">
        <v>13365</v>
      </c>
      <c r="B192">
        <v>13366</v>
      </c>
      <c r="C192">
        <v>4085</v>
      </c>
      <c r="D192" t="s">
        <v>18</v>
      </c>
      <c r="E192" t="s">
        <v>69</v>
      </c>
      <c r="F192">
        <v>11224</v>
      </c>
      <c r="G192" t="s">
        <v>28</v>
      </c>
      <c r="H192" t="s">
        <v>21</v>
      </c>
      <c r="I192">
        <v>132265</v>
      </c>
      <c r="J192">
        <v>63165</v>
      </c>
      <c r="K192">
        <v>69100</v>
      </c>
      <c r="L192">
        <v>0</v>
      </c>
      <c r="M192">
        <v>0</v>
      </c>
      <c r="N192">
        <v>0</v>
      </c>
    </row>
    <row r="193" spans="1:14" ht="14.4">
      <c r="A193">
        <v>13365</v>
      </c>
      <c r="B193">
        <v>13366</v>
      </c>
      <c r="C193">
        <v>4085</v>
      </c>
      <c r="D193" t="s">
        <v>18</v>
      </c>
      <c r="E193" t="s">
        <v>69</v>
      </c>
      <c r="F193">
        <v>11224</v>
      </c>
      <c r="G193" t="s">
        <v>71</v>
      </c>
      <c r="H193" t="s">
        <v>21</v>
      </c>
      <c r="I193">
        <v>97397</v>
      </c>
      <c r="J193">
        <v>60872</v>
      </c>
      <c r="K193">
        <v>36525</v>
      </c>
      <c r="L193">
        <v>0</v>
      </c>
      <c r="M193">
        <v>0</v>
      </c>
      <c r="N193">
        <v>0</v>
      </c>
    </row>
    <row r="194" spans="1:14" ht="14.4">
      <c r="A194">
        <v>13365</v>
      </c>
      <c r="B194">
        <v>13366</v>
      </c>
      <c r="C194">
        <v>4085</v>
      </c>
      <c r="D194" t="s">
        <v>18</v>
      </c>
      <c r="E194" t="s">
        <v>69</v>
      </c>
      <c r="F194">
        <v>11225</v>
      </c>
      <c r="G194" t="s">
        <v>43</v>
      </c>
      <c r="H194" t="s">
        <v>21</v>
      </c>
      <c r="I194">
        <v>100054</v>
      </c>
      <c r="J194">
        <v>69454</v>
      </c>
      <c r="K194">
        <v>30600</v>
      </c>
      <c r="L194">
        <v>15400</v>
      </c>
      <c r="M194">
        <v>0</v>
      </c>
      <c r="N194">
        <v>15400</v>
      </c>
    </row>
    <row r="195" spans="1:14" ht="14.4">
      <c r="A195">
        <v>13365</v>
      </c>
      <c r="B195">
        <v>13366</v>
      </c>
      <c r="C195">
        <v>4085</v>
      </c>
      <c r="D195" t="s">
        <v>18</v>
      </c>
      <c r="E195" t="s">
        <v>69</v>
      </c>
      <c r="F195">
        <v>11226</v>
      </c>
      <c r="G195" t="s">
        <v>43</v>
      </c>
      <c r="H195" t="s">
        <v>21</v>
      </c>
      <c r="I195">
        <v>289212</v>
      </c>
      <c r="J195">
        <v>258887</v>
      </c>
      <c r="K195">
        <v>30325</v>
      </c>
      <c r="L195">
        <v>7000</v>
      </c>
      <c r="M195">
        <v>0</v>
      </c>
      <c r="N195">
        <v>7000</v>
      </c>
    </row>
    <row r="196" spans="1:14" ht="14.4">
      <c r="A196">
        <v>13365</v>
      </c>
      <c r="B196">
        <v>13366</v>
      </c>
      <c r="C196">
        <v>4085</v>
      </c>
      <c r="D196" t="s">
        <v>18</v>
      </c>
      <c r="E196" t="s">
        <v>69</v>
      </c>
      <c r="F196">
        <v>11228</v>
      </c>
      <c r="G196" t="s">
        <v>43</v>
      </c>
      <c r="H196" t="s">
        <v>21</v>
      </c>
      <c r="I196">
        <v>185170</v>
      </c>
      <c r="J196">
        <v>126190</v>
      </c>
      <c r="K196">
        <v>58980</v>
      </c>
      <c r="L196">
        <v>83900</v>
      </c>
      <c r="M196">
        <v>35500</v>
      </c>
      <c r="N196">
        <v>48400</v>
      </c>
    </row>
    <row r="197" spans="1:14" ht="14.4">
      <c r="A197">
        <v>13365</v>
      </c>
      <c r="B197">
        <v>13366</v>
      </c>
      <c r="C197">
        <v>4085</v>
      </c>
      <c r="D197" t="s">
        <v>18</v>
      </c>
      <c r="E197" t="s">
        <v>69</v>
      </c>
      <c r="F197">
        <v>11228</v>
      </c>
      <c r="G197" t="s">
        <v>20</v>
      </c>
      <c r="H197" t="s">
        <v>21</v>
      </c>
      <c r="I197">
        <v>38494</v>
      </c>
      <c r="J197">
        <v>37994</v>
      </c>
      <c r="K197">
        <v>500</v>
      </c>
      <c r="L197">
        <v>0</v>
      </c>
      <c r="M197">
        <v>0</v>
      </c>
      <c r="N197">
        <v>0</v>
      </c>
    </row>
    <row r="198" spans="1:14" ht="14.4">
      <c r="A198">
        <v>13365</v>
      </c>
      <c r="B198">
        <v>13366</v>
      </c>
      <c r="C198">
        <v>4085</v>
      </c>
      <c r="D198" t="s">
        <v>18</v>
      </c>
      <c r="E198" t="s">
        <v>69</v>
      </c>
      <c r="F198">
        <v>11229</v>
      </c>
      <c r="G198" t="s">
        <v>43</v>
      </c>
      <c r="H198" t="s">
        <v>21</v>
      </c>
      <c r="I198">
        <v>55101668</v>
      </c>
      <c r="J198">
        <v>34683951</v>
      </c>
      <c r="K198">
        <v>20417717</v>
      </c>
      <c r="L198">
        <v>25647100</v>
      </c>
      <c r="M198">
        <v>15182772.470000001</v>
      </c>
      <c r="N198">
        <v>10464327.529999999</v>
      </c>
    </row>
    <row r="199" spans="1:14" ht="14.4">
      <c r="A199">
        <v>13365</v>
      </c>
      <c r="B199">
        <v>13366</v>
      </c>
      <c r="C199">
        <v>4085</v>
      </c>
      <c r="D199" t="s">
        <v>18</v>
      </c>
      <c r="E199" t="s">
        <v>69</v>
      </c>
      <c r="F199">
        <v>11229</v>
      </c>
      <c r="G199" t="s">
        <v>32</v>
      </c>
      <c r="H199" t="s">
        <v>21</v>
      </c>
      <c r="I199">
        <v>71904</v>
      </c>
      <c r="J199">
        <v>43254</v>
      </c>
      <c r="K199">
        <v>28650</v>
      </c>
      <c r="L199">
        <v>0</v>
      </c>
      <c r="M199">
        <v>0</v>
      </c>
      <c r="N199">
        <v>0</v>
      </c>
    </row>
    <row r="200" spans="1:14" ht="14.4">
      <c r="A200">
        <v>13365</v>
      </c>
      <c r="B200">
        <v>13366</v>
      </c>
      <c r="C200">
        <v>4085</v>
      </c>
      <c r="D200" t="s">
        <v>18</v>
      </c>
      <c r="E200" t="s">
        <v>69</v>
      </c>
      <c r="F200">
        <v>11230</v>
      </c>
      <c r="G200" t="s">
        <v>43</v>
      </c>
      <c r="H200" t="s">
        <v>21</v>
      </c>
      <c r="I200">
        <v>214993</v>
      </c>
      <c r="J200">
        <v>128336</v>
      </c>
      <c r="K200">
        <v>86657</v>
      </c>
      <c r="L200">
        <v>87600</v>
      </c>
      <c r="M200">
        <v>72800</v>
      </c>
      <c r="N200">
        <v>14800</v>
      </c>
    </row>
    <row r="201" spans="1:14" ht="14.4">
      <c r="A201">
        <v>13365</v>
      </c>
      <c r="B201">
        <v>13366</v>
      </c>
      <c r="C201">
        <v>4085</v>
      </c>
      <c r="D201" t="s">
        <v>18</v>
      </c>
      <c r="E201" t="s">
        <v>69</v>
      </c>
      <c r="F201">
        <v>11231</v>
      </c>
      <c r="G201" t="s">
        <v>43</v>
      </c>
      <c r="H201" t="s">
        <v>21</v>
      </c>
      <c r="I201">
        <v>6121085</v>
      </c>
      <c r="J201">
        <v>3558883</v>
      </c>
      <c r="K201">
        <v>2562202</v>
      </c>
      <c r="L201">
        <v>2641800</v>
      </c>
      <c r="M201">
        <v>1487700</v>
      </c>
      <c r="N201">
        <v>1154100</v>
      </c>
    </row>
    <row r="202" spans="1:14" ht="14.4">
      <c r="A202">
        <v>13365</v>
      </c>
      <c r="B202">
        <v>13366</v>
      </c>
      <c r="C202">
        <v>4085</v>
      </c>
      <c r="D202" t="s">
        <v>18</v>
      </c>
      <c r="E202" t="s">
        <v>69</v>
      </c>
      <c r="F202">
        <v>11231</v>
      </c>
      <c r="G202" t="s">
        <v>32</v>
      </c>
      <c r="H202" t="s">
        <v>21</v>
      </c>
      <c r="I202">
        <v>145260</v>
      </c>
      <c r="J202">
        <v>31020</v>
      </c>
      <c r="K202">
        <v>114240</v>
      </c>
      <c r="L202">
        <v>78000</v>
      </c>
      <c r="M202">
        <v>22600</v>
      </c>
      <c r="N202">
        <v>55400</v>
      </c>
    </row>
    <row r="203" spans="1:14" ht="14.4">
      <c r="A203">
        <v>13365</v>
      </c>
      <c r="B203">
        <v>13366</v>
      </c>
      <c r="C203">
        <v>4085</v>
      </c>
      <c r="D203" t="s">
        <v>18</v>
      </c>
      <c r="E203" t="s">
        <v>69</v>
      </c>
      <c r="F203">
        <v>11232</v>
      </c>
      <c r="G203" t="s">
        <v>43</v>
      </c>
      <c r="H203" t="s">
        <v>21</v>
      </c>
      <c r="I203">
        <v>91708</v>
      </c>
      <c r="J203">
        <v>48808</v>
      </c>
      <c r="K203">
        <v>42900</v>
      </c>
      <c r="L203">
        <v>52900</v>
      </c>
      <c r="M203">
        <v>43300</v>
      </c>
      <c r="N203">
        <v>9600</v>
      </c>
    </row>
    <row r="204" spans="1:14" ht="14.4">
      <c r="A204">
        <v>13365</v>
      </c>
      <c r="B204">
        <v>13366</v>
      </c>
      <c r="C204">
        <v>4085</v>
      </c>
      <c r="D204" t="s">
        <v>18</v>
      </c>
      <c r="E204" t="s">
        <v>69</v>
      </c>
      <c r="F204">
        <v>11233</v>
      </c>
      <c r="G204" t="s">
        <v>43</v>
      </c>
      <c r="H204" t="s">
        <v>21</v>
      </c>
      <c r="I204">
        <v>90981</v>
      </c>
      <c r="J204">
        <v>68981</v>
      </c>
      <c r="K204">
        <v>22000</v>
      </c>
      <c r="L204">
        <v>70200</v>
      </c>
      <c r="M204">
        <v>57200</v>
      </c>
      <c r="N204">
        <v>13000</v>
      </c>
    </row>
    <row r="205" spans="1:14" ht="14.4">
      <c r="A205">
        <v>13365</v>
      </c>
      <c r="B205">
        <v>13366</v>
      </c>
      <c r="C205">
        <v>4085</v>
      </c>
      <c r="D205" t="s">
        <v>18</v>
      </c>
      <c r="E205" t="s">
        <v>69</v>
      </c>
      <c r="F205">
        <v>11234</v>
      </c>
      <c r="G205" t="s">
        <v>43</v>
      </c>
      <c r="H205" t="s">
        <v>21</v>
      </c>
      <c r="I205">
        <v>26999723</v>
      </c>
      <c r="J205">
        <v>17412013</v>
      </c>
      <c r="K205">
        <v>9587710</v>
      </c>
      <c r="L205">
        <v>12599900</v>
      </c>
      <c r="M205">
        <v>8096600</v>
      </c>
      <c r="N205">
        <v>4503300</v>
      </c>
    </row>
    <row r="206" spans="1:14" ht="14.4">
      <c r="A206">
        <v>13365</v>
      </c>
      <c r="B206">
        <v>13366</v>
      </c>
      <c r="C206">
        <v>4085</v>
      </c>
      <c r="D206" t="s">
        <v>18</v>
      </c>
      <c r="E206" t="s">
        <v>69</v>
      </c>
      <c r="F206">
        <v>11234</v>
      </c>
      <c r="G206" t="s">
        <v>32</v>
      </c>
      <c r="H206" t="s">
        <v>21</v>
      </c>
      <c r="I206">
        <v>37315</v>
      </c>
      <c r="J206">
        <v>0</v>
      </c>
      <c r="K206">
        <v>37315</v>
      </c>
      <c r="L206">
        <v>15700</v>
      </c>
      <c r="M206">
        <v>0</v>
      </c>
      <c r="N206">
        <v>15700</v>
      </c>
    </row>
    <row r="207" spans="1:14" ht="14.4">
      <c r="A207">
        <v>13365</v>
      </c>
      <c r="B207">
        <v>13366</v>
      </c>
      <c r="C207">
        <v>4085</v>
      </c>
      <c r="D207" t="s">
        <v>18</v>
      </c>
      <c r="E207" t="s">
        <v>69</v>
      </c>
      <c r="F207">
        <v>11234</v>
      </c>
      <c r="G207" t="s">
        <v>28</v>
      </c>
      <c r="H207" t="s">
        <v>21</v>
      </c>
      <c r="I207">
        <v>6950</v>
      </c>
      <c r="J207">
        <v>0</v>
      </c>
      <c r="K207">
        <v>6950</v>
      </c>
      <c r="L207">
        <v>7000</v>
      </c>
      <c r="M207">
        <v>0</v>
      </c>
      <c r="N207">
        <v>7000</v>
      </c>
    </row>
    <row r="208" spans="1:14" ht="14.4">
      <c r="A208">
        <v>13365</v>
      </c>
      <c r="B208">
        <v>13366</v>
      </c>
      <c r="C208">
        <v>4085</v>
      </c>
      <c r="D208" t="s">
        <v>18</v>
      </c>
      <c r="E208" t="s">
        <v>69</v>
      </c>
      <c r="F208">
        <v>11235</v>
      </c>
      <c r="G208" t="s">
        <v>43</v>
      </c>
      <c r="H208" t="s">
        <v>21</v>
      </c>
      <c r="I208">
        <v>92271573</v>
      </c>
      <c r="J208">
        <v>55429489</v>
      </c>
      <c r="K208">
        <v>36842084</v>
      </c>
      <c r="L208">
        <v>33439400</v>
      </c>
      <c r="M208">
        <v>19944100</v>
      </c>
      <c r="N208">
        <v>13495300</v>
      </c>
    </row>
    <row r="209" spans="1:14" ht="14.4">
      <c r="A209">
        <v>13365</v>
      </c>
      <c r="B209">
        <v>13366</v>
      </c>
      <c r="C209">
        <v>4085</v>
      </c>
      <c r="D209" t="s">
        <v>18</v>
      </c>
      <c r="E209" t="s">
        <v>69</v>
      </c>
      <c r="F209">
        <v>11235</v>
      </c>
      <c r="G209" t="s">
        <v>32</v>
      </c>
      <c r="H209" t="s">
        <v>21</v>
      </c>
      <c r="I209">
        <v>732092</v>
      </c>
      <c r="J209">
        <v>393100</v>
      </c>
      <c r="K209">
        <v>338992</v>
      </c>
      <c r="L209">
        <v>31500</v>
      </c>
      <c r="M209">
        <v>0</v>
      </c>
      <c r="N209">
        <v>31500</v>
      </c>
    </row>
    <row r="210" spans="1:14" ht="14.4">
      <c r="A210">
        <v>13365</v>
      </c>
      <c r="B210">
        <v>13366</v>
      </c>
      <c r="C210">
        <v>4085</v>
      </c>
      <c r="D210" t="s">
        <v>18</v>
      </c>
      <c r="E210" t="s">
        <v>69</v>
      </c>
      <c r="F210">
        <v>11235</v>
      </c>
      <c r="G210" t="s">
        <v>28</v>
      </c>
      <c r="H210" t="s">
        <v>21</v>
      </c>
      <c r="I210">
        <v>25000</v>
      </c>
      <c r="J210">
        <v>0</v>
      </c>
      <c r="K210">
        <v>25000</v>
      </c>
      <c r="L210">
        <v>0</v>
      </c>
      <c r="M210">
        <v>0</v>
      </c>
      <c r="N210">
        <v>0</v>
      </c>
    </row>
    <row r="211" spans="1:14" ht="14.4">
      <c r="A211">
        <v>13365</v>
      </c>
      <c r="B211">
        <v>13366</v>
      </c>
      <c r="C211">
        <v>4085</v>
      </c>
      <c r="D211" t="s">
        <v>18</v>
      </c>
      <c r="E211" t="s">
        <v>69</v>
      </c>
      <c r="F211">
        <v>11235</v>
      </c>
      <c r="G211" t="s">
        <v>71</v>
      </c>
      <c r="H211" t="s">
        <v>21</v>
      </c>
      <c r="I211">
        <v>8650</v>
      </c>
      <c r="J211">
        <v>0</v>
      </c>
      <c r="K211">
        <v>8650</v>
      </c>
      <c r="L211">
        <v>8700</v>
      </c>
      <c r="M211">
        <v>0</v>
      </c>
      <c r="N211">
        <v>8700</v>
      </c>
    </row>
    <row r="212" spans="1:14" ht="14.4">
      <c r="A212">
        <v>13365</v>
      </c>
      <c r="B212">
        <v>13366</v>
      </c>
      <c r="C212">
        <v>4085</v>
      </c>
      <c r="D212" t="s">
        <v>18</v>
      </c>
      <c r="E212" t="s">
        <v>69</v>
      </c>
      <c r="F212">
        <v>11236</v>
      </c>
      <c r="G212" t="s">
        <v>43</v>
      </c>
      <c r="H212" t="s">
        <v>21</v>
      </c>
      <c r="I212">
        <v>66683432</v>
      </c>
      <c r="J212">
        <v>40019910</v>
      </c>
      <c r="K212">
        <v>26663522</v>
      </c>
      <c r="L212">
        <v>25656500</v>
      </c>
      <c r="M212">
        <v>14757900</v>
      </c>
      <c r="N212">
        <v>10898600</v>
      </c>
    </row>
    <row r="213" spans="1:14" ht="14.4">
      <c r="A213">
        <v>13365</v>
      </c>
      <c r="B213">
        <v>13366</v>
      </c>
      <c r="C213">
        <v>4085</v>
      </c>
      <c r="D213" t="s">
        <v>18</v>
      </c>
      <c r="E213" t="s">
        <v>69</v>
      </c>
      <c r="F213">
        <v>11236</v>
      </c>
      <c r="G213" t="s">
        <v>32</v>
      </c>
      <c r="H213" t="s">
        <v>21</v>
      </c>
      <c r="I213">
        <v>690024</v>
      </c>
      <c r="J213">
        <v>373727</v>
      </c>
      <c r="K213">
        <v>316297</v>
      </c>
      <c r="L213">
        <v>213600</v>
      </c>
      <c r="M213">
        <v>114800</v>
      </c>
      <c r="N213">
        <v>98800</v>
      </c>
    </row>
    <row r="214" spans="1:14" ht="14.4">
      <c r="A214">
        <v>13365</v>
      </c>
      <c r="B214">
        <v>13366</v>
      </c>
      <c r="C214">
        <v>4085</v>
      </c>
      <c r="D214" t="s">
        <v>18</v>
      </c>
      <c r="E214" t="s">
        <v>69</v>
      </c>
      <c r="F214">
        <v>11249</v>
      </c>
      <c r="G214" t="s">
        <v>43</v>
      </c>
      <c r="H214" t="s">
        <v>21</v>
      </c>
      <c r="I214">
        <v>7575</v>
      </c>
      <c r="J214">
        <v>0</v>
      </c>
      <c r="K214">
        <v>7575</v>
      </c>
      <c r="L214">
        <v>1800</v>
      </c>
      <c r="M214">
        <v>0</v>
      </c>
      <c r="N214">
        <v>1800</v>
      </c>
    </row>
    <row r="215" spans="1:14" ht="14.4">
      <c r="A215">
        <v>13365</v>
      </c>
      <c r="B215">
        <v>13366</v>
      </c>
      <c r="C215">
        <v>4085</v>
      </c>
      <c r="D215" t="s">
        <v>18</v>
      </c>
      <c r="E215" t="s">
        <v>69</v>
      </c>
      <c r="F215">
        <v>11326</v>
      </c>
      <c r="G215" t="s">
        <v>43</v>
      </c>
      <c r="H215" t="s">
        <v>21</v>
      </c>
      <c r="I215">
        <v>22375</v>
      </c>
      <c r="J215">
        <v>0</v>
      </c>
      <c r="K215">
        <v>22375</v>
      </c>
      <c r="L215">
        <v>0</v>
      </c>
      <c r="M215">
        <v>0</v>
      </c>
      <c r="N215">
        <v>0</v>
      </c>
    </row>
    <row r="216" spans="1:14" ht="14.4">
      <c r="A216">
        <v>13365</v>
      </c>
      <c r="B216">
        <v>13366</v>
      </c>
      <c r="C216">
        <v>4085</v>
      </c>
      <c r="D216" t="s">
        <v>18</v>
      </c>
      <c r="E216" t="s">
        <v>69</v>
      </c>
      <c r="F216">
        <v>11352</v>
      </c>
      <c r="G216" t="s">
        <v>43</v>
      </c>
      <c r="H216" t="s">
        <v>21</v>
      </c>
      <c r="I216">
        <v>9125</v>
      </c>
      <c r="J216">
        <v>0</v>
      </c>
      <c r="K216">
        <v>9125</v>
      </c>
      <c r="L216">
        <v>6200</v>
      </c>
      <c r="M216">
        <v>0</v>
      </c>
      <c r="N216">
        <v>6200</v>
      </c>
    </row>
    <row r="217" spans="1:14" ht="14.4">
      <c r="A217">
        <v>13365</v>
      </c>
      <c r="B217">
        <v>13366</v>
      </c>
      <c r="C217">
        <v>4085</v>
      </c>
      <c r="D217" t="s">
        <v>18</v>
      </c>
      <c r="E217" t="s">
        <v>69</v>
      </c>
      <c r="F217">
        <v>11572</v>
      </c>
      <c r="G217" t="s">
        <v>43</v>
      </c>
      <c r="H217" t="s">
        <v>21</v>
      </c>
      <c r="I217">
        <v>121132</v>
      </c>
      <c r="J217">
        <v>80732</v>
      </c>
      <c r="K217">
        <v>40400</v>
      </c>
      <c r="L217">
        <v>120700</v>
      </c>
      <c r="M217">
        <v>80700</v>
      </c>
      <c r="N217">
        <v>40000</v>
      </c>
    </row>
    <row r="218" spans="1:14" ht="14.4">
      <c r="A218">
        <v>13365</v>
      </c>
      <c r="B218">
        <v>13366</v>
      </c>
      <c r="C218">
        <v>4085</v>
      </c>
      <c r="D218" t="s">
        <v>18</v>
      </c>
      <c r="E218" t="s">
        <v>69</v>
      </c>
      <c r="F218">
        <v>11692</v>
      </c>
      <c r="G218" t="s">
        <v>20</v>
      </c>
      <c r="H218" t="s">
        <v>21</v>
      </c>
      <c r="I218">
        <v>19975</v>
      </c>
      <c r="J218">
        <v>0</v>
      </c>
      <c r="K218">
        <v>19975</v>
      </c>
      <c r="L218">
        <v>0</v>
      </c>
      <c r="M218">
        <v>0</v>
      </c>
      <c r="N218">
        <v>0</v>
      </c>
    </row>
    <row r="219" spans="1:14" ht="14.4">
      <c r="A219">
        <v>13365</v>
      </c>
      <c r="B219">
        <v>13366</v>
      </c>
      <c r="C219">
        <v>4085</v>
      </c>
      <c r="D219" t="s">
        <v>18</v>
      </c>
      <c r="E219" t="s">
        <v>69</v>
      </c>
      <c r="F219">
        <v>11694</v>
      </c>
      <c r="G219" t="s">
        <v>28</v>
      </c>
      <c r="H219" t="s">
        <v>21</v>
      </c>
      <c r="I219">
        <v>29900</v>
      </c>
      <c r="J219">
        <v>0</v>
      </c>
      <c r="K219">
        <v>29900</v>
      </c>
      <c r="L219">
        <v>0</v>
      </c>
      <c r="M219">
        <v>0</v>
      </c>
      <c r="N219">
        <v>0</v>
      </c>
    </row>
    <row r="220" spans="1:14" ht="14.4">
      <c r="A220">
        <v>13365</v>
      </c>
      <c r="B220">
        <v>13366</v>
      </c>
      <c r="C220">
        <v>4085</v>
      </c>
      <c r="D220" t="s">
        <v>18</v>
      </c>
      <c r="E220" t="s">
        <v>69</v>
      </c>
      <c r="F220">
        <v>11697</v>
      </c>
      <c r="G220" t="s">
        <v>28</v>
      </c>
      <c r="H220" t="s">
        <v>21</v>
      </c>
      <c r="I220">
        <v>359484</v>
      </c>
      <c r="J220">
        <v>303784</v>
      </c>
      <c r="K220">
        <v>55700</v>
      </c>
      <c r="L220">
        <v>0</v>
      </c>
      <c r="M220">
        <v>0</v>
      </c>
      <c r="N220">
        <v>0</v>
      </c>
    </row>
    <row r="221" spans="1:14" ht="14.4">
      <c r="A221">
        <v>13365</v>
      </c>
      <c r="B221">
        <v>13366</v>
      </c>
      <c r="C221">
        <v>4085</v>
      </c>
      <c r="D221" t="s">
        <v>18</v>
      </c>
      <c r="E221" t="s">
        <v>69</v>
      </c>
      <c r="F221">
        <v>12231</v>
      </c>
      <c r="G221" t="s">
        <v>43</v>
      </c>
      <c r="H221" t="s">
        <v>21</v>
      </c>
      <c r="I221">
        <v>22800</v>
      </c>
      <c r="J221">
        <v>0</v>
      </c>
      <c r="K221">
        <v>22800</v>
      </c>
      <c r="L221">
        <v>22800</v>
      </c>
      <c r="M221">
        <v>0</v>
      </c>
      <c r="N221">
        <v>22800</v>
      </c>
    </row>
    <row r="222" spans="1:14" ht="14.4">
      <c r="A222">
        <v>13365</v>
      </c>
      <c r="B222">
        <v>13366</v>
      </c>
      <c r="C222">
        <v>4085</v>
      </c>
      <c r="D222" t="s">
        <v>18</v>
      </c>
      <c r="E222" t="s">
        <v>1162</v>
      </c>
      <c r="F222">
        <v>11236</v>
      </c>
      <c r="G222" t="s">
        <v>43</v>
      </c>
      <c r="H222" t="s">
        <v>21</v>
      </c>
      <c r="I222">
        <v>39731</v>
      </c>
      <c r="J222">
        <v>26991</v>
      </c>
      <c r="K222">
        <v>12740</v>
      </c>
      <c r="L222">
        <v>29800</v>
      </c>
      <c r="M222">
        <v>17100</v>
      </c>
      <c r="N222">
        <v>12700</v>
      </c>
    </row>
    <row r="223" spans="1:14" ht="14.4">
      <c r="A223">
        <v>13365</v>
      </c>
      <c r="B223">
        <v>13366</v>
      </c>
      <c r="C223">
        <v>4085</v>
      </c>
      <c r="D223" t="s">
        <v>18</v>
      </c>
      <c r="E223" t="s">
        <v>1163</v>
      </c>
      <c r="F223">
        <v>11224</v>
      </c>
      <c r="G223" t="s">
        <v>43</v>
      </c>
      <c r="H223" t="s">
        <v>21</v>
      </c>
      <c r="I223">
        <v>54650</v>
      </c>
      <c r="J223">
        <v>0</v>
      </c>
      <c r="K223">
        <v>54650</v>
      </c>
      <c r="L223">
        <v>27700</v>
      </c>
      <c r="M223">
        <v>0</v>
      </c>
      <c r="N223">
        <v>27700</v>
      </c>
    </row>
    <row r="224" spans="1:14" ht="14.4">
      <c r="A224">
        <v>13365</v>
      </c>
      <c r="B224">
        <v>13366</v>
      </c>
      <c r="C224">
        <v>4085</v>
      </c>
      <c r="D224" t="s">
        <v>18</v>
      </c>
      <c r="E224" t="s">
        <v>1164</v>
      </c>
      <c r="F224">
        <v>11545</v>
      </c>
      <c r="G224" t="s">
        <v>20</v>
      </c>
      <c r="H224" t="s">
        <v>21</v>
      </c>
      <c r="I224">
        <v>576936</v>
      </c>
      <c r="J224">
        <v>558146</v>
      </c>
      <c r="K224">
        <v>18790</v>
      </c>
      <c r="L224">
        <v>46300</v>
      </c>
      <c r="M224">
        <v>46300</v>
      </c>
      <c r="N224">
        <v>0</v>
      </c>
    </row>
    <row r="225" spans="1:14" ht="14.4">
      <c r="A225">
        <v>13365</v>
      </c>
      <c r="B225">
        <v>13366</v>
      </c>
      <c r="C225">
        <v>4085</v>
      </c>
      <c r="D225" t="s">
        <v>18</v>
      </c>
      <c r="E225" t="s">
        <v>72</v>
      </c>
      <c r="F225">
        <v>11235</v>
      </c>
      <c r="G225" t="s">
        <v>43</v>
      </c>
      <c r="H225" t="s">
        <v>21</v>
      </c>
      <c r="I225">
        <v>52787</v>
      </c>
      <c r="J225">
        <v>38732</v>
      </c>
      <c r="K225">
        <v>14055</v>
      </c>
      <c r="L225">
        <v>36900</v>
      </c>
      <c r="M225">
        <v>26600</v>
      </c>
      <c r="N225">
        <v>10300</v>
      </c>
    </row>
    <row r="226" spans="1:14" ht="14.4">
      <c r="A226">
        <v>13365</v>
      </c>
      <c r="B226">
        <v>13366</v>
      </c>
      <c r="C226">
        <v>4085</v>
      </c>
      <c r="D226" t="s">
        <v>18</v>
      </c>
      <c r="E226" t="s">
        <v>1165</v>
      </c>
      <c r="F226">
        <v>11235</v>
      </c>
      <c r="G226" t="s">
        <v>43</v>
      </c>
      <c r="H226" t="s">
        <v>21</v>
      </c>
      <c r="I226">
        <v>135678</v>
      </c>
      <c r="J226">
        <v>81178</v>
      </c>
      <c r="K226">
        <v>54500</v>
      </c>
      <c r="L226">
        <v>0</v>
      </c>
      <c r="M226">
        <v>0</v>
      </c>
      <c r="N226">
        <v>0</v>
      </c>
    </row>
    <row r="227" spans="1:14" ht="14.4">
      <c r="A227">
        <v>13365</v>
      </c>
      <c r="B227">
        <v>13366</v>
      </c>
      <c r="C227">
        <v>4085</v>
      </c>
      <c r="D227" t="s">
        <v>18</v>
      </c>
      <c r="E227" t="s">
        <v>1166</v>
      </c>
      <c r="F227">
        <v>11236</v>
      </c>
      <c r="G227" t="s">
        <v>43</v>
      </c>
      <c r="H227" t="s">
        <v>21</v>
      </c>
      <c r="I227">
        <v>14325</v>
      </c>
      <c r="J227">
        <v>0</v>
      </c>
      <c r="K227">
        <v>14325</v>
      </c>
      <c r="L227">
        <v>0</v>
      </c>
      <c r="M227">
        <v>0</v>
      </c>
      <c r="N227">
        <v>0</v>
      </c>
    </row>
    <row r="228" spans="1:14" ht="14.4">
      <c r="A228">
        <v>13365</v>
      </c>
      <c r="B228">
        <v>13366</v>
      </c>
      <c r="C228">
        <v>4085</v>
      </c>
      <c r="D228" t="s">
        <v>18</v>
      </c>
      <c r="E228" t="s">
        <v>1167</v>
      </c>
      <c r="F228">
        <v>11229</v>
      </c>
      <c r="G228" t="s">
        <v>43</v>
      </c>
      <c r="H228" t="s">
        <v>21</v>
      </c>
      <c r="I228">
        <v>97424</v>
      </c>
      <c r="J228">
        <v>68374</v>
      </c>
      <c r="K228">
        <v>29050</v>
      </c>
      <c r="L228">
        <v>66400</v>
      </c>
      <c r="M228">
        <v>40400</v>
      </c>
      <c r="N228">
        <v>26000</v>
      </c>
    </row>
    <row r="229" spans="1:14" ht="14.4">
      <c r="A229">
        <v>13365</v>
      </c>
      <c r="B229">
        <v>13366</v>
      </c>
      <c r="C229">
        <v>4085</v>
      </c>
      <c r="D229" t="s">
        <v>18</v>
      </c>
      <c r="E229" t="s">
        <v>1168</v>
      </c>
      <c r="F229">
        <v>11224</v>
      </c>
      <c r="G229" t="s">
        <v>43</v>
      </c>
      <c r="H229" t="s">
        <v>21</v>
      </c>
      <c r="I229">
        <v>27395</v>
      </c>
      <c r="J229">
        <v>13820</v>
      </c>
      <c r="K229">
        <v>13575</v>
      </c>
      <c r="L229">
        <v>0</v>
      </c>
      <c r="M229">
        <v>0</v>
      </c>
      <c r="N229">
        <v>0</v>
      </c>
    </row>
    <row r="230" spans="1:14" ht="14.4">
      <c r="A230">
        <v>13365</v>
      </c>
      <c r="B230">
        <v>13366</v>
      </c>
      <c r="C230">
        <v>4085</v>
      </c>
      <c r="D230" t="s">
        <v>18</v>
      </c>
      <c r="E230" t="s">
        <v>1169</v>
      </c>
      <c r="F230">
        <v>10511</v>
      </c>
      <c r="G230" t="s">
        <v>64</v>
      </c>
      <c r="H230" t="s">
        <v>21</v>
      </c>
      <c r="I230">
        <v>17206</v>
      </c>
      <c r="J230">
        <v>5406</v>
      </c>
      <c r="K230">
        <v>11800</v>
      </c>
      <c r="L230">
        <v>17300</v>
      </c>
      <c r="M230">
        <v>5500</v>
      </c>
      <c r="N230">
        <v>11800</v>
      </c>
    </row>
    <row r="231" spans="1:14" ht="14.4">
      <c r="A231">
        <v>13365</v>
      </c>
      <c r="B231">
        <v>13366</v>
      </c>
      <c r="C231">
        <v>4085</v>
      </c>
      <c r="D231" t="s">
        <v>18</v>
      </c>
      <c r="E231" t="s">
        <v>1170</v>
      </c>
      <c r="F231">
        <v>11933</v>
      </c>
      <c r="G231" t="s">
        <v>23</v>
      </c>
      <c r="H231" t="s">
        <v>21</v>
      </c>
      <c r="I231">
        <v>89877</v>
      </c>
      <c r="J231">
        <v>89877</v>
      </c>
      <c r="K231">
        <v>0</v>
      </c>
      <c r="L231">
        <v>83400</v>
      </c>
      <c r="M231">
        <v>83400</v>
      </c>
      <c r="N231">
        <v>0</v>
      </c>
    </row>
    <row r="232" spans="1:14" ht="14.4">
      <c r="A232">
        <v>13365</v>
      </c>
      <c r="B232">
        <v>13366</v>
      </c>
      <c r="C232">
        <v>4085</v>
      </c>
      <c r="D232" t="s">
        <v>18</v>
      </c>
      <c r="E232" t="s">
        <v>73</v>
      </c>
      <c r="F232">
        <v>11411</v>
      </c>
      <c r="G232" t="s">
        <v>28</v>
      </c>
      <c r="H232" t="s">
        <v>21</v>
      </c>
      <c r="I232">
        <v>234544</v>
      </c>
      <c r="J232">
        <v>205544</v>
      </c>
      <c r="K232">
        <v>29000</v>
      </c>
      <c r="L232">
        <v>80200</v>
      </c>
      <c r="M232">
        <v>74700</v>
      </c>
      <c r="N232">
        <v>5500</v>
      </c>
    </row>
    <row r="233" spans="1:14" ht="14.4">
      <c r="A233">
        <v>13365</v>
      </c>
      <c r="B233">
        <v>13366</v>
      </c>
      <c r="C233">
        <v>4085</v>
      </c>
      <c r="D233" t="s">
        <v>18</v>
      </c>
      <c r="E233" t="s">
        <v>1171</v>
      </c>
      <c r="F233">
        <v>10916</v>
      </c>
      <c r="G233" t="s">
        <v>51</v>
      </c>
      <c r="H233" t="s">
        <v>21</v>
      </c>
      <c r="I233">
        <v>46193</v>
      </c>
      <c r="J233">
        <v>33013</v>
      </c>
      <c r="K233">
        <v>13180</v>
      </c>
      <c r="L233">
        <v>42500</v>
      </c>
      <c r="M233">
        <v>29400</v>
      </c>
      <c r="N233">
        <v>13100</v>
      </c>
    </row>
    <row r="234" spans="1:14" ht="14.4">
      <c r="A234">
        <v>13365</v>
      </c>
      <c r="B234">
        <v>13366</v>
      </c>
      <c r="C234">
        <v>4085</v>
      </c>
      <c r="D234" t="s">
        <v>18</v>
      </c>
      <c r="E234" t="s">
        <v>1172</v>
      </c>
      <c r="F234">
        <v>11702</v>
      </c>
      <c r="G234" t="s">
        <v>23</v>
      </c>
      <c r="H234" t="s">
        <v>21</v>
      </c>
      <c r="I234">
        <v>343290</v>
      </c>
      <c r="J234">
        <v>277515</v>
      </c>
      <c r="K234">
        <v>65775</v>
      </c>
      <c r="L234">
        <v>21300</v>
      </c>
      <c r="M234">
        <v>3900</v>
      </c>
      <c r="N234">
        <v>17400</v>
      </c>
    </row>
    <row r="235" spans="1:14" ht="14.4">
      <c r="A235">
        <v>13365</v>
      </c>
      <c r="B235">
        <v>13366</v>
      </c>
      <c r="C235">
        <v>4085</v>
      </c>
      <c r="D235" t="s">
        <v>18</v>
      </c>
      <c r="E235" t="s">
        <v>74</v>
      </c>
      <c r="F235">
        <v>11514</v>
      </c>
      <c r="G235" t="s">
        <v>20</v>
      </c>
      <c r="H235" t="s">
        <v>21</v>
      </c>
      <c r="I235">
        <v>7867</v>
      </c>
      <c r="J235">
        <v>7617</v>
      </c>
      <c r="K235">
        <v>250</v>
      </c>
      <c r="L235">
        <v>2600</v>
      </c>
      <c r="M235">
        <v>2600</v>
      </c>
      <c r="N235">
        <v>0</v>
      </c>
    </row>
    <row r="236" spans="1:14" ht="14.4">
      <c r="A236">
        <v>13365</v>
      </c>
      <c r="B236">
        <v>13366</v>
      </c>
      <c r="C236">
        <v>4085</v>
      </c>
      <c r="D236" t="s">
        <v>18</v>
      </c>
      <c r="E236" t="s">
        <v>1173</v>
      </c>
      <c r="F236">
        <v>10512</v>
      </c>
      <c r="G236" t="s">
        <v>58</v>
      </c>
      <c r="H236" t="s">
        <v>21</v>
      </c>
      <c r="I236">
        <v>46631</v>
      </c>
      <c r="J236">
        <v>39106</v>
      </c>
      <c r="K236">
        <v>7525</v>
      </c>
      <c r="L236">
        <v>37300</v>
      </c>
      <c r="M236">
        <v>36300</v>
      </c>
      <c r="N236">
        <v>1000</v>
      </c>
    </row>
    <row r="237" spans="1:14" ht="14.4">
      <c r="A237">
        <v>13365</v>
      </c>
      <c r="B237">
        <v>13366</v>
      </c>
      <c r="C237">
        <v>4085</v>
      </c>
      <c r="D237" t="s">
        <v>18</v>
      </c>
      <c r="E237" t="s">
        <v>77</v>
      </c>
      <c r="F237">
        <v>11516</v>
      </c>
      <c r="G237" t="s">
        <v>20</v>
      </c>
      <c r="H237" t="s">
        <v>21</v>
      </c>
      <c r="I237">
        <v>21029293</v>
      </c>
      <c r="J237">
        <v>13611035</v>
      </c>
      <c r="K237">
        <v>7418258</v>
      </c>
      <c r="L237">
        <v>8027800</v>
      </c>
      <c r="M237">
        <v>5292600</v>
      </c>
      <c r="N237">
        <v>2735200</v>
      </c>
    </row>
    <row r="238" spans="1:14" ht="14.4">
      <c r="A238">
        <v>13365</v>
      </c>
      <c r="B238">
        <v>13366</v>
      </c>
      <c r="C238">
        <v>4085</v>
      </c>
      <c r="D238" t="s">
        <v>18</v>
      </c>
      <c r="E238" t="s">
        <v>77</v>
      </c>
      <c r="F238">
        <v>11561</v>
      </c>
      <c r="G238" t="s">
        <v>20</v>
      </c>
      <c r="H238" t="s">
        <v>21</v>
      </c>
      <c r="I238">
        <v>50500</v>
      </c>
      <c r="J238">
        <v>38000</v>
      </c>
      <c r="K238">
        <v>12500</v>
      </c>
      <c r="L238">
        <v>0</v>
      </c>
      <c r="M238">
        <v>0</v>
      </c>
      <c r="N238">
        <v>0</v>
      </c>
    </row>
    <row r="239" spans="1:14" ht="14.4">
      <c r="A239">
        <v>13365</v>
      </c>
      <c r="B239">
        <v>13366</v>
      </c>
      <c r="C239">
        <v>4085</v>
      </c>
      <c r="D239" t="s">
        <v>18</v>
      </c>
      <c r="E239" t="s">
        <v>78</v>
      </c>
      <c r="F239">
        <v>11934</v>
      </c>
      <c r="G239" t="s">
        <v>23</v>
      </c>
      <c r="H239" t="s">
        <v>21</v>
      </c>
      <c r="I239">
        <v>3003274</v>
      </c>
      <c r="J239">
        <v>2353739</v>
      </c>
      <c r="K239">
        <v>649535</v>
      </c>
      <c r="L239">
        <v>1311700</v>
      </c>
      <c r="M239">
        <v>1013800</v>
      </c>
      <c r="N239">
        <v>297900</v>
      </c>
    </row>
    <row r="240" spans="1:14" ht="14.4">
      <c r="A240">
        <v>13365</v>
      </c>
      <c r="B240">
        <v>13366</v>
      </c>
      <c r="C240">
        <v>4085</v>
      </c>
      <c r="D240" t="s">
        <v>18</v>
      </c>
      <c r="E240" t="s">
        <v>79</v>
      </c>
      <c r="F240">
        <v>11720</v>
      </c>
      <c r="G240" t="s">
        <v>23</v>
      </c>
      <c r="H240" t="s">
        <v>21</v>
      </c>
      <c r="I240">
        <v>277245</v>
      </c>
      <c r="J240">
        <v>267045</v>
      </c>
      <c r="K240">
        <v>10200</v>
      </c>
      <c r="L240">
        <v>37100</v>
      </c>
      <c r="M240">
        <v>37000</v>
      </c>
      <c r="N240">
        <v>100</v>
      </c>
    </row>
    <row r="241" spans="1:14" ht="14.4">
      <c r="A241">
        <v>13365</v>
      </c>
      <c r="B241">
        <v>13366</v>
      </c>
      <c r="C241">
        <v>4085</v>
      </c>
      <c r="D241" t="s">
        <v>18</v>
      </c>
      <c r="E241" t="s">
        <v>80</v>
      </c>
      <c r="F241">
        <v>11721</v>
      </c>
      <c r="G241" t="s">
        <v>23</v>
      </c>
      <c r="H241" t="s">
        <v>21</v>
      </c>
      <c r="I241">
        <v>271434</v>
      </c>
      <c r="J241">
        <v>252059</v>
      </c>
      <c r="K241">
        <v>19375</v>
      </c>
      <c r="L241">
        <v>57500</v>
      </c>
      <c r="M241">
        <v>38100</v>
      </c>
      <c r="N241">
        <v>19400</v>
      </c>
    </row>
    <row r="242" spans="1:14" ht="14.4">
      <c r="A242">
        <v>13365</v>
      </c>
      <c r="B242">
        <v>13366</v>
      </c>
      <c r="C242">
        <v>4085</v>
      </c>
      <c r="D242" t="s">
        <v>18</v>
      </c>
      <c r="E242" t="s">
        <v>81</v>
      </c>
      <c r="F242">
        <v>11722</v>
      </c>
      <c r="G242" t="s">
        <v>23</v>
      </c>
      <c r="H242" t="s">
        <v>21</v>
      </c>
      <c r="I242">
        <v>353340</v>
      </c>
      <c r="J242">
        <v>284145</v>
      </c>
      <c r="K242">
        <v>69195</v>
      </c>
      <c r="L242">
        <v>178600</v>
      </c>
      <c r="M242">
        <v>143700</v>
      </c>
      <c r="N242">
        <v>34900</v>
      </c>
    </row>
    <row r="243" spans="1:14" ht="14.4">
      <c r="A243">
        <v>13365</v>
      </c>
      <c r="B243">
        <v>13366</v>
      </c>
      <c r="C243">
        <v>4085</v>
      </c>
      <c r="D243" t="s">
        <v>18</v>
      </c>
      <c r="E243" t="s">
        <v>82</v>
      </c>
      <c r="F243">
        <v>10514</v>
      </c>
      <c r="G243" t="s">
        <v>64</v>
      </c>
      <c r="H243" t="s">
        <v>21</v>
      </c>
      <c r="I243">
        <v>105437</v>
      </c>
      <c r="J243">
        <v>99737</v>
      </c>
      <c r="K243">
        <v>5700</v>
      </c>
      <c r="L243">
        <v>12500</v>
      </c>
      <c r="M243">
        <v>12500</v>
      </c>
      <c r="N243">
        <v>0</v>
      </c>
    </row>
    <row r="244" spans="1:14" ht="14.4">
      <c r="A244">
        <v>13365</v>
      </c>
      <c r="B244">
        <v>13366</v>
      </c>
      <c r="C244">
        <v>4085</v>
      </c>
      <c r="D244" t="s">
        <v>18</v>
      </c>
      <c r="E244" t="s">
        <v>83</v>
      </c>
      <c r="F244">
        <v>11782</v>
      </c>
      <c r="G244" t="s">
        <v>23</v>
      </c>
      <c r="H244" t="s">
        <v>21</v>
      </c>
      <c r="I244">
        <v>81955</v>
      </c>
      <c r="J244">
        <v>68745</v>
      </c>
      <c r="K244">
        <v>13210</v>
      </c>
      <c r="L244">
        <v>10400</v>
      </c>
      <c r="M244">
        <v>7400</v>
      </c>
      <c r="N244">
        <v>3000</v>
      </c>
    </row>
    <row r="245" spans="1:14" ht="14.4">
      <c r="A245">
        <v>13365</v>
      </c>
      <c r="B245">
        <v>13366</v>
      </c>
      <c r="C245">
        <v>4085</v>
      </c>
      <c r="D245" t="s">
        <v>18</v>
      </c>
      <c r="E245" t="s">
        <v>473</v>
      </c>
      <c r="F245">
        <v>10918</v>
      </c>
      <c r="G245" t="s">
        <v>51</v>
      </c>
      <c r="H245" t="s">
        <v>21</v>
      </c>
      <c r="I245">
        <v>69036</v>
      </c>
      <c r="J245">
        <v>65936</v>
      </c>
      <c r="K245">
        <v>3100</v>
      </c>
      <c r="L245">
        <v>60400</v>
      </c>
      <c r="M245">
        <v>57800</v>
      </c>
      <c r="N245">
        <v>2600</v>
      </c>
    </row>
    <row r="246" spans="1:14" ht="14.4">
      <c r="A246">
        <v>13365</v>
      </c>
      <c r="B246">
        <v>13366</v>
      </c>
      <c r="C246">
        <v>4085</v>
      </c>
      <c r="D246" t="s">
        <v>18</v>
      </c>
      <c r="E246" t="s">
        <v>84</v>
      </c>
      <c r="F246">
        <v>10977</v>
      </c>
      <c r="G246" t="s">
        <v>85</v>
      </c>
      <c r="H246" t="s">
        <v>21</v>
      </c>
      <c r="I246">
        <v>161336</v>
      </c>
      <c r="J246">
        <v>150401</v>
      </c>
      <c r="K246">
        <v>10935</v>
      </c>
      <c r="L246">
        <v>105800</v>
      </c>
      <c r="M246">
        <v>94800</v>
      </c>
      <c r="N246">
        <v>11000</v>
      </c>
    </row>
    <row r="247" spans="1:14" ht="14.4">
      <c r="A247">
        <v>13365</v>
      </c>
      <c r="B247">
        <v>13366</v>
      </c>
      <c r="C247">
        <v>4085</v>
      </c>
      <c r="D247" t="s">
        <v>18</v>
      </c>
      <c r="E247" t="s">
        <v>84</v>
      </c>
      <c r="F247">
        <v>10997</v>
      </c>
      <c r="G247" t="s">
        <v>85</v>
      </c>
      <c r="H247" t="s">
        <v>21</v>
      </c>
      <c r="I247">
        <v>4000</v>
      </c>
      <c r="J247">
        <v>0</v>
      </c>
      <c r="K247">
        <v>4000</v>
      </c>
      <c r="L247">
        <v>0</v>
      </c>
      <c r="M247">
        <v>0</v>
      </c>
      <c r="N247">
        <v>0</v>
      </c>
    </row>
    <row r="248" spans="1:14" ht="14.4">
      <c r="A248">
        <v>13365</v>
      </c>
      <c r="B248">
        <v>13366</v>
      </c>
      <c r="C248">
        <v>4085</v>
      </c>
      <c r="D248" t="s">
        <v>18</v>
      </c>
      <c r="E248" t="s">
        <v>1174</v>
      </c>
      <c r="F248">
        <v>11726</v>
      </c>
      <c r="G248" t="s">
        <v>23</v>
      </c>
      <c r="H248" t="s">
        <v>21</v>
      </c>
      <c r="I248">
        <v>231706</v>
      </c>
      <c r="J248">
        <v>206956</v>
      </c>
      <c r="K248">
        <v>24750</v>
      </c>
      <c r="L248">
        <v>183400</v>
      </c>
      <c r="M248">
        <v>162700</v>
      </c>
      <c r="N248">
        <v>20700</v>
      </c>
    </row>
    <row r="249" spans="1:14" ht="14.4">
      <c r="A249">
        <v>13365</v>
      </c>
      <c r="B249">
        <v>13366</v>
      </c>
      <c r="C249">
        <v>4085</v>
      </c>
      <c r="D249" t="s">
        <v>18</v>
      </c>
      <c r="E249" t="s">
        <v>86</v>
      </c>
      <c r="F249">
        <v>10516</v>
      </c>
      <c r="G249" t="s">
        <v>58</v>
      </c>
      <c r="H249" t="s">
        <v>21</v>
      </c>
      <c r="I249">
        <v>220908</v>
      </c>
      <c r="J249">
        <v>145408</v>
      </c>
      <c r="K249">
        <v>75500</v>
      </c>
      <c r="L249">
        <v>114600</v>
      </c>
      <c r="M249">
        <v>74200</v>
      </c>
      <c r="N249">
        <v>40400</v>
      </c>
    </row>
    <row r="250" spans="1:14" ht="14.4">
      <c r="A250">
        <v>13365</v>
      </c>
      <c r="B250">
        <v>13366</v>
      </c>
      <c r="C250">
        <v>4085</v>
      </c>
      <c r="D250" t="s">
        <v>18</v>
      </c>
      <c r="E250" t="s">
        <v>87</v>
      </c>
      <c r="F250">
        <v>11724</v>
      </c>
      <c r="G250" t="s">
        <v>23</v>
      </c>
      <c r="H250" t="s">
        <v>21</v>
      </c>
      <c r="I250">
        <v>117345</v>
      </c>
      <c r="J250">
        <v>114345</v>
      </c>
      <c r="K250">
        <v>3000</v>
      </c>
      <c r="L250">
        <v>61700</v>
      </c>
      <c r="M250">
        <v>58700</v>
      </c>
      <c r="N250">
        <v>3000</v>
      </c>
    </row>
    <row r="251" spans="1:14" ht="14.4">
      <c r="A251">
        <v>13365</v>
      </c>
      <c r="B251">
        <v>13366</v>
      </c>
      <c r="C251">
        <v>4085</v>
      </c>
      <c r="D251" t="s">
        <v>18</v>
      </c>
      <c r="E251" t="s">
        <v>88</v>
      </c>
      <c r="F251">
        <v>11356</v>
      </c>
      <c r="G251" t="s">
        <v>28</v>
      </c>
      <c r="H251" t="s">
        <v>21</v>
      </c>
      <c r="I251">
        <v>26389</v>
      </c>
      <c r="J251">
        <v>10164</v>
      </c>
      <c r="K251">
        <v>16225</v>
      </c>
      <c r="L251">
        <v>26500</v>
      </c>
      <c r="M251">
        <v>10200</v>
      </c>
      <c r="N251">
        <v>16300</v>
      </c>
    </row>
    <row r="252" spans="1:14" ht="14.4">
      <c r="A252">
        <v>13365</v>
      </c>
      <c r="B252">
        <v>13366</v>
      </c>
      <c r="C252">
        <v>4085</v>
      </c>
      <c r="D252" t="s">
        <v>18</v>
      </c>
      <c r="E252" t="s">
        <v>89</v>
      </c>
      <c r="F252">
        <v>11725</v>
      </c>
      <c r="G252" t="s">
        <v>23</v>
      </c>
      <c r="H252" t="s">
        <v>21</v>
      </c>
      <c r="I252">
        <v>731470</v>
      </c>
      <c r="J252">
        <v>639200</v>
      </c>
      <c r="K252">
        <v>92270</v>
      </c>
      <c r="L252">
        <v>170400</v>
      </c>
      <c r="M252">
        <v>166500</v>
      </c>
      <c r="N252">
        <v>3900</v>
      </c>
    </row>
    <row r="253" spans="1:14" ht="14.4">
      <c r="A253">
        <v>13365</v>
      </c>
      <c r="B253">
        <v>13366</v>
      </c>
      <c r="C253">
        <v>4085</v>
      </c>
      <c r="D253" t="s">
        <v>18</v>
      </c>
      <c r="E253" t="s">
        <v>90</v>
      </c>
      <c r="F253">
        <v>10920</v>
      </c>
      <c r="G253" t="s">
        <v>85</v>
      </c>
      <c r="H253" t="s">
        <v>21</v>
      </c>
      <c r="I253">
        <v>255188</v>
      </c>
      <c r="J253">
        <v>228363</v>
      </c>
      <c r="K253">
        <v>26825</v>
      </c>
      <c r="L253">
        <v>131200</v>
      </c>
      <c r="M253">
        <v>111400</v>
      </c>
      <c r="N253">
        <v>19800</v>
      </c>
    </row>
    <row r="254" spans="1:14" ht="14.4">
      <c r="A254">
        <v>13365</v>
      </c>
      <c r="B254">
        <v>13366</v>
      </c>
      <c r="C254">
        <v>4085</v>
      </c>
      <c r="D254" t="s">
        <v>18</v>
      </c>
      <c r="E254" t="s">
        <v>1175</v>
      </c>
      <c r="F254">
        <v>11726</v>
      </c>
      <c r="G254" t="s">
        <v>23</v>
      </c>
      <c r="H254" t="s">
        <v>21</v>
      </c>
      <c r="I254">
        <v>16550</v>
      </c>
      <c r="J254">
        <v>0</v>
      </c>
      <c r="K254">
        <v>16550</v>
      </c>
      <c r="L254">
        <v>16600</v>
      </c>
      <c r="M254">
        <v>0</v>
      </c>
      <c r="N254">
        <v>16600</v>
      </c>
    </row>
    <row r="255" spans="1:14" ht="14.4">
      <c r="A255">
        <v>13365</v>
      </c>
      <c r="B255">
        <v>13366</v>
      </c>
      <c r="C255">
        <v>4085</v>
      </c>
      <c r="D255" t="s">
        <v>18</v>
      </c>
      <c r="E255" t="s">
        <v>91</v>
      </c>
      <c r="F255">
        <v>11726</v>
      </c>
      <c r="G255" t="s">
        <v>23</v>
      </c>
      <c r="H255" t="s">
        <v>21</v>
      </c>
      <c r="I255">
        <v>20979772</v>
      </c>
      <c r="J255">
        <v>15496088</v>
      </c>
      <c r="K255">
        <v>5483684</v>
      </c>
      <c r="L255">
        <v>8758300</v>
      </c>
      <c r="M255">
        <v>6138100</v>
      </c>
      <c r="N255">
        <v>2620200</v>
      </c>
    </row>
    <row r="256" spans="1:14" ht="14.4">
      <c r="A256">
        <v>13365</v>
      </c>
      <c r="B256">
        <v>13366</v>
      </c>
      <c r="C256">
        <v>4085</v>
      </c>
      <c r="D256" t="s">
        <v>18</v>
      </c>
      <c r="E256" t="s">
        <v>1176</v>
      </c>
      <c r="F256">
        <v>11726</v>
      </c>
      <c r="G256" t="s">
        <v>23</v>
      </c>
      <c r="H256" t="s">
        <v>21</v>
      </c>
      <c r="I256">
        <v>278625</v>
      </c>
      <c r="J256">
        <v>231325</v>
      </c>
      <c r="K256">
        <v>47300</v>
      </c>
      <c r="L256">
        <v>170500</v>
      </c>
      <c r="M256">
        <v>136900</v>
      </c>
      <c r="N256">
        <v>33600</v>
      </c>
    </row>
    <row r="257" spans="1:14" ht="14.4">
      <c r="A257">
        <v>13365</v>
      </c>
      <c r="B257">
        <v>13366</v>
      </c>
      <c r="C257">
        <v>4085</v>
      </c>
      <c r="D257" t="s">
        <v>18</v>
      </c>
      <c r="E257" t="s">
        <v>92</v>
      </c>
      <c r="F257">
        <v>11727</v>
      </c>
      <c r="G257" t="s">
        <v>23</v>
      </c>
      <c r="H257" t="s">
        <v>21</v>
      </c>
      <c r="I257">
        <v>325222</v>
      </c>
      <c r="J257">
        <v>242387</v>
      </c>
      <c r="K257">
        <v>82835</v>
      </c>
      <c r="L257">
        <v>203600</v>
      </c>
      <c r="M257">
        <v>160900</v>
      </c>
      <c r="N257">
        <v>42700</v>
      </c>
    </row>
    <row r="258" spans="1:14" ht="14.4">
      <c r="A258">
        <v>13365</v>
      </c>
      <c r="B258">
        <v>13366</v>
      </c>
      <c r="C258">
        <v>4085</v>
      </c>
      <c r="D258" t="s">
        <v>18</v>
      </c>
      <c r="E258" t="s">
        <v>94</v>
      </c>
      <c r="F258">
        <v>11368</v>
      </c>
      <c r="G258" t="s">
        <v>28</v>
      </c>
      <c r="H258" t="s">
        <v>21</v>
      </c>
      <c r="I258">
        <v>140783</v>
      </c>
      <c r="J258">
        <v>115308</v>
      </c>
      <c r="K258">
        <v>25475</v>
      </c>
      <c r="L258">
        <v>14000</v>
      </c>
      <c r="M258">
        <v>14000</v>
      </c>
      <c r="N258">
        <v>0</v>
      </c>
    </row>
    <row r="259" spans="1:14" ht="14.4">
      <c r="A259">
        <v>13365</v>
      </c>
      <c r="B259">
        <v>13366</v>
      </c>
      <c r="C259">
        <v>4085</v>
      </c>
      <c r="D259" t="s">
        <v>18</v>
      </c>
      <c r="E259" t="s">
        <v>1177</v>
      </c>
      <c r="F259">
        <v>10567</v>
      </c>
      <c r="G259" t="s">
        <v>64</v>
      </c>
      <c r="H259" t="s">
        <v>21</v>
      </c>
      <c r="I259">
        <v>72963</v>
      </c>
      <c r="J259">
        <v>64163</v>
      </c>
      <c r="K259">
        <v>8800</v>
      </c>
      <c r="L259">
        <v>72500</v>
      </c>
      <c r="M259">
        <v>63700</v>
      </c>
      <c r="N259">
        <v>8800</v>
      </c>
    </row>
    <row r="260" spans="1:14" ht="14.4">
      <c r="A260">
        <v>13365</v>
      </c>
      <c r="B260">
        <v>13366</v>
      </c>
      <c r="C260">
        <v>4085</v>
      </c>
      <c r="D260" t="s">
        <v>18</v>
      </c>
      <c r="E260" t="s">
        <v>1178</v>
      </c>
      <c r="F260">
        <v>10517</v>
      </c>
      <c r="G260" t="s">
        <v>64</v>
      </c>
      <c r="H260" t="s">
        <v>21</v>
      </c>
      <c r="I260">
        <v>77365</v>
      </c>
      <c r="J260">
        <v>55665</v>
      </c>
      <c r="K260">
        <v>21700</v>
      </c>
      <c r="L260">
        <v>48700</v>
      </c>
      <c r="M260">
        <v>42100</v>
      </c>
      <c r="N260">
        <v>6600</v>
      </c>
    </row>
    <row r="261" spans="1:14" ht="14.4">
      <c r="A261">
        <v>13365</v>
      </c>
      <c r="B261">
        <v>13366</v>
      </c>
      <c r="C261">
        <v>4085</v>
      </c>
      <c r="D261" t="s">
        <v>18</v>
      </c>
      <c r="E261" t="s">
        <v>1179</v>
      </c>
      <c r="F261">
        <v>10520</v>
      </c>
      <c r="G261" t="s">
        <v>64</v>
      </c>
      <c r="H261" t="s">
        <v>21</v>
      </c>
      <c r="I261">
        <v>12406</v>
      </c>
      <c r="J261">
        <v>12406</v>
      </c>
      <c r="K261">
        <v>0</v>
      </c>
      <c r="L261">
        <v>5500</v>
      </c>
      <c r="M261">
        <v>5500</v>
      </c>
      <c r="N261">
        <v>0</v>
      </c>
    </row>
    <row r="262" spans="1:14" ht="14.4">
      <c r="A262">
        <v>13365</v>
      </c>
      <c r="B262">
        <v>13366</v>
      </c>
      <c r="C262">
        <v>4085</v>
      </c>
      <c r="D262" t="s">
        <v>18</v>
      </c>
      <c r="E262" t="s">
        <v>95</v>
      </c>
      <c r="F262">
        <v>11935</v>
      </c>
      <c r="G262" t="s">
        <v>23</v>
      </c>
      <c r="H262" t="s">
        <v>21</v>
      </c>
      <c r="I262">
        <v>1076310</v>
      </c>
      <c r="J262">
        <v>961973</v>
      </c>
      <c r="K262">
        <v>114337</v>
      </c>
      <c r="L262">
        <v>468700</v>
      </c>
      <c r="M262">
        <v>452200</v>
      </c>
      <c r="N262">
        <v>16500</v>
      </c>
    </row>
    <row r="263" spans="1:14" ht="14.4">
      <c r="A263">
        <v>13365</v>
      </c>
      <c r="B263">
        <v>13366</v>
      </c>
      <c r="C263">
        <v>4085</v>
      </c>
      <c r="D263" t="s">
        <v>18</v>
      </c>
      <c r="E263" t="s">
        <v>97</v>
      </c>
      <c r="F263">
        <v>11729</v>
      </c>
      <c r="G263" t="s">
        <v>28</v>
      </c>
      <c r="H263" t="s">
        <v>21</v>
      </c>
      <c r="I263">
        <v>6200</v>
      </c>
      <c r="J263">
        <v>0</v>
      </c>
      <c r="K263">
        <v>6200</v>
      </c>
      <c r="L263">
        <v>6200</v>
      </c>
      <c r="M263">
        <v>0</v>
      </c>
      <c r="N263">
        <v>6200</v>
      </c>
    </row>
    <row r="264" spans="1:14" ht="14.4">
      <c r="A264">
        <v>13365</v>
      </c>
      <c r="B264">
        <v>13366</v>
      </c>
      <c r="C264">
        <v>4085</v>
      </c>
      <c r="D264" t="s">
        <v>18</v>
      </c>
      <c r="E264" t="s">
        <v>97</v>
      </c>
      <c r="F264">
        <v>11729</v>
      </c>
      <c r="G264" t="s">
        <v>23</v>
      </c>
      <c r="H264" t="s">
        <v>21</v>
      </c>
      <c r="I264">
        <v>226461</v>
      </c>
      <c r="J264">
        <v>220861</v>
      </c>
      <c r="K264">
        <v>5600</v>
      </c>
      <c r="L264">
        <v>107300</v>
      </c>
      <c r="M264">
        <v>105300</v>
      </c>
      <c r="N264">
        <v>2000</v>
      </c>
    </row>
    <row r="265" spans="1:14" ht="14.4">
      <c r="A265">
        <v>13365</v>
      </c>
      <c r="B265">
        <v>13366</v>
      </c>
      <c r="C265">
        <v>4085</v>
      </c>
      <c r="D265" t="s">
        <v>18</v>
      </c>
      <c r="E265" t="s">
        <v>98</v>
      </c>
      <c r="F265">
        <v>11746</v>
      </c>
      <c r="G265" t="s">
        <v>23</v>
      </c>
      <c r="H265" t="s">
        <v>21</v>
      </c>
      <c r="I265">
        <v>589413</v>
      </c>
      <c r="J265">
        <v>579813</v>
      </c>
      <c r="K265">
        <v>9600</v>
      </c>
      <c r="L265">
        <v>288400</v>
      </c>
      <c r="M265">
        <v>283900</v>
      </c>
      <c r="N265">
        <v>4500</v>
      </c>
    </row>
    <row r="266" spans="1:14" ht="14.4">
      <c r="A266">
        <v>13365</v>
      </c>
      <c r="B266">
        <v>13366</v>
      </c>
      <c r="C266">
        <v>4085</v>
      </c>
      <c r="D266" t="s">
        <v>18</v>
      </c>
      <c r="E266" t="s">
        <v>1180</v>
      </c>
      <c r="F266">
        <v>11362</v>
      </c>
      <c r="G266" t="s">
        <v>28</v>
      </c>
      <c r="H266" t="s">
        <v>21</v>
      </c>
      <c r="I266">
        <v>17900</v>
      </c>
      <c r="J266">
        <v>17900</v>
      </c>
      <c r="K266">
        <v>0</v>
      </c>
      <c r="L266">
        <v>0</v>
      </c>
      <c r="M266">
        <v>0</v>
      </c>
      <c r="N266">
        <v>0</v>
      </c>
    </row>
    <row r="267" spans="1:14" ht="14.4">
      <c r="A267">
        <v>13365</v>
      </c>
      <c r="B267">
        <v>13366</v>
      </c>
      <c r="C267">
        <v>4085</v>
      </c>
      <c r="D267" t="s">
        <v>18</v>
      </c>
      <c r="E267" t="s">
        <v>1180</v>
      </c>
      <c r="F267">
        <v>11363</v>
      </c>
      <c r="G267" t="s">
        <v>28</v>
      </c>
      <c r="H267" t="s">
        <v>21</v>
      </c>
      <c r="I267">
        <v>135471</v>
      </c>
      <c r="J267">
        <v>114911</v>
      </c>
      <c r="K267">
        <v>20560</v>
      </c>
      <c r="L267">
        <v>111400</v>
      </c>
      <c r="M267">
        <v>91100</v>
      </c>
      <c r="N267">
        <v>20300</v>
      </c>
    </row>
    <row r="268" spans="1:14" ht="14.4">
      <c r="A268">
        <v>13365</v>
      </c>
      <c r="B268">
        <v>13366</v>
      </c>
      <c r="C268">
        <v>4085</v>
      </c>
      <c r="D268" t="s">
        <v>18</v>
      </c>
      <c r="E268" t="s">
        <v>1181</v>
      </c>
      <c r="F268">
        <v>11561</v>
      </c>
      <c r="G268" t="s">
        <v>20</v>
      </c>
      <c r="H268" t="s">
        <v>21</v>
      </c>
      <c r="I268">
        <v>115675</v>
      </c>
      <c r="J268">
        <v>45375</v>
      </c>
      <c r="K268">
        <v>70300</v>
      </c>
      <c r="L268">
        <v>49900</v>
      </c>
      <c r="M268">
        <v>20400</v>
      </c>
      <c r="N268">
        <v>29500</v>
      </c>
    </row>
    <row r="269" spans="1:14" ht="14.4">
      <c r="A269">
        <v>13365</v>
      </c>
      <c r="B269">
        <v>13366</v>
      </c>
      <c r="C269">
        <v>4085</v>
      </c>
      <c r="D269" t="s">
        <v>18</v>
      </c>
      <c r="E269" t="s">
        <v>1182</v>
      </c>
      <c r="F269">
        <v>11561</v>
      </c>
      <c r="G269" t="s">
        <v>20</v>
      </c>
      <c r="H269" t="s">
        <v>21</v>
      </c>
      <c r="I269">
        <v>26680</v>
      </c>
      <c r="J269">
        <v>0</v>
      </c>
      <c r="K269">
        <v>26680</v>
      </c>
      <c r="L269">
        <v>26700</v>
      </c>
      <c r="M269">
        <v>0</v>
      </c>
      <c r="N269">
        <v>26700</v>
      </c>
    </row>
    <row r="270" spans="1:14" ht="14.4">
      <c r="A270">
        <v>13365</v>
      </c>
      <c r="B270">
        <v>13366</v>
      </c>
      <c r="C270">
        <v>4085</v>
      </c>
      <c r="D270" t="s">
        <v>18</v>
      </c>
      <c r="E270" t="s">
        <v>1183</v>
      </c>
      <c r="F270">
        <v>11561</v>
      </c>
      <c r="G270" t="s">
        <v>20</v>
      </c>
      <c r="H270" t="s">
        <v>21</v>
      </c>
      <c r="I270">
        <v>385942</v>
      </c>
      <c r="J270">
        <v>205714</v>
      </c>
      <c r="K270">
        <v>180228</v>
      </c>
      <c r="L270">
        <v>29900</v>
      </c>
      <c r="M270">
        <v>4100</v>
      </c>
      <c r="N270">
        <v>25800</v>
      </c>
    </row>
    <row r="271" spans="1:14" ht="14.4">
      <c r="A271">
        <v>13365</v>
      </c>
      <c r="B271">
        <v>13366</v>
      </c>
      <c r="C271">
        <v>4085</v>
      </c>
      <c r="D271" t="s">
        <v>18</v>
      </c>
      <c r="E271" t="s">
        <v>1184</v>
      </c>
      <c r="F271">
        <v>11772</v>
      </c>
      <c r="G271" t="s">
        <v>23</v>
      </c>
      <c r="H271" t="s">
        <v>21</v>
      </c>
      <c r="I271">
        <v>122237</v>
      </c>
      <c r="J271">
        <v>76437</v>
      </c>
      <c r="K271">
        <v>45800</v>
      </c>
      <c r="L271">
        <v>114100</v>
      </c>
      <c r="M271">
        <v>74100</v>
      </c>
      <c r="N271">
        <v>40000</v>
      </c>
    </row>
    <row r="272" spans="1:14" ht="14.4">
      <c r="A272">
        <v>13365</v>
      </c>
      <c r="B272">
        <v>13366</v>
      </c>
      <c r="C272">
        <v>4085</v>
      </c>
      <c r="D272" t="s">
        <v>18</v>
      </c>
      <c r="E272" t="s">
        <v>1185</v>
      </c>
      <c r="F272">
        <v>11518</v>
      </c>
      <c r="G272" t="s">
        <v>20</v>
      </c>
      <c r="H272" t="s">
        <v>21</v>
      </c>
      <c r="I272">
        <v>28000</v>
      </c>
      <c r="J272">
        <v>0</v>
      </c>
      <c r="K272">
        <v>28000</v>
      </c>
      <c r="L272">
        <v>0</v>
      </c>
      <c r="M272">
        <v>0</v>
      </c>
      <c r="N272">
        <v>0</v>
      </c>
    </row>
    <row r="273" spans="1:14" ht="14.4">
      <c r="A273">
        <v>13365</v>
      </c>
      <c r="B273">
        <v>13366</v>
      </c>
      <c r="C273">
        <v>4085</v>
      </c>
      <c r="D273" t="s">
        <v>18</v>
      </c>
      <c r="E273" t="s">
        <v>100</v>
      </c>
      <c r="F273">
        <v>11561</v>
      </c>
      <c r="G273" t="s">
        <v>20</v>
      </c>
      <c r="H273" t="s">
        <v>21</v>
      </c>
      <c r="I273">
        <v>304082</v>
      </c>
      <c r="J273">
        <v>165777</v>
      </c>
      <c r="K273">
        <v>138305</v>
      </c>
      <c r="L273">
        <v>84600</v>
      </c>
      <c r="M273">
        <v>41800</v>
      </c>
      <c r="N273">
        <v>42800</v>
      </c>
    </row>
    <row r="274" spans="1:14" ht="14.4">
      <c r="A274">
        <v>13365</v>
      </c>
      <c r="B274">
        <v>13366</v>
      </c>
      <c r="C274">
        <v>4085</v>
      </c>
      <c r="D274" t="s">
        <v>18</v>
      </c>
      <c r="E274" t="s">
        <v>1186</v>
      </c>
      <c r="F274">
        <v>11518</v>
      </c>
      <c r="G274" t="s">
        <v>20</v>
      </c>
      <c r="H274" t="s">
        <v>21</v>
      </c>
      <c r="I274">
        <v>248681</v>
      </c>
      <c r="J274">
        <v>89890</v>
      </c>
      <c r="K274">
        <v>158791</v>
      </c>
      <c r="L274">
        <v>107400</v>
      </c>
      <c r="M274">
        <v>31400</v>
      </c>
      <c r="N274">
        <v>76000</v>
      </c>
    </row>
    <row r="275" spans="1:14" ht="14.4">
      <c r="A275">
        <v>13365</v>
      </c>
      <c r="B275">
        <v>13366</v>
      </c>
      <c r="C275">
        <v>4085</v>
      </c>
      <c r="D275" t="s">
        <v>18</v>
      </c>
      <c r="E275" t="s">
        <v>1187</v>
      </c>
      <c r="F275">
        <v>11967</v>
      </c>
      <c r="G275" t="s">
        <v>23</v>
      </c>
      <c r="H275" t="s">
        <v>21</v>
      </c>
      <c r="I275">
        <v>11678</v>
      </c>
      <c r="J275">
        <v>10803</v>
      </c>
      <c r="K275">
        <v>875</v>
      </c>
      <c r="L275">
        <v>7500</v>
      </c>
      <c r="M275">
        <v>7100</v>
      </c>
      <c r="N275">
        <v>400</v>
      </c>
    </row>
    <row r="276" spans="1:14" ht="14.4">
      <c r="A276">
        <v>13365</v>
      </c>
      <c r="B276">
        <v>13366</v>
      </c>
      <c r="C276">
        <v>4085</v>
      </c>
      <c r="D276" t="s">
        <v>18</v>
      </c>
      <c r="E276" t="s">
        <v>101</v>
      </c>
      <c r="F276">
        <v>11561</v>
      </c>
      <c r="G276" t="s">
        <v>20</v>
      </c>
      <c r="H276" t="s">
        <v>21</v>
      </c>
      <c r="I276">
        <v>9246767</v>
      </c>
      <c r="J276">
        <v>5574056</v>
      </c>
      <c r="K276">
        <v>3672711</v>
      </c>
      <c r="L276">
        <v>4173300</v>
      </c>
      <c r="M276">
        <v>2467100</v>
      </c>
      <c r="N276">
        <v>1706200</v>
      </c>
    </row>
    <row r="277" spans="1:14" ht="14.4">
      <c r="A277">
        <v>13365</v>
      </c>
      <c r="B277">
        <v>13366</v>
      </c>
      <c r="C277">
        <v>4085</v>
      </c>
      <c r="D277" t="s">
        <v>18</v>
      </c>
      <c r="E277" t="s">
        <v>102</v>
      </c>
      <c r="F277">
        <v>11369</v>
      </c>
      <c r="G277" t="s">
        <v>28</v>
      </c>
      <c r="H277" t="s">
        <v>21</v>
      </c>
      <c r="I277">
        <v>69313</v>
      </c>
      <c r="J277">
        <v>47938</v>
      </c>
      <c r="K277">
        <v>21375</v>
      </c>
      <c r="L277">
        <v>35900</v>
      </c>
      <c r="M277">
        <v>27100</v>
      </c>
      <c r="N277">
        <v>8800</v>
      </c>
    </row>
    <row r="278" spans="1:14" ht="14.4">
      <c r="A278">
        <v>13365</v>
      </c>
      <c r="B278">
        <v>13366</v>
      </c>
      <c r="C278">
        <v>4085</v>
      </c>
      <c r="D278" t="s">
        <v>18</v>
      </c>
      <c r="E278" t="s">
        <v>102</v>
      </c>
      <c r="F278">
        <v>11370</v>
      </c>
      <c r="G278" t="s">
        <v>28</v>
      </c>
      <c r="H278" t="s">
        <v>21</v>
      </c>
      <c r="I278">
        <v>81595</v>
      </c>
      <c r="J278">
        <v>61515</v>
      </c>
      <c r="K278">
        <v>20080</v>
      </c>
      <c r="L278">
        <v>0</v>
      </c>
      <c r="M278">
        <v>0</v>
      </c>
      <c r="N278">
        <v>0</v>
      </c>
    </row>
    <row r="279" spans="1:14" ht="14.4">
      <c r="A279">
        <v>13365</v>
      </c>
      <c r="B279">
        <v>13366</v>
      </c>
      <c r="C279">
        <v>4085</v>
      </c>
      <c r="D279" t="s">
        <v>18</v>
      </c>
      <c r="E279" t="s">
        <v>1188</v>
      </c>
      <c r="F279">
        <v>11369</v>
      </c>
      <c r="G279" t="s">
        <v>28</v>
      </c>
      <c r="H279" t="s">
        <v>21</v>
      </c>
      <c r="I279">
        <v>8340</v>
      </c>
      <c r="J279">
        <v>0</v>
      </c>
      <c r="K279">
        <v>8340</v>
      </c>
      <c r="L279">
        <v>0</v>
      </c>
      <c r="M279">
        <v>0</v>
      </c>
      <c r="N279">
        <v>0</v>
      </c>
    </row>
    <row r="280" spans="1:14" ht="14.4">
      <c r="A280">
        <v>13365</v>
      </c>
      <c r="B280">
        <v>13366</v>
      </c>
      <c r="C280">
        <v>4085</v>
      </c>
      <c r="D280" t="s">
        <v>18</v>
      </c>
      <c r="E280" t="s">
        <v>103</v>
      </c>
      <c r="F280">
        <v>11937</v>
      </c>
      <c r="G280" t="s">
        <v>23</v>
      </c>
      <c r="H280" t="s">
        <v>21</v>
      </c>
      <c r="I280">
        <v>686686</v>
      </c>
      <c r="J280">
        <v>623321</v>
      </c>
      <c r="K280">
        <v>63365</v>
      </c>
      <c r="L280">
        <v>173800</v>
      </c>
      <c r="M280">
        <v>173800</v>
      </c>
      <c r="N280">
        <v>0</v>
      </c>
    </row>
    <row r="281" spans="1:14" ht="14.4">
      <c r="A281">
        <v>13365</v>
      </c>
      <c r="B281">
        <v>13366</v>
      </c>
      <c r="C281">
        <v>4085</v>
      </c>
      <c r="D281" t="s">
        <v>18</v>
      </c>
      <c r="E281" t="s">
        <v>1189</v>
      </c>
      <c r="F281">
        <v>11577</v>
      </c>
      <c r="G281" t="s">
        <v>20</v>
      </c>
      <c r="H281" t="s">
        <v>21</v>
      </c>
      <c r="I281">
        <v>3480</v>
      </c>
      <c r="J281">
        <v>3480</v>
      </c>
      <c r="K281">
        <v>0</v>
      </c>
      <c r="L281">
        <v>0</v>
      </c>
      <c r="M281">
        <v>0</v>
      </c>
      <c r="N281">
        <v>0</v>
      </c>
    </row>
    <row r="282" spans="1:14" ht="14.4">
      <c r="A282">
        <v>13365</v>
      </c>
      <c r="B282">
        <v>13366</v>
      </c>
      <c r="C282">
        <v>4085</v>
      </c>
      <c r="D282" t="s">
        <v>18</v>
      </c>
      <c r="E282" t="s">
        <v>104</v>
      </c>
      <c r="F282">
        <v>11730</v>
      </c>
      <c r="G282" t="s">
        <v>23</v>
      </c>
      <c r="H282" t="s">
        <v>21</v>
      </c>
      <c r="I282">
        <v>1409197</v>
      </c>
      <c r="J282">
        <v>1260555</v>
      </c>
      <c r="K282">
        <v>148642</v>
      </c>
      <c r="L282">
        <v>436200</v>
      </c>
      <c r="M282">
        <v>419000</v>
      </c>
      <c r="N282">
        <v>17200</v>
      </c>
    </row>
    <row r="283" spans="1:14" ht="14.4">
      <c r="A283">
        <v>13365</v>
      </c>
      <c r="B283">
        <v>13366</v>
      </c>
      <c r="C283">
        <v>4085</v>
      </c>
      <c r="D283" t="s">
        <v>18</v>
      </c>
      <c r="E283" t="s">
        <v>105</v>
      </c>
      <c r="F283">
        <v>11939</v>
      </c>
      <c r="G283" t="s">
        <v>23</v>
      </c>
      <c r="H283" t="s">
        <v>21</v>
      </c>
      <c r="I283">
        <v>498211</v>
      </c>
      <c r="J283">
        <v>483636</v>
      </c>
      <c r="K283">
        <v>14575</v>
      </c>
      <c r="L283">
        <v>278700</v>
      </c>
      <c r="M283">
        <v>265900</v>
      </c>
      <c r="N283">
        <v>12800</v>
      </c>
    </row>
    <row r="284" spans="1:14" ht="14.4">
      <c r="A284">
        <v>13365</v>
      </c>
      <c r="B284">
        <v>13366</v>
      </c>
      <c r="C284">
        <v>4085</v>
      </c>
      <c r="D284" t="s">
        <v>18</v>
      </c>
      <c r="E284" t="s">
        <v>1190</v>
      </c>
      <c r="F284">
        <v>11758</v>
      </c>
      <c r="G284" t="s">
        <v>20</v>
      </c>
      <c r="H284" t="s">
        <v>21</v>
      </c>
      <c r="I284">
        <v>29720</v>
      </c>
      <c r="J284">
        <v>26220</v>
      </c>
      <c r="K284">
        <v>3500</v>
      </c>
      <c r="L284">
        <v>0</v>
      </c>
      <c r="M284">
        <v>0</v>
      </c>
      <c r="N284">
        <v>0</v>
      </c>
    </row>
    <row r="285" spans="1:14" ht="14.4">
      <c r="A285">
        <v>13365</v>
      </c>
      <c r="B285">
        <v>13366</v>
      </c>
      <c r="C285">
        <v>4085</v>
      </c>
      <c r="D285" t="s">
        <v>18</v>
      </c>
      <c r="E285" t="s">
        <v>106</v>
      </c>
      <c r="F285">
        <v>11554</v>
      </c>
      <c r="G285" t="s">
        <v>20</v>
      </c>
      <c r="H285" t="s">
        <v>21</v>
      </c>
      <c r="I285">
        <v>474083</v>
      </c>
      <c r="J285">
        <v>448958</v>
      </c>
      <c r="K285">
        <v>25125</v>
      </c>
      <c r="L285">
        <v>279100</v>
      </c>
      <c r="M285">
        <v>269800</v>
      </c>
      <c r="N285">
        <v>9300</v>
      </c>
    </row>
    <row r="286" spans="1:14" ht="14.4">
      <c r="A286">
        <v>13365</v>
      </c>
      <c r="B286">
        <v>13366</v>
      </c>
      <c r="C286">
        <v>4085</v>
      </c>
      <c r="D286" t="s">
        <v>18</v>
      </c>
      <c r="E286" t="s">
        <v>107</v>
      </c>
      <c r="F286">
        <v>11940</v>
      </c>
      <c r="G286" t="s">
        <v>23</v>
      </c>
      <c r="H286" t="s">
        <v>21</v>
      </c>
      <c r="I286">
        <v>746971</v>
      </c>
      <c r="J286">
        <v>566546</v>
      </c>
      <c r="K286">
        <v>180425</v>
      </c>
      <c r="L286">
        <v>143200</v>
      </c>
      <c r="M286">
        <v>77100</v>
      </c>
      <c r="N286">
        <v>66100</v>
      </c>
    </row>
    <row r="287" spans="1:14" ht="14.4">
      <c r="A287">
        <v>13365</v>
      </c>
      <c r="B287">
        <v>13366</v>
      </c>
      <c r="C287">
        <v>4085</v>
      </c>
      <c r="D287" t="s">
        <v>18</v>
      </c>
      <c r="E287" t="s">
        <v>108</v>
      </c>
      <c r="F287">
        <v>11731</v>
      </c>
      <c r="G287" t="s">
        <v>23</v>
      </c>
      <c r="H287" t="s">
        <v>21</v>
      </c>
      <c r="I287">
        <v>542252</v>
      </c>
      <c r="J287">
        <v>507357</v>
      </c>
      <c r="K287">
        <v>34895</v>
      </c>
      <c r="L287">
        <v>302300</v>
      </c>
      <c r="M287">
        <v>283100</v>
      </c>
      <c r="N287">
        <v>19200</v>
      </c>
    </row>
    <row r="288" spans="1:14" ht="14.4">
      <c r="A288">
        <v>13365</v>
      </c>
      <c r="B288">
        <v>13366</v>
      </c>
      <c r="C288">
        <v>4085</v>
      </c>
      <c r="D288" t="s">
        <v>18</v>
      </c>
      <c r="E288" t="s">
        <v>1191</v>
      </c>
      <c r="F288">
        <v>11732</v>
      </c>
      <c r="G288" t="s">
        <v>20</v>
      </c>
      <c r="H288" t="s">
        <v>21</v>
      </c>
      <c r="I288">
        <v>84905</v>
      </c>
      <c r="J288">
        <v>80055</v>
      </c>
      <c r="K288">
        <v>4850</v>
      </c>
      <c r="L288">
        <v>51800</v>
      </c>
      <c r="M288">
        <v>46900</v>
      </c>
      <c r="N288">
        <v>4900</v>
      </c>
    </row>
    <row r="289" spans="1:14" ht="14.4">
      <c r="A289">
        <v>13365</v>
      </c>
      <c r="B289">
        <v>13366</v>
      </c>
      <c r="C289">
        <v>4085</v>
      </c>
      <c r="D289" t="s">
        <v>18</v>
      </c>
      <c r="E289" t="s">
        <v>109</v>
      </c>
      <c r="F289">
        <v>11772</v>
      </c>
      <c r="G289" t="s">
        <v>23</v>
      </c>
      <c r="H289" t="s">
        <v>21</v>
      </c>
      <c r="I289">
        <v>1426310</v>
      </c>
      <c r="J289">
        <v>1131655</v>
      </c>
      <c r="K289">
        <v>294655</v>
      </c>
      <c r="L289">
        <v>632200</v>
      </c>
      <c r="M289">
        <v>474000</v>
      </c>
      <c r="N289">
        <v>158200</v>
      </c>
    </row>
    <row r="290" spans="1:14" ht="14.4">
      <c r="A290">
        <v>13365</v>
      </c>
      <c r="B290">
        <v>13366</v>
      </c>
      <c r="C290">
        <v>4085</v>
      </c>
      <c r="D290" t="s">
        <v>18</v>
      </c>
      <c r="E290" t="s">
        <v>110</v>
      </c>
      <c r="F290">
        <v>11941</v>
      </c>
      <c r="G290" t="s">
        <v>23</v>
      </c>
      <c r="H290" t="s">
        <v>21</v>
      </c>
      <c r="I290">
        <v>160030</v>
      </c>
      <c r="J290">
        <v>132830</v>
      </c>
      <c r="K290">
        <v>27200</v>
      </c>
      <c r="L290">
        <v>131200</v>
      </c>
      <c r="M290">
        <v>114000</v>
      </c>
      <c r="N290">
        <v>17200</v>
      </c>
    </row>
    <row r="291" spans="1:14" ht="14.4">
      <c r="A291">
        <v>13365</v>
      </c>
      <c r="B291">
        <v>13366</v>
      </c>
      <c r="C291">
        <v>4085</v>
      </c>
      <c r="D291" t="s">
        <v>18</v>
      </c>
      <c r="E291" t="s">
        <v>110</v>
      </c>
      <c r="F291">
        <v>11942</v>
      </c>
      <c r="G291" t="s">
        <v>23</v>
      </c>
      <c r="H291" t="s">
        <v>21</v>
      </c>
      <c r="I291">
        <v>2271049</v>
      </c>
      <c r="J291">
        <v>1859034</v>
      </c>
      <c r="K291">
        <v>412015</v>
      </c>
      <c r="L291">
        <v>615500</v>
      </c>
      <c r="M291">
        <v>487600</v>
      </c>
      <c r="N291">
        <v>127900</v>
      </c>
    </row>
    <row r="292" spans="1:14" ht="14.4">
      <c r="A292">
        <v>13365</v>
      </c>
      <c r="B292">
        <v>13366</v>
      </c>
      <c r="C292">
        <v>4085</v>
      </c>
      <c r="D292" t="s">
        <v>18</v>
      </c>
      <c r="E292" t="s">
        <v>1192</v>
      </c>
      <c r="F292">
        <v>11942</v>
      </c>
      <c r="G292" t="s">
        <v>23</v>
      </c>
      <c r="H292" t="s">
        <v>21</v>
      </c>
      <c r="I292">
        <v>91583</v>
      </c>
      <c r="J292">
        <v>85628</v>
      </c>
      <c r="K292">
        <v>5955</v>
      </c>
      <c r="L292">
        <v>0</v>
      </c>
      <c r="M292">
        <v>0</v>
      </c>
      <c r="N292">
        <v>0</v>
      </c>
    </row>
    <row r="293" spans="1:14" ht="14.4">
      <c r="A293">
        <v>13365</v>
      </c>
      <c r="B293">
        <v>13366</v>
      </c>
      <c r="C293">
        <v>4085</v>
      </c>
      <c r="D293" t="s">
        <v>18</v>
      </c>
      <c r="E293" t="s">
        <v>1193</v>
      </c>
      <c r="F293">
        <v>11518</v>
      </c>
      <c r="G293" t="s">
        <v>20</v>
      </c>
      <c r="H293" t="s">
        <v>21</v>
      </c>
      <c r="I293">
        <v>106485</v>
      </c>
      <c r="J293">
        <v>66735</v>
      </c>
      <c r="K293">
        <v>39750</v>
      </c>
      <c r="L293">
        <v>106500</v>
      </c>
      <c r="M293">
        <v>66800</v>
      </c>
      <c r="N293">
        <v>39700</v>
      </c>
    </row>
    <row r="294" spans="1:14" ht="14.4">
      <c r="A294">
        <v>13365</v>
      </c>
      <c r="B294">
        <v>13366</v>
      </c>
      <c r="C294">
        <v>4085</v>
      </c>
      <c r="D294" t="s">
        <v>18</v>
      </c>
      <c r="E294" t="s">
        <v>112</v>
      </c>
      <c r="F294">
        <v>11518</v>
      </c>
      <c r="G294" t="s">
        <v>20</v>
      </c>
      <c r="H294" t="s">
        <v>21</v>
      </c>
      <c r="I294">
        <v>49746028</v>
      </c>
      <c r="J294">
        <v>33110577</v>
      </c>
      <c r="K294">
        <v>16635451</v>
      </c>
      <c r="L294">
        <v>20577400</v>
      </c>
      <c r="M294">
        <v>12941400</v>
      </c>
      <c r="N294">
        <v>7626600</v>
      </c>
    </row>
    <row r="295" spans="1:14" ht="14.4">
      <c r="A295">
        <v>13365</v>
      </c>
      <c r="B295">
        <v>13366</v>
      </c>
      <c r="C295">
        <v>4085</v>
      </c>
      <c r="D295" t="s">
        <v>18</v>
      </c>
      <c r="E295" t="s">
        <v>112</v>
      </c>
      <c r="F295">
        <v>11518</v>
      </c>
      <c r="G295" t="s">
        <v>32</v>
      </c>
      <c r="H295" t="s">
        <v>21</v>
      </c>
      <c r="I295">
        <v>169762</v>
      </c>
      <c r="J295">
        <v>101777</v>
      </c>
      <c r="K295">
        <v>67985</v>
      </c>
      <c r="L295">
        <v>49300</v>
      </c>
      <c r="M295">
        <v>9300</v>
      </c>
      <c r="N295">
        <v>40000</v>
      </c>
    </row>
    <row r="296" spans="1:14" ht="14.4">
      <c r="A296">
        <v>13365</v>
      </c>
      <c r="B296">
        <v>13366</v>
      </c>
      <c r="C296">
        <v>4085</v>
      </c>
      <c r="D296" t="s">
        <v>18</v>
      </c>
      <c r="E296" t="s">
        <v>112</v>
      </c>
      <c r="F296">
        <v>11572</v>
      </c>
      <c r="G296" t="s">
        <v>20</v>
      </c>
      <c r="H296" t="s">
        <v>21</v>
      </c>
      <c r="I296">
        <v>173592</v>
      </c>
      <c r="J296">
        <v>151877</v>
      </c>
      <c r="K296">
        <v>21715</v>
      </c>
      <c r="L296">
        <v>160800</v>
      </c>
      <c r="M296">
        <v>146900</v>
      </c>
      <c r="N296">
        <v>13900</v>
      </c>
    </row>
    <row r="297" spans="1:14" ht="14.4">
      <c r="A297">
        <v>13365</v>
      </c>
      <c r="B297">
        <v>13366</v>
      </c>
      <c r="C297">
        <v>4085</v>
      </c>
      <c r="D297" t="s">
        <v>18</v>
      </c>
      <c r="E297" t="s">
        <v>112</v>
      </c>
      <c r="F297">
        <v>11578</v>
      </c>
      <c r="G297" t="s">
        <v>20</v>
      </c>
      <c r="H297" t="s">
        <v>21</v>
      </c>
      <c r="I297">
        <v>106373</v>
      </c>
      <c r="J297">
        <v>59723</v>
      </c>
      <c r="K297">
        <v>46650</v>
      </c>
      <c r="L297">
        <v>0</v>
      </c>
      <c r="M297">
        <v>0</v>
      </c>
      <c r="N297">
        <v>0</v>
      </c>
    </row>
    <row r="298" spans="1:14" ht="14.4">
      <c r="A298">
        <v>13365</v>
      </c>
      <c r="B298">
        <v>13366</v>
      </c>
      <c r="C298">
        <v>4085</v>
      </c>
      <c r="D298" t="s">
        <v>18</v>
      </c>
      <c r="E298" t="s">
        <v>112</v>
      </c>
      <c r="F298">
        <v>11758</v>
      </c>
      <c r="G298" t="s">
        <v>20</v>
      </c>
      <c r="H298" t="s">
        <v>21</v>
      </c>
      <c r="I298">
        <v>232601</v>
      </c>
      <c r="J298">
        <v>184301</v>
      </c>
      <c r="K298">
        <v>48300</v>
      </c>
      <c r="L298">
        <v>0</v>
      </c>
      <c r="M298">
        <v>0</v>
      </c>
      <c r="N298">
        <v>0</v>
      </c>
    </row>
    <row r="299" spans="1:14" ht="14.4">
      <c r="A299">
        <v>13365</v>
      </c>
      <c r="B299">
        <v>13366</v>
      </c>
      <c r="C299">
        <v>4085</v>
      </c>
      <c r="D299" t="s">
        <v>18</v>
      </c>
      <c r="E299" t="s">
        <v>1194</v>
      </c>
      <c r="F299">
        <v>11518</v>
      </c>
      <c r="G299" t="s">
        <v>20</v>
      </c>
      <c r="H299" t="s">
        <v>21</v>
      </c>
      <c r="I299">
        <v>17475</v>
      </c>
      <c r="J299">
        <v>0</v>
      </c>
      <c r="K299">
        <v>17475</v>
      </c>
      <c r="L299">
        <v>0</v>
      </c>
      <c r="M299">
        <v>0</v>
      </c>
      <c r="N299">
        <v>0</v>
      </c>
    </row>
    <row r="300" spans="1:14" ht="14.4">
      <c r="A300">
        <v>13365</v>
      </c>
      <c r="B300">
        <v>13366</v>
      </c>
      <c r="C300">
        <v>4085</v>
      </c>
      <c r="D300" t="s">
        <v>18</v>
      </c>
      <c r="E300" t="s">
        <v>1195</v>
      </c>
      <c r="F300">
        <v>11518</v>
      </c>
      <c r="G300" t="s">
        <v>20</v>
      </c>
      <c r="H300" t="s">
        <v>21</v>
      </c>
      <c r="I300">
        <v>76198</v>
      </c>
      <c r="J300">
        <v>60598</v>
      </c>
      <c r="K300">
        <v>15600</v>
      </c>
      <c r="L300">
        <v>15600</v>
      </c>
      <c r="M300">
        <v>0</v>
      </c>
      <c r="N300">
        <v>15600</v>
      </c>
    </row>
    <row r="301" spans="1:14" ht="14.4">
      <c r="A301">
        <v>13365</v>
      </c>
      <c r="B301">
        <v>13366</v>
      </c>
      <c r="C301">
        <v>4085</v>
      </c>
      <c r="D301" t="s">
        <v>18</v>
      </c>
      <c r="E301" t="s">
        <v>1196</v>
      </c>
      <c r="F301">
        <v>11733</v>
      </c>
      <c r="G301" t="s">
        <v>23</v>
      </c>
      <c r="H301" t="s">
        <v>21</v>
      </c>
      <c r="I301">
        <v>76901</v>
      </c>
      <c r="J301">
        <v>67076</v>
      </c>
      <c r="K301">
        <v>9825</v>
      </c>
      <c r="L301">
        <v>4800</v>
      </c>
      <c r="M301">
        <v>0</v>
      </c>
      <c r="N301">
        <v>4800</v>
      </c>
    </row>
    <row r="302" spans="1:14" ht="14.4">
      <c r="A302">
        <v>13365</v>
      </c>
      <c r="B302">
        <v>13366</v>
      </c>
      <c r="C302">
        <v>4085</v>
      </c>
      <c r="D302" t="s">
        <v>18</v>
      </c>
      <c r="E302" t="s">
        <v>1197</v>
      </c>
      <c r="F302">
        <v>11550</v>
      </c>
      <c r="G302" t="s">
        <v>20</v>
      </c>
      <c r="H302" t="s">
        <v>21</v>
      </c>
      <c r="I302">
        <v>28565</v>
      </c>
      <c r="J302">
        <v>28065</v>
      </c>
      <c r="K302">
        <v>500</v>
      </c>
      <c r="L302">
        <v>0</v>
      </c>
      <c r="M302">
        <v>0</v>
      </c>
      <c r="N302">
        <v>0</v>
      </c>
    </row>
    <row r="303" spans="1:14" ht="14.4">
      <c r="A303">
        <v>13365</v>
      </c>
      <c r="B303">
        <v>13366</v>
      </c>
      <c r="C303">
        <v>4085</v>
      </c>
      <c r="D303" t="s">
        <v>18</v>
      </c>
      <c r="E303" t="s">
        <v>1197</v>
      </c>
      <c r="F303">
        <v>11596</v>
      </c>
      <c r="G303" t="s">
        <v>20</v>
      </c>
      <c r="H303" t="s">
        <v>21</v>
      </c>
      <c r="I303">
        <v>80792</v>
      </c>
      <c r="J303">
        <v>70392</v>
      </c>
      <c r="K303">
        <v>10400</v>
      </c>
      <c r="L303">
        <v>4500</v>
      </c>
      <c r="M303">
        <v>4500</v>
      </c>
      <c r="N303">
        <v>0</v>
      </c>
    </row>
    <row r="304" spans="1:14" ht="14.4">
      <c r="A304">
        <v>13365</v>
      </c>
      <c r="B304">
        <v>13366</v>
      </c>
      <c r="C304">
        <v>4085</v>
      </c>
      <c r="D304" t="s">
        <v>18</v>
      </c>
      <c r="E304" t="s">
        <v>1198</v>
      </c>
      <c r="F304">
        <v>11772</v>
      </c>
      <c r="G304" t="s">
        <v>23</v>
      </c>
      <c r="H304" t="s">
        <v>21</v>
      </c>
      <c r="I304">
        <v>92635</v>
      </c>
      <c r="J304">
        <v>72455</v>
      </c>
      <c r="K304">
        <v>20180</v>
      </c>
      <c r="L304">
        <v>0</v>
      </c>
      <c r="M304">
        <v>0</v>
      </c>
      <c r="N304">
        <v>0</v>
      </c>
    </row>
    <row r="305" spans="1:14" ht="14.4">
      <c r="A305">
        <v>13365</v>
      </c>
      <c r="B305">
        <v>13366</v>
      </c>
      <c r="C305">
        <v>4085</v>
      </c>
      <c r="D305" t="s">
        <v>18</v>
      </c>
      <c r="E305" t="s">
        <v>113</v>
      </c>
      <c r="F305">
        <v>11941</v>
      </c>
      <c r="G305" t="s">
        <v>23</v>
      </c>
      <c r="H305" t="s">
        <v>21</v>
      </c>
      <c r="I305">
        <v>39411</v>
      </c>
      <c r="J305">
        <v>33336</v>
      </c>
      <c r="K305">
        <v>6075</v>
      </c>
      <c r="L305">
        <v>39500</v>
      </c>
      <c r="M305">
        <v>33400</v>
      </c>
      <c r="N305">
        <v>6100</v>
      </c>
    </row>
    <row r="306" spans="1:14" ht="14.4">
      <c r="A306">
        <v>13365</v>
      </c>
      <c r="B306">
        <v>13366</v>
      </c>
      <c r="C306">
        <v>4085</v>
      </c>
      <c r="D306" t="s">
        <v>18</v>
      </c>
      <c r="E306" t="s">
        <v>1199</v>
      </c>
      <c r="F306">
        <v>11518</v>
      </c>
      <c r="G306" t="s">
        <v>20</v>
      </c>
      <c r="H306" t="s">
        <v>21</v>
      </c>
      <c r="I306">
        <v>133563</v>
      </c>
      <c r="J306">
        <v>73363</v>
      </c>
      <c r="K306">
        <v>60200</v>
      </c>
      <c r="L306">
        <v>25500</v>
      </c>
      <c r="M306">
        <v>0</v>
      </c>
      <c r="N306">
        <v>25500</v>
      </c>
    </row>
    <row r="307" spans="1:14" ht="14.4">
      <c r="A307">
        <v>13365</v>
      </c>
      <c r="B307">
        <v>13366</v>
      </c>
      <c r="C307">
        <v>4085</v>
      </c>
      <c r="D307" t="s">
        <v>18</v>
      </c>
      <c r="E307" t="s">
        <v>114</v>
      </c>
      <c r="F307">
        <v>11691</v>
      </c>
      <c r="G307" t="s">
        <v>28</v>
      </c>
      <c r="H307" t="s">
        <v>21</v>
      </c>
      <c r="I307">
        <v>135592</v>
      </c>
      <c r="J307">
        <v>89867</v>
      </c>
      <c r="K307">
        <v>45725</v>
      </c>
      <c r="L307">
        <v>123400</v>
      </c>
      <c r="M307">
        <v>84900</v>
      </c>
      <c r="N307">
        <v>38500</v>
      </c>
    </row>
    <row r="308" spans="1:14" ht="14.4">
      <c r="A308">
        <v>13365</v>
      </c>
      <c r="B308">
        <v>13366</v>
      </c>
      <c r="C308">
        <v>4085</v>
      </c>
      <c r="D308" t="s">
        <v>18</v>
      </c>
      <c r="E308" t="s">
        <v>1200</v>
      </c>
      <c r="F308">
        <v>10523</v>
      </c>
      <c r="G308" t="s">
        <v>64</v>
      </c>
      <c r="H308" t="s">
        <v>21</v>
      </c>
      <c r="I308">
        <v>14642</v>
      </c>
      <c r="J308">
        <v>14642</v>
      </c>
      <c r="K308">
        <v>0</v>
      </c>
      <c r="L308">
        <v>10100</v>
      </c>
      <c r="M308">
        <v>10100</v>
      </c>
      <c r="N308">
        <v>0</v>
      </c>
    </row>
    <row r="309" spans="1:14" ht="14.4">
      <c r="A309">
        <v>13365</v>
      </c>
      <c r="B309">
        <v>13366</v>
      </c>
      <c r="C309">
        <v>4085</v>
      </c>
      <c r="D309" t="s">
        <v>18</v>
      </c>
      <c r="E309" t="s">
        <v>115</v>
      </c>
      <c r="F309">
        <v>11373</v>
      </c>
      <c r="G309" t="s">
        <v>28</v>
      </c>
      <c r="H309" t="s">
        <v>21</v>
      </c>
      <c r="I309">
        <v>20744</v>
      </c>
      <c r="J309">
        <v>19894</v>
      </c>
      <c r="K309">
        <v>850</v>
      </c>
      <c r="L309">
        <v>1800</v>
      </c>
      <c r="M309">
        <v>1800</v>
      </c>
      <c r="N309">
        <v>0</v>
      </c>
    </row>
    <row r="310" spans="1:14" ht="14.4">
      <c r="A310">
        <v>13365</v>
      </c>
      <c r="B310">
        <v>13366</v>
      </c>
      <c r="C310">
        <v>4085</v>
      </c>
      <c r="D310" t="s">
        <v>18</v>
      </c>
      <c r="E310" t="s">
        <v>116</v>
      </c>
      <c r="F310">
        <v>11003</v>
      </c>
      <c r="G310" t="s">
        <v>20</v>
      </c>
      <c r="H310" t="s">
        <v>21</v>
      </c>
      <c r="I310">
        <v>1311452</v>
      </c>
      <c r="J310">
        <v>1120423</v>
      </c>
      <c r="K310">
        <v>191029</v>
      </c>
      <c r="L310">
        <v>593800</v>
      </c>
      <c r="M310">
        <v>499900</v>
      </c>
      <c r="N310">
        <v>93900</v>
      </c>
    </row>
    <row r="311" spans="1:14" ht="14.4">
      <c r="A311">
        <v>13365</v>
      </c>
      <c r="B311">
        <v>13366</v>
      </c>
      <c r="C311">
        <v>4085</v>
      </c>
      <c r="D311" t="s">
        <v>18</v>
      </c>
      <c r="E311" t="s">
        <v>117</v>
      </c>
      <c r="F311">
        <v>10523</v>
      </c>
      <c r="G311" t="s">
        <v>64</v>
      </c>
      <c r="H311" t="s">
        <v>21</v>
      </c>
      <c r="I311">
        <v>9532</v>
      </c>
      <c r="J311">
        <v>7032</v>
      </c>
      <c r="K311">
        <v>2500</v>
      </c>
      <c r="L311">
        <v>9600</v>
      </c>
      <c r="M311">
        <v>7100</v>
      </c>
      <c r="N311">
        <v>2500</v>
      </c>
    </row>
    <row r="312" spans="1:14" ht="14.4">
      <c r="A312">
        <v>13365</v>
      </c>
      <c r="B312">
        <v>13366</v>
      </c>
      <c r="C312">
        <v>4085</v>
      </c>
      <c r="D312" t="s">
        <v>18</v>
      </c>
      <c r="E312" t="s">
        <v>1201</v>
      </c>
      <c r="F312">
        <v>11706</v>
      </c>
      <c r="G312" t="s">
        <v>23</v>
      </c>
      <c r="H312" t="s">
        <v>21</v>
      </c>
      <c r="I312">
        <v>51094</v>
      </c>
      <c r="J312">
        <v>44069</v>
      </c>
      <c r="K312">
        <v>7025</v>
      </c>
      <c r="L312">
        <v>14500</v>
      </c>
      <c r="M312">
        <v>8500</v>
      </c>
      <c r="N312">
        <v>6000</v>
      </c>
    </row>
    <row r="313" spans="1:14" ht="14.4">
      <c r="A313">
        <v>13365</v>
      </c>
      <c r="B313">
        <v>13366</v>
      </c>
      <c r="C313">
        <v>4085</v>
      </c>
      <c r="D313" t="s">
        <v>18</v>
      </c>
      <c r="E313" t="s">
        <v>1201</v>
      </c>
      <c r="F313">
        <v>11752</v>
      </c>
      <c r="G313" t="s">
        <v>23</v>
      </c>
      <c r="H313" t="s">
        <v>21</v>
      </c>
      <c r="I313">
        <v>32076</v>
      </c>
      <c r="J313">
        <v>26576</v>
      </c>
      <c r="K313">
        <v>5500</v>
      </c>
      <c r="L313">
        <v>0</v>
      </c>
      <c r="M313">
        <v>0</v>
      </c>
      <c r="N313">
        <v>0</v>
      </c>
    </row>
    <row r="314" spans="1:14" ht="14.4">
      <c r="A314">
        <v>13365</v>
      </c>
      <c r="B314">
        <v>13366</v>
      </c>
      <c r="C314">
        <v>4085</v>
      </c>
      <c r="D314" t="s">
        <v>18</v>
      </c>
      <c r="E314" t="s">
        <v>1202</v>
      </c>
      <c r="F314">
        <v>11691</v>
      </c>
      <c r="G314" t="s">
        <v>28</v>
      </c>
      <c r="H314" t="s">
        <v>21</v>
      </c>
      <c r="I314">
        <v>101078</v>
      </c>
      <c r="J314">
        <v>63518</v>
      </c>
      <c r="K314">
        <v>37560</v>
      </c>
      <c r="L314">
        <v>49100</v>
      </c>
      <c r="M314">
        <v>11600</v>
      </c>
      <c r="N314">
        <v>37500</v>
      </c>
    </row>
    <row r="315" spans="1:14" ht="14.4">
      <c r="A315">
        <v>13365</v>
      </c>
      <c r="B315">
        <v>13366</v>
      </c>
      <c r="C315">
        <v>4085</v>
      </c>
      <c r="D315" t="s">
        <v>18</v>
      </c>
      <c r="E315" t="s">
        <v>1203</v>
      </c>
      <c r="F315">
        <v>11691</v>
      </c>
      <c r="G315" t="s">
        <v>28</v>
      </c>
      <c r="H315" t="s">
        <v>21</v>
      </c>
      <c r="I315">
        <v>500</v>
      </c>
      <c r="J315">
        <v>0</v>
      </c>
      <c r="K315">
        <v>500</v>
      </c>
      <c r="L315">
        <v>0</v>
      </c>
      <c r="M315">
        <v>0</v>
      </c>
      <c r="N315">
        <v>0</v>
      </c>
    </row>
    <row r="316" spans="1:14" ht="14.4">
      <c r="A316">
        <v>13365</v>
      </c>
      <c r="B316">
        <v>13366</v>
      </c>
      <c r="C316">
        <v>4085</v>
      </c>
      <c r="D316" t="s">
        <v>18</v>
      </c>
      <c r="E316" t="s">
        <v>120</v>
      </c>
      <c r="F316">
        <v>11691</v>
      </c>
      <c r="G316" t="s">
        <v>28</v>
      </c>
      <c r="H316" t="s">
        <v>21</v>
      </c>
      <c r="I316">
        <v>60803</v>
      </c>
      <c r="J316">
        <v>47793</v>
      </c>
      <c r="K316">
        <v>13010</v>
      </c>
      <c r="L316">
        <v>39200</v>
      </c>
      <c r="M316">
        <v>34000</v>
      </c>
      <c r="N316">
        <v>5200</v>
      </c>
    </row>
    <row r="317" spans="1:14" ht="14.4">
      <c r="A317">
        <v>13365</v>
      </c>
      <c r="B317">
        <v>13366</v>
      </c>
      <c r="C317">
        <v>4085</v>
      </c>
      <c r="D317" t="s">
        <v>18</v>
      </c>
      <c r="E317" t="s">
        <v>1204</v>
      </c>
      <c r="F317">
        <v>11691</v>
      </c>
      <c r="G317" t="s">
        <v>28</v>
      </c>
      <c r="H317" t="s">
        <v>21</v>
      </c>
      <c r="I317">
        <v>25920</v>
      </c>
      <c r="J317">
        <v>16320</v>
      </c>
      <c r="K317">
        <v>9600</v>
      </c>
      <c r="L317">
        <v>0</v>
      </c>
      <c r="M317">
        <v>0</v>
      </c>
      <c r="N317">
        <v>0</v>
      </c>
    </row>
    <row r="318" spans="1:14" ht="14.4">
      <c r="A318">
        <v>13365</v>
      </c>
      <c r="B318">
        <v>13366</v>
      </c>
      <c r="C318">
        <v>4085</v>
      </c>
      <c r="D318" t="s">
        <v>18</v>
      </c>
      <c r="E318" t="s">
        <v>1205</v>
      </c>
      <c r="F318">
        <v>11694</v>
      </c>
      <c r="G318" t="s">
        <v>28</v>
      </c>
      <c r="H318" t="s">
        <v>21</v>
      </c>
      <c r="I318">
        <v>32200</v>
      </c>
      <c r="J318">
        <v>0</v>
      </c>
      <c r="K318">
        <v>32200</v>
      </c>
      <c r="L318">
        <v>0</v>
      </c>
      <c r="M318">
        <v>0</v>
      </c>
      <c r="N318">
        <v>0</v>
      </c>
    </row>
    <row r="319" spans="1:14" ht="14.4">
      <c r="A319">
        <v>13365</v>
      </c>
      <c r="B319">
        <v>13366</v>
      </c>
      <c r="C319">
        <v>4085</v>
      </c>
      <c r="D319" t="s">
        <v>18</v>
      </c>
      <c r="E319" t="s">
        <v>121</v>
      </c>
      <c r="F319">
        <v>11561</v>
      </c>
      <c r="G319" t="s">
        <v>20</v>
      </c>
      <c r="H319" t="s">
        <v>21</v>
      </c>
      <c r="I319">
        <v>29700</v>
      </c>
      <c r="J319">
        <v>0</v>
      </c>
      <c r="K319">
        <v>29700</v>
      </c>
      <c r="L319">
        <v>0</v>
      </c>
      <c r="M319">
        <v>0</v>
      </c>
      <c r="N319">
        <v>0</v>
      </c>
    </row>
    <row r="320" spans="1:14" ht="14.4">
      <c r="A320">
        <v>13365</v>
      </c>
      <c r="B320">
        <v>13366</v>
      </c>
      <c r="C320">
        <v>4085</v>
      </c>
      <c r="D320" t="s">
        <v>18</v>
      </c>
      <c r="E320" t="s">
        <v>121</v>
      </c>
      <c r="F320">
        <v>11691</v>
      </c>
      <c r="G320" t="s">
        <v>20</v>
      </c>
      <c r="H320" t="s">
        <v>21</v>
      </c>
      <c r="I320">
        <v>18075</v>
      </c>
      <c r="J320">
        <v>0</v>
      </c>
      <c r="K320">
        <v>18075</v>
      </c>
      <c r="L320">
        <v>0</v>
      </c>
      <c r="M320">
        <v>0</v>
      </c>
      <c r="N320">
        <v>0</v>
      </c>
    </row>
    <row r="321" spans="1:14" ht="14.4">
      <c r="A321">
        <v>13365</v>
      </c>
      <c r="B321">
        <v>13366</v>
      </c>
      <c r="C321">
        <v>4085</v>
      </c>
      <c r="D321" t="s">
        <v>18</v>
      </c>
      <c r="E321" t="s">
        <v>121</v>
      </c>
      <c r="F321">
        <v>11691</v>
      </c>
      <c r="G321" t="s">
        <v>32</v>
      </c>
      <c r="H321" t="s">
        <v>21</v>
      </c>
      <c r="I321">
        <v>274315</v>
      </c>
      <c r="J321">
        <v>183515</v>
      </c>
      <c r="K321">
        <v>90800</v>
      </c>
      <c r="L321">
        <v>109200</v>
      </c>
      <c r="M321">
        <v>72200</v>
      </c>
      <c r="N321">
        <v>37000</v>
      </c>
    </row>
    <row r="322" spans="1:14" ht="14.4">
      <c r="A322">
        <v>13365</v>
      </c>
      <c r="B322">
        <v>13366</v>
      </c>
      <c r="C322">
        <v>4085</v>
      </c>
      <c r="D322" t="s">
        <v>18</v>
      </c>
      <c r="E322" t="s">
        <v>121</v>
      </c>
      <c r="F322">
        <v>11691</v>
      </c>
      <c r="G322" t="s">
        <v>28</v>
      </c>
      <c r="H322" t="s">
        <v>21</v>
      </c>
      <c r="I322">
        <v>47195829</v>
      </c>
      <c r="J322">
        <v>29554002</v>
      </c>
      <c r="K322">
        <v>17641827</v>
      </c>
      <c r="L322">
        <v>17354600</v>
      </c>
      <c r="M322">
        <v>9923900</v>
      </c>
      <c r="N322">
        <v>7430700</v>
      </c>
    </row>
    <row r="323" spans="1:14" ht="14.4">
      <c r="A323">
        <v>13365</v>
      </c>
      <c r="B323">
        <v>13366</v>
      </c>
      <c r="C323">
        <v>4085</v>
      </c>
      <c r="D323" t="s">
        <v>18</v>
      </c>
      <c r="E323" t="s">
        <v>121</v>
      </c>
      <c r="F323">
        <v>11692</v>
      </c>
      <c r="G323" t="s">
        <v>32</v>
      </c>
      <c r="H323" t="s">
        <v>21</v>
      </c>
      <c r="I323">
        <v>4903</v>
      </c>
      <c r="J323">
        <v>4203</v>
      </c>
      <c r="K323">
        <v>700</v>
      </c>
      <c r="L323">
        <v>0</v>
      </c>
      <c r="M323">
        <v>0</v>
      </c>
      <c r="N323">
        <v>0</v>
      </c>
    </row>
    <row r="324" spans="1:14" ht="14.4">
      <c r="A324">
        <v>13365</v>
      </c>
      <c r="B324">
        <v>13366</v>
      </c>
      <c r="C324">
        <v>4085</v>
      </c>
      <c r="D324" t="s">
        <v>18</v>
      </c>
      <c r="E324" t="s">
        <v>121</v>
      </c>
      <c r="F324">
        <v>11692</v>
      </c>
      <c r="G324" t="s">
        <v>28</v>
      </c>
      <c r="H324" t="s">
        <v>21</v>
      </c>
      <c r="I324">
        <v>1036653</v>
      </c>
      <c r="J324">
        <v>417206</v>
      </c>
      <c r="K324">
        <v>619447</v>
      </c>
      <c r="L324">
        <v>179700</v>
      </c>
      <c r="M324">
        <v>14000</v>
      </c>
      <c r="N324">
        <v>165700</v>
      </c>
    </row>
    <row r="325" spans="1:14" ht="14.4">
      <c r="A325">
        <v>13365</v>
      </c>
      <c r="B325">
        <v>13366</v>
      </c>
      <c r="C325">
        <v>4085</v>
      </c>
      <c r="D325" t="s">
        <v>18</v>
      </c>
      <c r="E325" t="s">
        <v>121</v>
      </c>
      <c r="F325">
        <v>11693</v>
      </c>
      <c r="G325" t="s">
        <v>28</v>
      </c>
      <c r="H325" t="s">
        <v>21</v>
      </c>
      <c r="I325">
        <v>432492</v>
      </c>
      <c r="J325">
        <v>210607</v>
      </c>
      <c r="K325">
        <v>221885</v>
      </c>
      <c r="L325">
        <v>35100</v>
      </c>
      <c r="M325">
        <v>14400</v>
      </c>
      <c r="N325">
        <v>20700</v>
      </c>
    </row>
    <row r="326" spans="1:14" ht="14.4">
      <c r="A326">
        <v>13365</v>
      </c>
      <c r="B326">
        <v>13366</v>
      </c>
      <c r="C326">
        <v>4085</v>
      </c>
      <c r="D326" t="s">
        <v>18</v>
      </c>
      <c r="E326" t="s">
        <v>121</v>
      </c>
      <c r="F326">
        <v>11694</v>
      </c>
      <c r="G326" t="s">
        <v>28</v>
      </c>
      <c r="H326" t="s">
        <v>21</v>
      </c>
      <c r="I326">
        <v>1356384</v>
      </c>
      <c r="J326">
        <v>1033694</v>
      </c>
      <c r="K326">
        <v>322690</v>
      </c>
      <c r="L326">
        <v>501800</v>
      </c>
      <c r="M326">
        <v>387000</v>
      </c>
      <c r="N326">
        <v>114800</v>
      </c>
    </row>
    <row r="327" spans="1:14" ht="14.4">
      <c r="A327">
        <v>13365</v>
      </c>
      <c r="B327">
        <v>13366</v>
      </c>
      <c r="C327">
        <v>4085</v>
      </c>
      <c r="D327" t="s">
        <v>18</v>
      </c>
      <c r="E327" t="s">
        <v>121</v>
      </c>
      <c r="F327">
        <v>11697</v>
      </c>
      <c r="G327" t="s">
        <v>28</v>
      </c>
      <c r="H327" t="s">
        <v>21</v>
      </c>
      <c r="I327">
        <v>90021</v>
      </c>
      <c r="J327">
        <v>68121</v>
      </c>
      <c r="K327">
        <v>21900</v>
      </c>
      <c r="L327">
        <v>82100</v>
      </c>
      <c r="M327">
        <v>60200</v>
      </c>
      <c r="N327">
        <v>21900</v>
      </c>
    </row>
    <row r="328" spans="1:14" ht="14.4">
      <c r="A328">
        <v>13365</v>
      </c>
      <c r="B328">
        <v>13366</v>
      </c>
      <c r="C328">
        <v>4085</v>
      </c>
      <c r="D328" t="s">
        <v>18</v>
      </c>
      <c r="E328" t="s">
        <v>121</v>
      </c>
      <c r="F328">
        <v>99999</v>
      </c>
      <c r="G328" t="s">
        <v>28</v>
      </c>
      <c r="H328" t="s">
        <v>21</v>
      </c>
      <c r="I328">
        <v>11950</v>
      </c>
      <c r="J328">
        <v>0</v>
      </c>
      <c r="K328">
        <v>11950</v>
      </c>
      <c r="L328">
        <v>0</v>
      </c>
      <c r="M328">
        <v>0</v>
      </c>
      <c r="N328">
        <v>0</v>
      </c>
    </row>
    <row r="329" spans="1:14" ht="14.4">
      <c r="A329">
        <v>13365</v>
      </c>
      <c r="B329">
        <v>13366</v>
      </c>
      <c r="C329">
        <v>4085</v>
      </c>
      <c r="D329" t="s">
        <v>18</v>
      </c>
      <c r="E329" t="s">
        <v>1206</v>
      </c>
      <c r="F329">
        <v>11693</v>
      </c>
      <c r="G329" t="s">
        <v>28</v>
      </c>
      <c r="H329" t="s">
        <v>21</v>
      </c>
      <c r="I329">
        <v>38500</v>
      </c>
      <c r="J329">
        <v>0</v>
      </c>
      <c r="K329">
        <v>38500</v>
      </c>
      <c r="L329">
        <v>38500</v>
      </c>
      <c r="M329">
        <v>0</v>
      </c>
      <c r="N329">
        <v>38500</v>
      </c>
    </row>
    <row r="330" spans="1:14" ht="14.4">
      <c r="A330">
        <v>13365</v>
      </c>
      <c r="B330">
        <v>13366</v>
      </c>
      <c r="C330">
        <v>4085</v>
      </c>
      <c r="D330" t="s">
        <v>18</v>
      </c>
      <c r="E330" t="s">
        <v>1207</v>
      </c>
      <c r="F330">
        <v>11691</v>
      </c>
      <c r="G330" t="s">
        <v>28</v>
      </c>
      <c r="H330" t="s">
        <v>21</v>
      </c>
      <c r="I330">
        <v>87580</v>
      </c>
      <c r="J330">
        <v>71880</v>
      </c>
      <c r="K330">
        <v>15700</v>
      </c>
      <c r="L330">
        <v>0</v>
      </c>
      <c r="M330">
        <v>0</v>
      </c>
      <c r="N330">
        <v>0</v>
      </c>
    </row>
    <row r="331" spans="1:14" ht="14.4">
      <c r="A331">
        <v>13365</v>
      </c>
      <c r="B331">
        <v>13366</v>
      </c>
      <c r="C331">
        <v>4085</v>
      </c>
      <c r="D331" t="s">
        <v>18</v>
      </c>
      <c r="E331" t="s">
        <v>1208</v>
      </c>
      <c r="F331">
        <v>11691</v>
      </c>
      <c r="G331" t="s">
        <v>28</v>
      </c>
      <c r="H331" t="s">
        <v>21</v>
      </c>
      <c r="I331">
        <v>155270</v>
      </c>
      <c r="J331">
        <v>90207</v>
      </c>
      <c r="K331">
        <v>65063</v>
      </c>
      <c r="L331">
        <v>85600</v>
      </c>
      <c r="M331">
        <v>45600</v>
      </c>
      <c r="N331">
        <v>40000</v>
      </c>
    </row>
    <row r="332" spans="1:14" ht="14.4">
      <c r="A332">
        <v>13365</v>
      </c>
      <c r="B332">
        <v>13366</v>
      </c>
      <c r="C332">
        <v>4085</v>
      </c>
      <c r="D332" t="s">
        <v>18</v>
      </c>
      <c r="E332" t="s">
        <v>123</v>
      </c>
      <c r="F332">
        <v>11691</v>
      </c>
      <c r="G332" t="s">
        <v>28</v>
      </c>
      <c r="H332" t="s">
        <v>21</v>
      </c>
      <c r="I332">
        <v>9380</v>
      </c>
      <c r="J332">
        <v>0</v>
      </c>
      <c r="K332">
        <v>9380</v>
      </c>
      <c r="L332">
        <v>0</v>
      </c>
      <c r="M332">
        <v>0</v>
      </c>
      <c r="N332">
        <v>0</v>
      </c>
    </row>
    <row r="333" spans="1:14" ht="14.4">
      <c r="A333">
        <v>13365</v>
      </c>
      <c r="B333">
        <v>13366</v>
      </c>
      <c r="C333">
        <v>4085</v>
      </c>
      <c r="D333" t="s">
        <v>18</v>
      </c>
      <c r="E333" t="s">
        <v>123</v>
      </c>
      <c r="F333">
        <v>11693</v>
      </c>
      <c r="G333" t="s">
        <v>28</v>
      </c>
      <c r="H333" t="s">
        <v>21</v>
      </c>
      <c r="I333">
        <v>58818</v>
      </c>
      <c r="J333">
        <v>33068</v>
      </c>
      <c r="K333">
        <v>25750</v>
      </c>
      <c r="L333">
        <v>0</v>
      </c>
      <c r="M333">
        <v>0</v>
      </c>
      <c r="N333">
        <v>0</v>
      </c>
    </row>
    <row r="334" spans="1:14" ht="14.4">
      <c r="A334">
        <v>13365</v>
      </c>
      <c r="B334">
        <v>13366</v>
      </c>
      <c r="C334">
        <v>4085</v>
      </c>
      <c r="D334" t="s">
        <v>18</v>
      </c>
      <c r="E334" t="s">
        <v>124</v>
      </c>
      <c r="F334">
        <v>11735</v>
      </c>
      <c r="G334" t="s">
        <v>20</v>
      </c>
      <c r="H334" t="s">
        <v>21</v>
      </c>
      <c r="I334">
        <v>270311</v>
      </c>
      <c r="J334">
        <v>247574</v>
      </c>
      <c r="K334">
        <v>22737</v>
      </c>
      <c r="L334">
        <v>220500</v>
      </c>
      <c r="M334">
        <v>198600</v>
      </c>
      <c r="N334">
        <v>21900</v>
      </c>
    </row>
    <row r="335" spans="1:14" ht="14.4">
      <c r="A335">
        <v>13365</v>
      </c>
      <c r="B335">
        <v>13366</v>
      </c>
      <c r="C335">
        <v>4085</v>
      </c>
      <c r="D335" t="s">
        <v>18</v>
      </c>
      <c r="E335" t="s">
        <v>124</v>
      </c>
      <c r="F335">
        <v>11735</v>
      </c>
      <c r="G335" t="s">
        <v>23</v>
      </c>
      <c r="H335" t="s">
        <v>21</v>
      </c>
      <c r="I335">
        <v>117541</v>
      </c>
      <c r="J335">
        <v>110091</v>
      </c>
      <c r="K335">
        <v>7450</v>
      </c>
      <c r="L335">
        <v>28600</v>
      </c>
      <c r="M335">
        <v>22500</v>
      </c>
      <c r="N335">
        <v>6100</v>
      </c>
    </row>
    <row r="336" spans="1:14" ht="14.4">
      <c r="A336">
        <v>13365</v>
      </c>
      <c r="B336">
        <v>13366</v>
      </c>
      <c r="C336">
        <v>4085</v>
      </c>
      <c r="D336" t="s">
        <v>18</v>
      </c>
      <c r="E336" t="s">
        <v>125</v>
      </c>
      <c r="F336">
        <v>11738</v>
      </c>
      <c r="G336" t="s">
        <v>23</v>
      </c>
      <c r="H336" t="s">
        <v>21</v>
      </c>
      <c r="I336">
        <v>187863</v>
      </c>
      <c r="J336">
        <v>185338</v>
      </c>
      <c r="K336">
        <v>2525</v>
      </c>
      <c r="L336">
        <v>125900</v>
      </c>
      <c r="M336">
        <v>123900</v>
      </c>
      <c r="N336">
        <v>2000</v>
      </c>
    </row>
    <row r="337" spans="1:14" ht="14.4">
      <c r="A337">
        <v>13365</v>
      </c>
      <c r="B337">
        <v>13366</v>
      </c>
      <c r="C337">
        <v>4085</v>
      </c>
      <c r="D337" t="s">
        <v>18</v>
      </c>
      <c r="E337" t="s">
        <v>1209</v>
      </c>
      <c r="F337">
        <v>11691</v>
      </c>
      <c r="G337" t="s">
        <v>32</v>
      </c>
      <c r="H337" t="s">
        <v>21</v>
      </c>
      <c r="I337">
        <v>136317</v>
      </c>
      <c r="J337">
        <v>95742</v>
      </c>
      <c r="K337">
        <v>40575</v>
      </c>
      <c r="L337">
        <v>0</v>
      </c>
      <c r="M337">
        <v>0</v>
      </c>
      <c r="N337">
        <v>0</v>
      </c>
    </row>
    <row r="338" spans="1:14" ht="14.4">
      <c r="A338">
        <v>13365</v>
      </c>
      <c r="B338">
        <v>13366</v>
      </c>
      <c r="C338">
        <v>4085</v>
      </c>
      <c r="D338" t="s">
        <v>18</v>
      </c>
      <c r="E338" t="s">
        <v>1209</v>
      </c>
      <c r="F338">
        <v>11691</v>
      </c>
      <c r="G338" t="s">
        <v>28</v>
      </c>
      <c r="H338" t="s">
        <v>21</v>
      </c>
      <c r="I338">
        <v>76180</v>
      </c>
      <c r="J338">
        <v>37120</v>
      </c>
      <c r="K338">
        <v>39060</v>
      </c>
      <c r="L338">
        <v>7200</v>
      </c>
      <c r="M338">
        <v>0</v>
      </c>
      <c r="N338">
        <v>7200</v>
      </c>
    </row>
    <row r="339" spans="1:14" ht="14.4">
      <c r="A339">
        <v>13365</v>
      </c>
      <c r="B339">
        <v>13366</v>
      </c>
      <c r="C339">
        <v>4085</v>
      </c>
      <c r="D339" t="s">
        <v>18</v>
      </c>
      <c r="E339" t="s">
        <v>1209</v>
      </c>
      <c r="F339">
        <v>11692</v>
      </c>
      <c r="G339" t="s">
        <v>28</v>
      </c>
      <c r="H339" t="s">
        <v>21</v>
      </c>
      <c r="I339">
        <v>23070</v>
      </c>
      <c r="J339">
        <v>0</v>
      </c>
      <c r="K339">
        <v>23070</v>
      </c>
      <c r="L339">
        <v>0</v>
      </c>
      <c r="M339">
        <v>0</v>
      </c>
      <c r="N339">
        <v>0</v>
      </c>
    </row>
    <row r="340" spans="1:14" ht="14.4">
      <c r="A340">
        <v>13365</v>
      </c>
      <c r="B340">
        <v>13366</v>
      </c>
      <c r="C340">
        <v>4085</v>
      </c>
      <c r="D340" t="s">
        <v>18</v>
      </c>
      <c r="E340" t="s">
        <v>1210</v>
      </c>
      <c r="F340">
        <v>11691</v>
      </c>
      <c r="G340" t="s">
        <v>28</v>
      </c>
      <c r="H340" t="s">
        <v>21</v>
      </c>
      <c r="I340">
        <v>45550</v>
      </c>
      <c r="J340">
        <v>0</v>
      </c>
      <c r="K340">
        <v>45550</v>
      </c>
      <c r="L340">
        <v>0</v>
      </c>
      <c r="M340">
        <v>0</v>
      </c>
      <c r="N340">
        <v>0</v>
      </c>
    </row>
    <row r="341" spans="1:14" ht="14.4">
      <c r="A341">
        <v>13365</v>
      </c>
      <c r="B341">
        <v>13366</v>
      </c>
      <c r="C341">
        <v>4085</v>
      </c>
      <c r="D341" t="s">
        <v>18</v>
      </c>
      <c r="E341" t="s">
        <v>126</v>
      </c>
      <c r="F341">
        <v>11782</v>
      </c>
      <c r="G341" t="s">
        <v>23</v>
      </c>
      <c r="H341" t="s">
        <v>21</v>
      </c>
      <c r="I341">
        <v>141622</v>
      </c>
      <c r="J341">
        <v>139122</v>
      </c>
      <c r="K341">
        <v>2500</v>
      </c>
      <c r="L341">
        <v>0</v>
      </c>
      <c r="M341">
        <v>0</v>
      </c>
      <c r="N341">
        <v>0</v>
      </c>
    </row>
    <row r="342" spans="1:14" ht="14.4">
      <c r="A342">
        <v>13365</v>
      </c>
      <c r="B342">
        <v>13366</v>
      </c>
      <c r="C342">
        <v>4085</v>
      </c>
      <c r="D342" t="s">
        <v>18</v>
      </c>
      <c r="E342" t="s">
        <v>128</v>
      </c>
      <c r="F342">
        <v>11901</v>
      </c>
      <c r="G342" t="s">
        <v>23</v>
      </c>
      <c r="H342" t="s">
        <v>21</v>
      </c>
      <c r="I342">
        <v>1095960</v>
      </c>
      <c r="J342">
        <v>888415</v>
      </c>
      <c r="K342">
        <v>207545</v>
      </c>
      <c r="L342">
        <v>443300</v>
      </c>
      <c r="M342">
        <v>354500</v>
      </c>
      <c r="N342">
        <v>88800</v>
      </c>
    </row>
    <row r="343" spans="1:14" ht="14.4">
      <c r="A343">
        <v>13365</v>
      </c>
      <c r="B343">
        <v>13366</v>
      </c>
      <c r="C343">
        <v>4085</v>
      </c>
      <c r="D343" t="s">
        <v>18</v>
      </c>
      <c r="E343" t="s">
        <v>129</v>
      </c>
      <c r="F343">
        <v>11001</v>
      </c>
      <c r="G343" t="s">
        <v>20</v>
      </c>
      <c r="H343" t="s">
        <v>21</v>
      </c>
      <c r="I343">
        <v>421734</v>
      </c>
      <c r="J343">
        <v>380614</v>
      </c>
      <c r="K343">
        <v>41120</v>
      </c>
      <c r="L343">
        <v>260400</v>
      </c>
      <c r="M343">
        <v>235600</v>
      </c>
      <c r="N343">
        <v>24800</v>
      </c>
    </row>
    <row r="344" spans="1:14" ht="14.4">
      <c r="A344">
        <v>13365</v>
      </c>
      <c r="B344">
        <v>13366</v>
      </c>
      <c r="C344">
        <v>4085</v>
      </c>
      <c r="D344" t="s">
        <v>18</v>
      </c>
      <c r="E344" t="s">
        <v>129</v>
      </c>
      <c r="F344">
        <v>11004</v>
      </c>
      <c r="G344" t="s">
        <v>28</v>
      </c>
      <c r="H344" t="s">
        <v>21</v>
      </c>
      <c r="I344">
        <v>128017</v>
      </c>
      <c r="J344">
        <v>112579</v>
      </c>
      <c r="K344">
        <v>15438</v>
      </c>
      <c r="L344">
        <v>31500</v>
      </c>
      <c r="M344">
        <v>31100</v>
      </c>
      <c r="N344">
        <v>400</v>
      </c>
    </row>
    <row r="345" spans="1:14" ht="14.4">
      <c r="A345">
        <v>13365</v>
      </c>
      <c r="B345">
        <v>13366</v>
      </c>
      <c r="C345">
        <v>4085</v>
      </c>
      <c r="D345" t="s">
        <v>18</v>
      </c>
      <c r="E345" t="s">
        <v>1211</v>
      </c>
      <c r="F345">
        <v>10921</v>
      </c>
      <c r="G345" t="s">
        <v>51</v>
      </c>
      <c r="H345" t="s">
        <v>21</v>
      </c>
      <c r="I345">
        <v>89284</v>
      </c>
      <c r="J345">
        <v>79139</v>
      </c>
      <c r="K345">
        <v>10145</v>
      </c>
      <c r="L345">
        <v>64100</v>
      </c>
      <c r="M345">
        <v>56500</v>
      </c>
      <c r="N345">
        <v>7600</v>
      </c>
    </row>
    <row r="346" spans="1:14" ht="14.4">
      <c r="A346">
        <v>13365</v>
      </c>
      <c r="B346">
        <v>13366</v>
      </c>
      <c r="C346">
        <v>4085</v>
      </c>
      <c r="D346" t="s">
        <v>18</v>
      </c>
      <c r="E346" t="s">
        <v>130</v>
      </c>
      <c r="F346">
        <v>11354</v>
      </c>
      <c r="G346" t="s">
        <v>28</v>
      </c>
      <c r="H346" t="s">
        <v>21</v>
      </c>
      <c r="I346">
        <v>79846</v>
      </c>
      <c r="J346">
        <v>57761</v>
      </c>
      <c r="K346">
        <v>22085</v>
      </c>
      <c r="L346">
        <v>61100</v>
      </c>
      <c r="M346">
        <v>57200</v>
      </c>
      <c r="N346">
        <v>3900</v>
      </c>
    </row>
    <row r="347" spans="1:14" ht="14.4">
      <c r="A347">
        <v>13365</v>
      </c>
      <c r="B347">
        <v>13366</v>
      </c>
      <c r="C347">
        <v>4085</v>
      </c>
      <c r="D347" t="s">
        <v>18</v>
      </c>
      <c r="E347" t="s">
        <v>130</v>
      </c>
      <c r="F347">
        <v>11355</v>
      </c>
      <c r="G347" t="s">
        <v>28</v>
      </c>
      <c r="H347" t="s">
        <v>21</v>
      </c>
      <c r="I347">
        <v>56574</v>
      </c>
      <c r="J347">
        <v>50334</v>
      </c>
      <c r="K347">
        <v>6240</v>
      </c>
      <c r="L347">
        <v>14000</v>
      </c>
      <c r="M347">
        <v>14000</v>
      </c>
      <c r="N347">
        <v>0</v>
      </c>
    </row>
    <row r="348" spans="1:14" ht="14.4">
      <c r="A348">
        <v>13365</v>
      </c>
      <c r="B348">
        <v>13366</v>
      </c>
      <c r="C348">
        <v>4085</v>
      </c>
      <c r="D348" t="s">
        <v>18</v>
      </c>
      <c r="E348" t="s">
        <v>130</v>
      </c>
      <c r="F348">
        <v>11358</v>
      </c>
      <c r="G348" t="s">
        <v>28</v>
      </c>
      <c r="H348" t="s">
        <v>21</v>
      </c>
      <c r="I348">
        <v>298152</v>
      </c>
      <c r="J348">
        <v>265191</v>
      </c>
      <c r="K348">
        <v>32961</v>
      </c>
      <c r="L348">
        <v>0</v>
      </c>
      <c r="M348">
        <v>0</v>
      </c>
      <c r="N348">
        <v>0</v>
      </c>
    </row>
    <row r="349" spans="1:14" ht="14.4">
      <c r="A349">
        <v>13365</v>
      </c>
      <c r="B349">
        <v>13366</v>
      </c>
      <c r="C349">
        <v>4085</v>
      </c>
      <c r="D349" t="s">
        <v>18</v>
      </c>
      <c r="E349" t="s">
        <v>130</v>
      </c>
      <c r="F349">
        <v>11367</v>
      </c>
      <c r="G349" t="s">
        <v>28</v>
      </c>
      <c r="H349" t="s">
        <v>21</v>
      </c>
      <c r="I349">
        <v>18624</v>
      </c>
      <c r="J349">
        <v>4549</v>
      </c>
      <c r="K349">
        <v>14075</v>
      </c>
      <c r="L349">
        <v>6700</v>
      </c>
      <c r="M349">
        <v>1600</v>
      </c>
      <c r="N349">
        <v>5100</v>
      </c>
    </row>
    <row r="350" spans="1:14" ht="14.4">
      <c r="A350">
        <v>13365</v>
      </c>
      <c r="B350">
        <v>13366</v>
      </c>
      <c r="C350">
        <v>4085</v>
      </c>
      <c r="D350" t="s">
        <v>18</v>
      </c>
      <c r="E350" t="s">
        <v>130</v>
      </c>
      <c r="F350">
        <v>11371</v>
      </c>
      <c r="G350" t="s">
        <v>28</v>
      </c>
      <c r="H350" t="s">
        <v>21</v>
      </c>
      <c r="I350">
        <v>3000</v>
      </c>
      <c r="J350">
        <v>0</v>
      </c>
      <c r="K350">
        <v>3000</v>
      </c>
      <c r="L350">
        <v>3000</v>
      </c>
      <c r="M350">
        <v>0</v>
      </c>
      <c r="N350">
        <v>3000</v>
      </c>
    </row>
    <row r="351" spans="1:14" ht="14.4">
      <c r="A351">
        <v>13365</v>
      </c>
      <c r="B351">
        <v>13366</v>
      </c>
      <c r="C351">
        <v>4085</v>
      </c>
      <c r="D351" t="s">
        <v>18</v>
      </c>
      <c r="E351" t="s">
        <v>133</v>
      </c>
      <c r="F351">
        <v>11768</v>
      </c>
      <c r="G351" t="s">
        <v>23</v>
      </c>
      <c r="H351" t="s">
        <v>21</v>
      </c>
      <c r="I351">
        <v>282382</v>
      </c>
      <c r="J351">
        <v>273722</v>
      </c>
      <c r="K351">
        <v>8660</v>
      </c>
      <c r="L351">
        <v>220700</v>
      </c>
      <c r="M351">
        <v>212000</v>
      </c>
      <c r="N351">
        <v>8700</v>
      </c>
    </row>
    <row r="352" spans="1:14" ht="14.4">
      <c r="A352">
        <v>13365</v>
      </c>
      <c r="B352">
        <v>13366</v>
      </c>
      <c r="C352">
        <v>4085</v>
      </c>
      <c r="D352" t="s">
        <v>18</v>
      </c>
      <c r="E352" t="s">
        <v>134</v>
      </c>
      <c r="F352">
        <v>11697</v>
      </c>
      <c r="G352" t="s">
        <v>28</v>
      </c>
      <c r="H352" t="s">
        <v>21</v>
      </c>
      <c r="I352">
        <v>12145</v>
      </c>
      <c r="J352">
        <v>0</v>
      </c>
      <c r="K352">
        <v>12145</v>
      </c>
      <c r="L352">
        <v>12200</v>
      </c>
      <c r="M352">
        <v>0</v>
      </c>
      <c r="N352">
        <v>12200</v>
      </c>
    </row>
    <row r="353" spans="1:14" ht="14.4">
      <c r="A353">
        <v>13365</v>
      </c>
      <c r="B353">
        <v>13366</v>
      </c>
      <c r="C353">
        <v>4085</v>
      </c>
      <c r="D353" t="s">
        <v>18</v>
      </c>
      <c r="E353" t="s">
        <v>137</v>
      </c>
      <c r="F353">
        <v>11010</v>
      </c>
      <c r="G353" t="s">
        <v>20</v>
      </c>
      <c r="H353" t="s">
        <v>21</v>
      </c>
      <c r="I353">
        <v>214694</v>
      </c>
      <c r="J353">
        <v>198119</v>
      </c>
      <c r="K353">
        <v>16575</v>
      </c>
      <c r="L353">
        <v>132000</v>
      </c>
      <c r="M353">
        <v>123300</v>
      </c>
      <c r="N353">
        <v>8700</v>
      </c>
    </row>
    <row r="354" spans="1:14" ht="14.4">
      <c r="A354">
        <v>13365</v>
      </c>
      <c r="B354">
        <v>13366</v>
      </c>
      <c r="C354">
        <v>4085</v>
      </c>
      <c r="D354" t="s">
        <v>18</v>
      </c>
      <c r="E354" t="s">
        <v>138</v>
      </c>
      <c r="F354">
        <v>11514</v>
      </c>
      <c r="G354" t="s">
        <v>20</v>
      </c>
      <c r="H354" t="s">
        <v>21</v>
      </c>
      <c r="I354">
        <v>94767</v>
      </c>
      <c r="J354">
        <v>72692</v>
      </c>
      <c r="K354">
        <v>22075</v>
      </c>
      <c r="L354">
        <v>14000</v>
      </c>
      <c r="M354">
        <v>0</v>
      </c>
      <c r="N354">
        <v>14000</v>
      </c>
    </row>
    <row r="355" spans="1:14" ht="14.4">
      <c r="A355">
        <v>13365</v>
      </c>
      <c r="B355">
        <v>13366</v>
      </c>
      <c r="C355">
        <v>4085</v>
      </c>
      <c r="D355" t="s">
        <v>18</v>
      </c>
      <c r="E355" t="s">
        <v>138</v>
      </c>
      <c r="F355">
        <v>11520</v>
      </c>
      <c r="G355" t="s">
        <v>20</v>
      </c>
      <c r="H355" t="s">
        <v>21</v>
      </c>
      <c r="I355">
        <v>106004976</v>
      </c>
      <c r="J355">
        <v>75966761</v>
      </c>
      <c r="K355">
        <v>30038215</v>
      </c>
      <c r="L355">
        <v>39151200</v>
      </c>
      <c r="M355">
        <v>25523000</v>
      </c>
      <c r="N355">
        <v>13618200</v>
      </c>
    </row>
    <row r="356" spans="1:14" ht="14.4">
      <c r="A356">
        <v>13365</v>
      </c>
      <c r="B356">
        <v>13366</v>
      </c>
      <c r="C356">
        <v>4085</v>
      </c>
      <c r="D356" t="s">
        <v>18</v>
      </c>
      <c r="E356" t="s">
        <v>138</v>
      </c>
      <c r="F356">
        <v>11520</v>
      </c>
      <c r="G356" t="s">
        <v>32</v>
      </c>
      <c r="H356" t="s">
        <v>21</v>
      </c>
      <c r="I356">
        <v>492692</v>
      </c>
      <c r="J356">
        <v>290467</v>
      </c>
      <c r="K356">
        <v>202225</v>
      </c>
      <c r="L356">
        <v>151900</v>
      </c>
      <c r="M356">
        <v>89000</v>
      </c>
      <c r="N356">
        <v>62900</v>
      </c>
    </row>
    <row r="357" spans="1:14" ht="14.4">
      <c r="A357">
        <v>13365</v>
      </c>
      <c r="B357">
        <v>13366</v>
      </c>
      <c r="C357">
        <v>4085</v>
      </c>
      <c r="D357" t="s">
        <v>18</v>
      </c>
      <c r="E357" t="s">
        <v>138</v>
      </c>
      <c r="F357">
        <v>11530</v>
      </c>
      <c r="G357" t="s">
        <v>20</v>
      </c>
      <c r="H357" t="s">
        <v>21</v>
      </c>
      <c r="I357">
        <v>30250</v>
      </c>
      <c r="J357">
        <v>0</v>
      </c>
      <c r="K357">
        <v>30250</v>
      </c>
      <c r="L357">
        <v>30300</v>
      </c>
      <c r="M357">
        <v>0</v>
      </c>
      <c r="N357">
        <v>30300</v>
      </c>
    </row>
    <row r="358" spans="1:14" ht="14.4">
      <c r="A358">
        <v>13365</v>
      </c>
      <c r="B358">
        <v>13366</v>
      </c>
      <c r="C358">
        <v>4085</v>
      </c>
      <c r="D358" t="s">
        <v>18</v>
      </c>
      <c r="E358" t="s">
        <v>1212</v>
      </c>
      <c r="F358">
        <v>11520</v>
      </c>
      <c r="G358" t="s">
        <v>20</v>
      </c>
      <c r="H358" t="s">
        <v>21</v>
      </c>
      <c r="I358">
        <v>129002</v>
      </c>
      <c r="J358">
        <v>104272</v>
      </c>
      <c r="K358">
        <v>24730</v>
      </c>
      <c r="L358">
        <v>0</v>
      </c>
      <c r="M358">
        <v>0</v>
      </c>
      <c r="N358">
        <v>0</v>
      </c>
    </row>
    <row r="359" spans="1:14" ht="14.4">
      <c r="A359">
        <v>13365</v>
      </c>
      <c r="B359">
        <v>13366</v>
      </c>
      <c r="C359">
        <v>4085</v>
      </c>
      <c r="D359" t="s">
        <v>18</v>
      </c>
      <c r="E359" t="s">
        <v>139</v>
      </c>
      <c r="F359">
        <v>11365</v>
      </c>
      <c r="G359" t="s">
        <v>28</v>
      </c>
      <c r="H359" t="s">
        <v>21</v>
      </c>
      <c r="I359">
        <v>94002</v>
      </c>
      <c r="J359">
        <v>85477</v>
      </c>
      <c r="K359">
        <v>8525</v>
      </c>
      <c r="L359">
        <v>18800</v>
      </c>
      <c r="M359">
        <v>10200</v>
      </c>
      <c r="N359">
        <v>8600</v>
      </c>
    </row>
    <row r="360" spans="1:14" ht="14.4">
      <c r="A360">
        <v>13365</v>
      </c>
      <c r="B360">
        <v>13366</v>
      </c>
      <c r="C360">
        <v>4085</v>
      </c>
      <c r="D360" t="s">
        <v>18</v>
      </c>
      <c r="E360" t="s">
        <v>139</v>
      </c>
      <c r="F360">
        <v>11366</v>
      </c>
      <c r="G360" t="s">
        <v>28</v>
      </c>
      <c r="H360" t="s">
        <v>21</v>
      </c>
      <c r="I360">
        <v>12372</v>
      </c>
      <c r="J360">
        <v>12372</v>
      </c>
      <c r="K360">
        <v>0</v>
      </c>
      <c r="L360">
        <v>9200</v>
      </c>
      <c r="M360">
        <v>9200</v>
      </c>
      <c r="N360">
        <v>0</v>
      </c>
    </row>
    <row r="361" spans="1:14" ht="14.4">
      <c r="A361">
        <v>13365</v>
      </c>
      <c r="B361">
        <v>13366</v>
      </c>
      <c r="C361">
        <v>4085</v>
      </c>
      <c r="D361" t="s">
        <v>18</v>
      </c>
      <c r="E361" t="s">
        <v>140</v>
      </c>
      <c r="F361">
        <v>11530</v>
      </c>
      <c r="G361" t="s">
        <v>20</v>
      </c>
      <c r="H361" t="s">
        <v>21</v>
      </c>
      <c r="I361">
        <v>1117906</v>
      </c>
      <c r="J361">
        <v>1069526</v>
      </c>
      <c r="K361">
        <v>48380</v>
      </c>
      <c r="L361">
        <v>717200</v>
      </c>
      <c r="M361">
        <v>668700</v>
      </c>
      <c r="N361">
        <v>48500</v>
      </c>
    </row>
    <row r="362" spans="1:14" ht="14.4">
      <c r="A362">
        <v>13365</v>
      </c>
      <c r="B362">
        <v>13366</v>
      </c>
      <c r="C362">
        <v>4085</v>
      </c>
      <c r="D362" t="s">
        <v>18</v>
      </c>
      <c r="E362" t="s">
        <v>1213</v>
      </c>
      <c r="F362">
        <v>12525</v>
      </c>
      <c r="G362" t="s">
        <v>186</v>
      </c>
      <c r="H362" t="s">
        <v>21</v>
      </c>
      <c r="I362">
        <v>7900</v>
      </c>
      <c r="J362">
        <v>0</v>
      </c>
      <c r="K362">
        <v>7900</v>
      </c>
      <c r="L362">
        <v>0</v>
      </c>
      <c r="M362">
        <v>0</v>
      </c>
      <c r="N362">
        <v>0</v>
      </c>
    </row>
    <row r="363" spans="1:14" ht="14.4">
      <c r="A363">
        <v>13365</v>
      </c>
      <c r="B363">
        <v>13366</v>
      </c>
      <c r="C363">
        <v>4085</v>
      </c>
      <c r="D363" t="s">
        <v>18</v>
      </c>
      <c r="E363" t="s">
        <v>1214</v>
      </c>
      <c r="F363">
        <v>10923</v>
      </c>
      <c r="G363" t="s">
        <v>85</v>
      </c>
      <c r="H363" t="s">
        <v>21</v>
      </c>
      <c r="I363">
        <v>67996</v>
      </c>
      <c r="J363">
        <v>48146</v>
      </c>
      <c r="K363">
        <v>19850</v>
      </c>
      <c r="L363">
        <v>0</v>
      </c>
      <c r="M363">
        <v>0</v>
      </c>
      <c r="N363">
        <v>0</v>
      </c>
    </row>
    <row r="364" spans="1:14" ht="14.4">
      <c r="A364">
        <v>13365</v>
      </c>
      <c r="B364">
        <v>13366</v>
      </c>
      <c r="C364">
        <v>4085</v>
      </c>
      <c r="D364" t="s">
        <v>18</v>
      </c>
      <c r="E364" t="s">
        <v>1215</v>
      </c>
      <c r="F364">
        <v>10524</v>
      </c>
      <c r="G364" t="s">
        <v>58</v>
      </c>
      <c r="H364" t="s">
        <v>21</v>
      </c>
      <c r="I364">
        <v>97029</v>
      </c>
      <c r="J364">
        <v>83501</v>
      </c>
      <c r="K364">
        <v>13528</v>
      </c>
      <c r="L364">
        <v>13600</v>
      </c>
      <c r="M364">
        <v>0</v>
      </c>
      <c r="N364">
        <v>13600</v>
      </c>
    </row>
    <row r="365" spans="1:14" ht="14.4">
      <c r="A365">
        <v>13365</v>
      </c>
      <c r="B365">
        <v>13366</v>
      </c>
      <c r="C365">
        <v>4085</v>
      </c>
      <c r="D365" t="s">
        <v>18</v>
      </c>
      <c r="E365" t="s">
        <v>1216</v>
      </c>
      <c r="F365">
        <v>11702</v>
      </c>
      <c r="G365" t="s">
        <v>23</v>
      </c>
      <c r="H365" t="s">
        <v>21</v>
      </c>
      <c r="I365">
        <v>580734</v>
      </c>
      <c r="J365">
        <v>483919</v>
      </c>
      <c r="K365">
        <v>96815</v>
      </c>
      <c r="L365">
        <v>36900</v>
      </c>
      <c r="M365">
        <v>5100</v>
      </c>
      <c r="N365">
        <v>31800</v>
      </c>
    </row>
    <row r="366" spans="1:14" ht="14.4">
      <c r="A366">
        <v>13365</v>
      </c>
      <c r="B366">
        <v>13366</v>
      </c>
      <c r="C366">
        <v>4085</v>
      </c>
      <c r="D366" t="s">
        <v>18</v>
      </c>
      <c r="E366" t="s">
        <v>146</v>
      </c>
      <c r="F366">
        <v>11542</v>
      </c>
      <c r="G366" t="s">
        <v>20</v>
      </c>
      <c r="H366" t="s">
        <v>21</v>
      </c>
      <c r="I366">
        <v>797977</v>
      </c>
      <c r="J366">
        <v>655347</v>
      </c>
      <c r="K366">
        <v>142630</v>
      </c>
      <c r="L366">
        <v>370600</v>
      </c>
      <c r="M366">
        <v>307500</v>
      </c>
      <c r="N366">
        <v>63100</v>
      </c>
    </row>
    <row r="367" spans="1:14" ht="14.4">
      <c r="A367">
        <v>13365</v>
      </c>
      <c r="B367">
        <v>13366</v>
      </c>
      <c r="C367">
        <v>4085</v>
      </c>
      <c r="D367" t="s">
        <v>18</v>
      </c>
      <c r="E367" t="s">
        <v>147</v>
      </c>
      <c r="F367">
        <v>11545</v>
      </c>
      <c r="G367" t="s">
        <v>20</v>
      </c>
      <c r="H367" t="s">
        <v>21</v>
      </c>
      <c r="I367">
        <v>853763</v>
      </c>
      <c r="J367">
        <v>823488</v>
      </c>
      <c r="K367">
        <v>30275</v>
      </c>
      <c r="L367">
        <v>634400</v>
      </c>
      <c r="M367">
        <v>611700</v>
      </c>
      <c r="N367">
        <v>22700</v>
      </c>
    </row>
    <row r="368" spans="1:14" ht="14.4">
      <c r="A368">
        <v>13365</v>
      </c>
      <c r="B368">
        <v>13366</v>
      </c>
      <c r="C368">
        <v>4085</v>
      </c>
      <c r="D368" t="s">
        <v>18</v>
      </c>
      <c r="E368" t="s">
        <v>1217</v>
      </c>
      <c r="F368">
        <v>11004</v>
      </c>
      <c r="G368" t="s">
        <v>28</v>
      </c>
      <c r="H368" t="s">
        <v>21</v>
      </c>
      <c r="I368">
        <v>32992</v>
      </c>
      <c r="J368">
        <v>29142</v>
      </c>
      <c r="K368">
        <v>3850</v>
      </c>
      <c r="L368">
        <v>20800</v>
      </c>
      <c r="M368">
        <v>20000</v>
      </c>
      <c r="N368">
        <v>800</v>
      </c>
    </row>
    <row r="369" spans="1:14" ht="14.4">
      <c r="A369">
        <v>13365</v>
      </c>
      <c r="B369">
        <v>13366</v>
      </c>
      <c r="C369">
        <v>4085</v>
      </c>
      <c r="D369" t="s">
        <v>18</v>
      </c>
      <c r="E369" t="s">
        <v>1218</v>
      </c>
      <c r="F369">
        <v>11547</v>
      </c>
      <c r="G369" t="s">
        <v>20</v>
      </c>
      <c r="H369" t="s">
        <v>21</v>
      </c>
      <c r="I369">
        <v>39430</v>
      </c>
      <c r="J369">
        <v>39430</v>
      </c>
      <c r="K369">
        <v>0</v>
      </c>
      <c r="L369">
        <v>0</v>
      </c>
      <c r="M369">
        <v>0</v>
      </c>
      <c r="N369">
        <v>0</v>
      </c>
    </row>
    <row r="370" spans="1:14" ht="14.4">
      <c r="A370">
        <v>13365</v>
      </c>
      <c r="B370">
        <v>13366</v>
      </c>
      <c r="C370">
        <v>4085</v>
      </c>
      <c r="D370" t="s">
        <v>18</v>
      </c>
      <c r="E370" t="s">
        <v>1219</v>
      </c>
      <c r="F370">
        <v>10526</v>
      </c>
      <c r="G370" t="s">
        <v>64</v>
      </c>
      <c r="H370" t="s">
        <v>21</v>
      </c>
      <c r="I370">
        <v>2450</v>
      </c>
      <c r="J370">
        <v>0</v>
      </c>
      <c r="K370">
        <v>2450</v>
      </c>
      <c r="L370">
        <v>0</v>
      </c>
      <c r="M370">
        <v>0</v>
      </c>
      <c r="N370">
        <v>0</v>
      </c>
    </row>
    <row r="371" spans="1:14" ht="14.4">
      <c r="A371">
        <v>13365</v>
      </c>
      <c r="B371">
        <v>13366</v>
      </c>
      <c r="C371">
        <v>4085</v>
      </c>
      <c r="D371" t="s">
        <v>18</v>
      </c>
      <c r="E371" t="s">
        <v>1220</v>
      </c>
      <c r="F371">
        <v>10924</v>
      </c>
      <c r="G371" t="s">
        <v>51</v>
      </c>
      <c r="H371" t="s">
        <v>21</v>
      </c>
      <c r="I371">
        <v>52158</v>
      </c>
      <c r="J371">
        <v>19740</v>
      </c>
      <c r="K371">
        <v>32418</v>
      </c>
      <c r="L371">
        <v>15000</v>
      </c>
      <c r="M371">
        <v>15000</v>
      </c>
      <c r="N371">
        <v>0</v>
      </c>
    </row>
    <row r="372" spans="1:14" ht="14.4">
      <c r="A372">
        <v>13365</v>
      </c>
      <c r="B372">
        <v>13366</v>
      </c>
      <c r="C372">
        <v>4085</v>
      </c>
      <c r="D372" t="s">
        <v>18</v>
      </c>
      <c r="E372" t="s">
        <v>1221</v>
      </c>
      <c r="F372">
        <v>10960</v>
      </c>
      <c r="G372" t="s">
        <v>85</v>
      </c>
      <c r="H372" t="s">
        <v>21</v>
      </c>
      <c r="I372">
        <v>420203</v>
      </c>
      <c r="J372">
        <v>374003</v>
      </c>
      <c r="K372">
        <v>46200</v>
      </c>
      <c r="L372">
        <v>240000</v>
      </c>
      <c r="M372">
        <v>200000</v>
      </c>
      <c r="N372">
        <v>40000</v>
      </c>
    </row>
    <row r="373" spans="1:14" ht="14.4">
      <c r="A373">
        <v>13365</v>
      </c>
      <c r="B373">
        <v>13366</v>
      </c>
      <c r="C373">
        <v>4085</v>
      </c>
      <c r="D373" t="s">
        <v>18</v>
      </c>
      <c r="E373" t="s">
        <v>148</v>
      </c>
      <c r="F373">
        <v>10960</v>
      </c>
      <c r="G373" t="s">
        <v>85</v>
      </c>
      <c r="H373" t="s">
        <v>21</v>
      </c>
      <c r="I373">
        <v>60790</v>
      </c>
      <c r="J373">
        <v>55790</v>
      </c>
      <c r="K373">
        <v>5000</v>
      </c>
      <c r="L373">
        <v>60800</v>
      </c>
      <c r="M373">
        <v>55800</v>
      </c>
      <c r="N373">
        <v>5000</v>
      </c>
    </row>
    <row r="374" spans="1:14" ht="14.4">
      <c r="A374">
        <v>13365</v>
      </c>
      <c r="B374">
        <v>13366</v>
      </c>
      <c r="C374">
        <v>4085</v>
      </c>
      <c r="D374" t="s">
        <v>18</v>
      </c>
      <c r="E374" t="s">
        <v>149</v>
      </c>
      <c r="F374">
        <v>10960</v>
      </c>
      <c r="G374" t="s">
        <v>85</v>
      </c>
      <c r="H374" t="s">
        <v>21</v>
      </c>
      <c r="I374">
        <v>362815</v>
      </c>
      <c r="J374">
        <v>283115</v>
      </c>
      <c r="K374">
        <v>79700</v>
      </c>
      <c r="L374">
        <v>182600</v>
      </c>
      <c r="M374">
        <v>160500</v>
      </c>
      <c r="N374">
        <v>22100</v>
      </c>
    </row>
    <row r="375" spans="1:14" ht="14.4">
      <c r="A375">
        <v>13365</v>
      </c>
      <c r="B375">
        <v>13366</v>
      </c>
      <c r="C375">
        <v>4085</v>
      </c>
      <c r="D375" t="s">
        <v>18</v>
      </c>
      <c r="E375" t="s">
        <v>150</v>
      </c>
      <c r="F375">
        <v>11020</v>
      </c>
      <c r="G375" t="s">
        <v>20</v>
      </c>
      <c r="H375" t="s">
        <v>21</v>
      </c>
      <c r="I375">
        <v>29271</v>
      </c>
      <c r="J375">
        <v>25221</v>
      </c>
      <c r="K375">
        <v>4050</v>
      </c>
      <c r="L375">
        <v>3300</v>
      </c>
      <c r="M375">
        <v>0</v>
      </c>
      <c r="N375">
        <v>3300</v>
      </c>
    </row>
    <row r="376" spans="1:14" ht="14.4">
      <c r="A376">
        <v>13365</v>
      </c>
      <c r="B376">
        <v>13366</v>
      </c>
      <c r="C376">
        <v>4085</v>
      </c>
      <c r="D376" t="s">
        <v>18</v>
      </c>
      <c r="E376" t="s">
        <v>150</v>
      </c>
      <c r="F376">
        <v>11021</v>
      </c>
      <c r="G376" t="s">
        <v>20</v>
      </c>
      <c r="H376" t="s">
        <v>21</v>
      </c>
      <c r="I376">
        <v>183734</v>
      </c>
      <c r="J376">
        <v>176484</v>
      </c>
      <c r="K376">
        <v>7250</v>
      </c>
      <c r="L376">
        <v>146800</v>
      </c>
      <c r="M376">
        <v>140300</v>
      </c>
      <c r="N376">
        <v>6500</v>
      </c>
    </row>
    <row r="377" spans="1:14" ht="14.4">
      <c r="A377">
        <v>13365</v>
      </c>
      <c r="B377">
        <v>13366</v>
      </c>
      <c r="C377">
        <v>4085</v>
      </c>
      <c r="D377" t="s">
        <v>18</v>
      </c>
      <c r="E377" t="s">
        <v>150</v>
      </c>
      <c r="F377">
        <v>11023</v>
      </c>
      <c r="G377" t="s">
        <v>20</v>
      </c>
      <c r="H377" t="s">
        <v>21</v>
      </c>
      <c r="I377">
        <v>427504</v>
      </c>
      <c r="J377">
        <v>320904</v>
      </c>
      <c r="K377">
        <v>106600</v>
      </c>
      <c r="L377">
        <v>184100</v>
      </c>
      <c r="M377">
        <v>144100</v>
      </c>
      <c r="N377">
        <v>40000</v>
      </c>
    </row>
    <row r="378" spans="1:14" ht="14.4">
      <c r="A378">
        <v>13365</v>
      </c>
      <c r="B378">
        <v>13366</v>
      </c>
      <c r="C378">
        <v>4085</v>
      </c>
      <c r="D378" t="s">
        <v>18</v>
      </c>
      <c r="E378" t="s">
        <v>150</v>
      </c>
      <c r="F378">
        <v>11024</v>
      </c>
      <c r="G378" t="s">
        <v>20</v>
      </c>
      <c r="H378" t="s">
        <v>21</v>
      </c>
      <c r="I378">
        <v>146403</v>
      </c>
      <c r="J378">
        <v>133603</v>
      </c>
      <c r="K378">
        <v>12800</v>
      </c>
      <c r="L378">
        <v>60600</v>
      </c>
      <c r="M378">
        <v>51000</v>
      </c>
      <c r="N378">
        <v>9600</v>
      </c>
    </row>
    <row r="379" spans="1:14" ht="14.4">
      <c r="A379">
        <v>13365</v>
      </c>
      <c r="B379">
        <v>13366</v>
      </c>
      <c r="C379">
        <v>4085</v>
      </c>
      <c r="D379" t="s">
        <v>18</v>
      </c>
      <c r="E379" t="s">
        <v>1222</v>
      </c>
      <c r="F379">
        <v>11739</v>
      </c>
      <c r="G379" t="s">
        <v>23</v>
      </c>
      <c r="H379" t="s">
        <v>21</v>
      </c>
      <c r="I379">
        <v>274188</v>
      </c>
      <c r="J379">
        <v>245153</v>
      </c>
      <c r="K379">
        <v>29035</v>
      </c>
      <c r="L379">
        <v>114800</v>
      </c>
      <c r="M379">
        <v>94100</v>
      </c>
      <c r="N379">
        <v>20700</v>
      </c>
    </row>
    <row r="380" spans="1:14" ht="14.4">
      <c r="A380">
        <v>13365</v>
      </c>
      <c r="B380">
        <v>13366</v>
      </c>
      <c r="C380">
        <v>4085</v>
      </c>
      <c r="D380" t="s">
        <v>18</v>
      </c>
      <c r="E380" t="s">
        <v>1223</v>
      </c>
      <c r="F380">
        <v>11740</v>
      </c>
      <c r="G380" t="s">
        <v>23</v>
      </c>
      <c r="H380" t="s">
        <v>21</v>
      </c>
      <c r="I380">
        <v>263444</v>
      </c>
      <c r="J380">
        <v>246319</v>
      </c>
      <c r="K380">
        <v>17125</v>
      </c>
      <c r="L380">
        <v>44600</v>
      </c>
      <c r="M380">
        <v>44400</v>
      </c>
      <c r="N380">
        <v>200</v>
      </c>
    </row>
    <row r="381" spans="1:14" ht="14.4">
      <c r="A381">
        <v>13365</v>
      </c>
      <c r="B381">
        <v>13366</v>
      </c>
      <c r="C381">
        <v>4085</v>
      </c>
      <c r="D381" t="s">
        <v>18</v>
      </c>
      <c r="E381" t="s">
        <v>151</v>
      </c>
      <c r="F381">
        <v>11520</v>
      </c>
      <c r="G381" t="s">
        <v>20</v>
      </c>
      <c r="H381" t="s">
        <v>21</v>
      </c>
      <c r="I381">
        <v>71510</v>
      </c>
      <c r="J381">
        <v>50335</v>
      </c>
      <c r="K381">
        <v>21175</v>
      </c>
      <c r="L381">
        <v>0</v>
      </c>
      <c r="M381">
        <v>0</v>
      </c>
      <c r="N381">
        <v>0</v>
      </c>
    </row>
    <row r="382" spans="1:14" ht="14.4">
      <c r="A382">
        <v>13365</v>
      </c>
      <c r="B382">
        <v>13366</v>
      </c>
      <c r="C382">
        <v>4085</v>
      </c>
      <c r="D382" t="s">
        <v>18</v>
      </c>
      <c r="E382" t="s">
        <v>151</v>
      </c>
      <c r="F382">
        <v>11944</v>
      </c>
      <c r="G382" t="s">
        <v>23</v>
      </c>
      <c r="H382" t="s">
        <v>21</v>
      </c>
      <c r="I382">
        <v>562554</v>
      </c>
      <c r="J382">
        <v>511619</v>
      </c>
      <c r="K382">
        <v>50935</v>
      </c>
      <c r="L382">
        <v>313000</v>
      </c>
      <c r="M382">
        <v>283300</v>
      </c>
      <c r="N382">
        <v>29700</v>
      </c>
    </row>
    <row r="383" spans="1:14" ht="14.4">
      <c r="A383">
        <v>13365</v>
      </c>
      <c r="B383">
        <v>13366</v>
      </c>
      <c r="C383">
        <v>4085</v>
      </c>
      <c r="D383" t="s">
        <v>18</v>
      </c>
      <c r="E383" t="s">
        <v>1224</v>
      </c>
      <c r="F383">
        <v>10925</v>
      </c>
      <c r="G383" t="s">
        <v>51</v>
      </c>
      <c r="H383" t="s">
        <v>21</v>
      </c>
      <c r="I383">
        <v>152519</v>
      </c>
      <c r="J383">
        <v>140069</v>
      </c>
      <c r="K383">
        <v>12450</v>
      </c>
      <c r="L383">
        <v>64400</v>
      </c>
      <c r="M383">
        <v>55800</v>
      </c>
      <c r="N383">
        <v>8600</v>
      </c>
    </row>
    <row r="384" spans="1:14" ht="14.4">
      <c r="A384">
        <v>13365</v>
      </c>
      <c r="B384">
        <v>13366</v>
      </c>
      <c r="C384">
        <v>4085</v>
      </c>
      <c r="D384" t="s">
        <v>18</v>
      </c>
      <c r="E384" t="s">
        <v>1225</v>
      </c>
      <c r="F384">
        <v>11743</v>
      </c>
      <c r="G384" t="s">
        <v>23</v>
      </c>
      <c r="H384" t="s">
        <v>21</v>
      </c>
      <c r="I384">
        <v>76349</v>
      </c>
      <c r="J384">
        <v>76029</v>
      </c>
      <c r="K384">
        <v>320</v>
      </c>
      <c r="L384">
        <v>25200</v>
      </c>
      <c r="M384">
        <v>24900</v>
      </c>
      <c r="N384">
        <v>300</v>
      </c>
    </row>
    <row r="385" spans="1:14" ht="14.4">
      <c r="A385">
        <v>13365</v>
      </c>
      <c r="B385">
        <v>13366</v>
      </c>
      <c r="C385">
        <v>4085</v>
      </c>
      <c r="D385" t="s">
        <v>18</v>
      </c>
      <c r="E385" t="s">
        <v>1226</v>
      </c>
      <c r="F385">
        <v>11414</v>
      </c>
      <c r="G385" t="s">
        <v>28</v>
      </c>
      <c r="H385" t="s">
        <v>21</v>
      </c>
      <c r="I385">
        <v>909325</v>
      </c>
      <c r="J385">
        <v>594905</v>
      </c>
      <c r="K385">
        <v>314420</v>
      </c>
      <c r="L385">
        <v>252700</v>
      </c>
      <c r="M385">
        <v>159300</v>
      </c>
      <c r="N385">
        <v>93400</v>
      </c>
    </row>
    <row r="386" spans="1:14" ht="14.4">
      <c r="A386">
        <v>13365</v>
      </c>
      <c r="B386">
        <v>13366</v>
      </c>
      <c r="C386">
        <v>4085</v>
      </c>
      <c r="D386" t="s">
        <v>18</v>
      </c>
      <c r="E386" t="s">
        <v>1226</v>
      </c>
      <c r="F386">
        <v>16114</v>
      </c>
      <c r="G386" t="s">
        <v>28</v>
      </c>
      <c r="H386" t="s">
        <v>21</v>
      </c>
      <c r="I386">
        <v>111498</v>
      </c>
      <c r="J386">
        <v>70598</v>
      </c>
      <c r="K386">
        <v>40900</v>
      </c>
      <c r="L386">
        <v>0</v>
      </c>
      <c r="M386">
        <v>0</v>
      </c>
      <c r="N386">
        <v>0</v>
      </c>
    </row>
    <row r="387" spans="1:14" ht="14.4">
      <c r="A387">
        <v>13365</v>
      </c>
      <c r="B387">
        <v>13366</v>
      </c>
      <c r="C387">
        <v>4085</v>
      </c>
      <c r="D387" t="s">
        <v>18</v>
      </c>
      <c r="E387" t="s">
        <v>154</v>
      </c>
      <c r="F387">
        <v>11946</v>
      </c>
      <c r="G387" t="s">
        <v>23</v>
      </c>
      <c r="H387" t="s">
        <v>21</v>
      </c>
      <c r="I387">
        <v>2701516</v>
      </c>
      <c r="J387">
        <v>2273941</v>
      </c>
      <c r="K387">
        <v>427575</v>
      </c>
      <c r="L387">
        <v>1232500</v>
      </c>
      <c r="M387">
        <v>1033500</v>
      </c>
      <c r="N387">
        <v>199000</v>
      </c>
    </row>
    <row r="388" spans="1:14" ht="14.4">
      <c r="A388">
        <v>13365</v>
      </c>
      <c r="B388">
        <v>13366</v>
      </c>
      <c r="C388">
        <v>4085</v>
      </c>
      <c r="D388" t="s">
        <v>18</v>
      </c>
      <c r="E388" t="s">
        <v>154</v>
      </c>
      <c r="F388">
        <v>11964</v>
      </c>
      <c r="G388" t="s">
        <v>23</v>
      </c>
      <c r="H388" t="s">
        <v>21</v>
      </c>
      <c r="I388">
        <v>144122</v>
      </c>
      <c r="J388">
        <v>136922</v>
      </c>
      <c r="K388">
        <v>7200</v>
      </c>
      <c r="L388">
        <v>0</v>
      </c>
      <c r="M388">
        <v>0</v>
      </c>
      <c r="N388">
        <v>0</v>
      </c>
    </row>
    <row r="389" spans="1:14" ht="14.4">
      <c r="A389">
        <v>13365</v>
      </c>
      <c r="B389">
        <v>13366</v>
      </c>
      <c r="C389">
        <v>4085</v>
      </c>
      <c r="D389" t="s">
        <v>18</v>
      </c>
      <c r="E389" t="s">
        <v>1227</v>
      </c>
      <c r="F389">
        <v>11946</v>
      </c>
      <c r="G389" t="s">
        <v>23</v>
      </c>
      <c r="H389" t="s">
        <v>21</v>
      </c>
      <c r="I389">
        <v>200535</v>
      </c>
      <c r="J389">
        <v>200535</v>
      </c>
      <c r="K389">
        <v>0</v>
      </c>
      <c r="L389">
        <v>0</v>
      </c>
      <c r="M389">
        <v>0</v>
      </c>
      <c r="N389">
        <v>0</v>
      </c>
    </row>
    <row r="390" spans="1:14" ht="14.4">
      <c r="A390">
        <v>13365</v>
      </c>
      <c r="B390">
        <v>13366</v>
      </c>
      <c r="C390">
        <v>4085</v>
      </c>
      <c r="D390" t="s">
        <v>18</v>
      </c>
      <c r="E390" t="s">
        <v>1228</v>
      </c>
      <c r="F390">
        <v>10926</v>
      </c>
      <c r="G390" t="s">
        <v>51</v>
      </c>
      <c r="H390" t="s">
        <v>21</v>
      </c>
      <c r="I390">
        <v>22676</v>
      </c>
      <c r="J390">
        <v>22676</v>
      </c>
      <c r="K390">
        <v>0</v>
      </c>
      <c r="L390">
        <v>0</v>
      </c>
      <c r="M390">
        <v>0</v>
      </c>
      <c r="N390">
        <v>0</v>
      </c>
    </row>
    <row r="391" spans="1:14" ht="14.4">
      <c r="A391">
        <v>13365</v>
      </c>
      <c r="B391">
        <v>13366</v>
      </c>
      <c r="C391">
        <v>4085</v>
      </c>
      <c r="D391" t="s">
        <v>18</v>
      </c>
      <c r="E391" t="s">
        <v>155</v>
      </c>
      <c r="F391">
        <v>10528</v>
      </c>
      <c r="G391" t="s">
        <v>64</v>
      </c>
      <c r="H391" t="s">
        <v>21</v>
      </c>
      <c r="I391">
        <v>73162</v>
      </c>
      <c r="J391">
        <v>60312</v>
      </c>
      <c r="K391">
        <v>12850</v>
      </c>
      <c r="L391">
        <v>0</v>
      </c>
      <c r="M391">
        <v>0</v>
      </c>
      <c r="N391">
        <v>0</v>
      </c>
    </row>
    <row r="392" spans="1:14" ht="14.4">
      <c r="A392">
        <v>13365</v>
      </c>
      <c r="B392">
        <v>13366</v>
      </c>
      <c r="C392">
        <v>4085</v>
      </c>
      <c r="D392" t="s">
        <v>18</v>
      </c>
      <c r="E392" t="s">
        <v>1229</v>
      </c>
      <c r="F392">
        <v>10530</v>
      </c>
      <c r="G392" t="s">
        <v>64</v>
      </c>
      <c r="H392" t="s">
        <v>21</v>
      </c>
      <c r="I392">
        <v>464298</v>
      </c>
      <c r="J392">
        <v>417598</v>
      </c>
      <c r="K392">
        <v>46700</v>
      </c>
      <c r="L392">
        <v>225400</v>
      </c>
      <c r="M392">
        <v>183300</v>
      </c>
      <c r="N392">
        <v>42100</v>
      </c>
    </row>
    <row r="393" spans="1:14" ht="14.4">
      <c r="A393">
        <v>13365</v>
      </c>
      <c r="B393">
        <v>13366</v>
      </c>
      <c r="C393">
        <v>4085</v>
      </c>
      <c r="D393" t="s">
        <v>18</v>
      </c>
      <c r="E393" t="s">
        <v>156</v>
      </c>
      <c r="F393">
        <v>10706</v>
      </c>
      <c r="G393" t="s">
        <v>64</v>
      </c>
      <c r="H393" t="s">
        <v>21</v>
      </c>
      <c r="I393">
        <v>246103</v>
      </c>
      <c r="J393">
        <v>211501</v>
      </c>
      <c r="K393">
        <v>34602</v>
      </c>
      <c r="L393">
        <v>134000</v>
      </c>
      <c r="M393">
        <v>113800</v>
      </c>
      <c r="N393">
        <v>20200</v>
      </c>
    </row>
    <row r="394" spans="1:14" ht="14.4">
      <c r="A394">
        <v>13365</v>
      </c>
      <c r="B394">
        <v>13366</v>
      </c>
      <c r="C394">
        <v>4085</v>
      </c>
      <c r="D394" t="s">
        <v>18</v>
      </c>
      <c r="E394" t="s">
        <v>1230</v>
      </c>
      <c r="F394">
        <v>10706</v>
      </c>
      <c r="G394" t="s">
        <v>64</v>
      </c>
      <c r="H394" t="s">
        <v>21</v>
      </c>
      <c r="I394">
        <v>153308</v>
      </c>
      <c r="J394">
        <v>141158</v>
      </c>
      <c r="K394">
        <v>12150</v>
      </c>
      <c r="L394">
        <v>800</v>
      </c>
      <c r="M394">
        <v>0</v>
      </c>
      <c r="N394">
        <v>800</v>
      </c>
    </row>
    <row r="395" spans="1:14" ht="14.4">
      <c r="A395">
        <v>13365</v>
      </c>
      <c r="B395">
        <v>13366</v>
      </c>
      <c r="C395">
        <v>4085</v>
      </c>
      <c r="D395" t="s">
        <v>18</v>
      </c>
      <c r="E395" t="s">
        <v>157</v>
      </c>
      <c r="F395">
        <v>11788</v>
      </c>
      <c r="G395" t="s">
        <v>23</v>
      </c>
      <c r="H395" t="s">
        <v>21</v>
      </c>
      <c r="I395">
        <v>519798</v>
      </c>
      <c r="J395">
        <v>486498</v>
      </c>
      <c r="K395">
        <v>33300</v>
      </c>
      <c r="L395">
        <v>78600</v>
      </c>
      <c r="M395">
        <v>75600</v>
      </c>
      <c r="N395">
        <v>3000</v>
      </c>
    </row>
    <row r="396" spans="1:14" ht="14.4">
      <c r="A396">
        <v>13365</v>
      </c>
      <c r="B396">
        <v>13366</v>
      </c>
      <c r="C396">
        <v>4085</v>
      </c>
      <c r="D396" t="s">
        <v>18</v>
      </c>
      <c r="E396" t="s">
        <v>158</v>
      </c>
      <c r="F396">
        <v>10927</v>
      </c>
      <c r="G396" t="s">
        <v>85</v>
      </c>
      <c r="H396" t="s">
        <v>21</v>
      </c>
      <c r="I396">
        <v>143645</v>
      </c>
      <c r="J396">
        <v>31270</v>
      </c>
      <c r="K396">
        <v>112375</v>
      </c>
      <c r="L396">
        <v>78400</v>
      </c>
      <c r="M396">
        <v>30800</v>
      </c>
      <c r="N396">
        <v>47600</v>
      </c>
    </row>
    <row r="397" spans="1:14" ht="14.4">
      <c r="A397">
        <v>13365</v>
      </c>
      <c r="B397">
        <v>13366</v>
      </c>
      <c r="C397">
        <v>4085</v>
      </c>
      <c r="D397" t="s">
        <v>18</v>
      </c>
      <c r="E397" t="s">
        <v>536</v>
      </c>
      <c r="F397">
        <v>10532</v>
      </c>
      <c r="G397" t="s">
        <v>64</v>
      </c>
      <c r="H397" t="s">
        <v>21</v>
      </c>
      <c r="I397">
        <v>20556</v>
      </c>
      <c r="J397">
        <v>20556</v>
      </c>
      <c r="K397">
        <v>0</v>
      </c>
      <c r="L397">
        <v>14900</v>
      </c>
      <c r="M397">
        <v>14900</v>
      </c>
      <c r="N397">
        <v>0</v>
      </c>
    </row>
    <row r="398" spans="1:14" ht="14.4">
      <c r="A398">
        <v>13365</v>
      </c>
      <c r="B398">
        <v>13366</v>
      </c>
      <c r="C398">
        <v>4085</v>
      </c>
      <c r="D398" t="s">
        <v>18</v>
      </c>
      <c r="E398" t="s">
        <v>159</v>
      </c>
      <c r="F398">
        <v>11550</v>
      </c>
      <c r="G398" t="s">
        <v>20</v>
      </c>
      <c r="H398" t="s">
        <v>21</v>
      </c>
      <c r="I398">
        <v>1229944</v>
      </c>
      <c r="J398">
        <v>1088234</v>
      </c>
      <c r="K398">
        <v>141710</v>
      </c>
      <c r="L398">
        <v>223800</v>
      </c>
      <c r="M398">
        <v>187600</v>
      </c>
      <c r="N398">
        <v>36200</v>
      </c>
    </row>
    <row r="399" spans="1:14" ht="14.4">
      <c r="A399">
        <v>13365</v>
      </c>
      <c r="B399">
        <v>13366</v>
      </c>
      <c r="C399">
        <v>4085</v>
      </c>
      <c r="D399" t="s">
        <v>18</v>
      </c>
      <c r="E399" t="s">
        <v>160</v>
      </c>
      <c r="F399">
        <v>11557</v>
      </c>
      <c r="G399" t="s">
        <v>20</v>
      </c>
      <c r="H399" t="s">
        <v>21</v>
      </c>
      <c r="I399">
        <v>4188076</v>
      </c>
      <c r="J399">
        <v>3452461</v>
      </c>
      <c r="K399">
        <v>735615</v>
      </c>
      <c r="L399">
        <v>1410100</v>
      </c>
      <c r="M399">
        <v>1175800</v>
      </c>
      <c r="N399">
        <v>234300</v>
      </c>
    </row>
    <row r="400" spans="1:14" ht="14.4">
      <c r="A400">
        <v>13365</v>
      </c>
      <c r="B400">
        <v>13366</v>
      </c>
      <c r="C400">
        <v>4085</v>
      </c>
      <c r="D400" t="s">
        <v>18</v>
      </c>
      <c r="E400" t="s">
        <v>1231</v>
      </c>
      <c r="F400">
        <v>11557</v>
      </c>
      <c r="G400" t="s">
        <v>20</v>
      </c>
      <c r="H400" t="s">
        <v>21</v>
      </c>
      <c r="I400">
        <v>672941</v>
      </c>
      <c r="J400">
        <v>564351</v>
      </c>
      <c r="K400">
        <v>108590</v>
      </c>
      <c r="L400">
        <v>175000</v>
      </c>
      <c r="M400">
        <v>135000</v>
      </c>
      <c r="N400">
        <v>40000</v>
      </c>
    </row>
    <row r="401" spans="1:14" ht="14.4">
      <c r="A401">
        <v>13365</v>
      </c>
      <c r="B401">
        <v>13366</v>
      </c>
      <c r="C401">
        <v>4085</v>
      </c>
      <c r="D401" t="s">
        <v>18</v>
      </c>
      <c r="E401" t="s">
        <v>161</v>
      </c>
      <c r="F401">
        <v>11801</v>
      </c>
      <c r="G401" t="s">
        <v>20</v>
      </c>
      <c r="H401" t="s">
        <v>21</v>
      </c>
      <c r="I401">
        <v>897103</v>
      </c>
      <c r="J401">
        <v>856773</v>
      </c>
      <c r="K401">
        <v>40330</v>
      </c>
      <c r="L401">
        <v>376800</v>
      </c>
      <c r="M401">
        <v>344000</v>
      </c>
      <c r="N401">
        <v>32800</v>
      </c>
    </row>
    <row r="402" spans="1:14" ht="14.4">
      <c r="A402">
        <v>13365</v>
      </c>
      <c r="B402">
        <v>13366</v>
      </c>
      <c r="C402">
        <v>4085</v>
      </c>
      <c r="D402" t="s">
        <v>18</v>
      </c>
      <c r="E402" t="s">
        <v>1232</v>
      </c>
      <c r="F402">
        <v>10928</v>
      </c>
      <c r="G402" t="s">
        <v>51</v>
      </c>
      <c r="H402" t="s">
        <v>21</v>
      </c>
      <c r="I402">
        <v>13631</v>
      </c>
      <c r="J402">
        <v>13631</v>
      </c>
      <c r="K402">
        <v>0</v>
      </c>
      <c r="L402">
        <v>0</v>
      </c>
      <c r="M402">
        <v>0</v>
      </c>
      <c r="N402">
        <v>0</v>
      </c>
    </row>
    <row r="403" spans="1:14" ht="14.4">
      <c r="A403">
        <v>13365</v>
      </c>
      <c r="B403">
        <v>13366</v>
      </c>
      <c r="C403">
        <v>4085</v>
      </c>
      <c r="D403" t="s">
        <v>18</v>
      </c>
      <c r="E403" t="s">
        <v>1233</v>
      </c>
      <c r="F403">
        <v>10930</v>
      </c>
      <c r="G403" t="s">
        <v>51</v>
      </c>
      <c r="H403" t="s">
        <v>21</v>
      </c>
      <c r="I403">
        <v>32397</v>
      </c>
      <c r="J403">
        <v>30097</v>
      </c>
      <c r="K403">
        <v>2300</v>
      </c>
      <c r="L403">
        <v>27100</v>
      </c>
      <c r="M403">
        <v>26800</v>
      </c>
      <c r="N403">
        <v>300</v>
      </c>
    </row>
    <row r="404" spans="1:14" ht="14.4">
      <c r="A404">
        <v>13365</v>
      </c>
      <c r="B404">
        <v>13366</v>
      </c>
      <c r="C404">
        <v>4085</v>
      </c>
      <c r="D404" t="s">
        <v>18</v>
      </c>
      <c r="E404" t="s">
        <v>163</v>
      </c>
      <c r="F404">
        <v>11741</v>
      </c>
      <c r="G404" t="s">
        <v>23</v>
      </c>
      <c r="H404" t="s">
        <v>21</v>
      </c>
      <c r="I404">
        <v>159572</v>
      </c>
      <c r="J404">
        <v>158572</v>
      </c>
      <c r="K404">
        <v>1000</v>
      </c>
      <c r="L404">
        <v>66300</v>
      </c>
      <c r="M404">
        <v>65300</v>
      </c>
      <c r="N404">
        <v>1000</v>
      </c>
    </row>
    <row r="405" spans="1:14" ht="14.4">
      <c r="A405">
        <v>13365</v>
      </c>
      <c r="B405">
        <v>13366</v>
      </c>
      <c r="C405">
        <v>4085</v>
      </c>
      <c r="D405" t="s">
        <v>18</v>
      </c>
      <c r="E405" t="s">
        <v>164</v>
      </c>
      <c r="F405">
        <v>11423</v>
      </c>
      <c r="G405" t="s">
        <v>28</v>
      </c>
      <c r="H405" t="s">
        <v>21</v>
      </c>
      <c r="I405">
        <v>347063</v>
      </c>
      <c r="J405">
        <v>288411</v>
      </c>
      <c r="K405">
        <v>58652</v>
      </c>
      <c r="L405">
        <v>97900</v>
      </c>
      <c r="M405">
        <v>74700</v>
      </c>
      <c r="N405">
        <v>23200</v>
      </c>
    </row>
    <row r="406" spans="1:14" ht="14.4">
      <c r="A406">
        <v>13365</v>
      </c>
      <c r="B406">
        <v>13366</v>
      </c>
      <c r="C406">
        <v>4085</v>
      </c>
      <c r="D406" t="s">
        <v>18</v>
      </c>
      <c r="E406" t="s">
        <v>1234</v>
      </c>
      <c r="F406">
        <v>11427</v>
      </c>
      <c r="G406" t="s">
        <v>28</v>
      </c>
      <c r="H406" t="s">
        <v>21</v>
      </c>
      <c r="I406">
        <v>24255</v>
      </c>
      <c r="J406">
        <v>24255</v>
      </c>
      <c r="K406">
        <v>0</v>
      </c>
      <c r="L406">
        <v>21200</v>
      </c>
      <c r="M406">
        <v>21200</v>
      </c>
      <c r="N406">
        <v>0</v>
      </c>
    </row>
    <row r="407" spans="1:14" ht="14.4">
      <c r="A407">
        <v>13365</v>
      </c>
      <c r="B407">
        <v>13366</v>
      </c>
      <c r="C407">
        <v>4085</v>
      </c>
      <c r="D407" t="s">
        <v>18</v>
      </c>
      <c r="E407" t="s">
        <v>165</v>
      </c>
      <c r="F407">
        <v>11742</v>
      </c>
      <c r="G407" t="s">
        <v>23</v>
      </c>
      <c r="H407" t="s">
        <v>21</v>
      </c>
      <c r="I407">
        <v>82815</v>
      </c>
      <c r="J407">
        <v>73995</v>
      </c>
      <c r="K407">
        <v>8820</v>
      </c>
      <c r="L407">
        <v>49700</v>
      </c>
      <c r="M407">
        <v>49700</v>
      </c>
      <c r="N407">
        <v>0</v>
      </c>
    </row>
    <row r="408" spans="1:14" ht="14.4">
      <c r="A408">
        <v>13365</v>
      </c>
      <c r="B408">
        <v>13366</v>
      </c>
      <c r="C408">
        <v>4085</v>
      </c>
      <c r="D408" t="s">
        <v>18</v>
      </c>
      <c r="E408" t="s">
        <v>1235</v>
      </c>
      <c r="F408">
        <v>11414</v>
      </c>
      <c r="G408" t="s">
        <v>28</v>
      </c>
      <c r="H408" t="s">
        <v>21</v>
      </c>
      <c r="I408">
        <v>139582</v>
      </c>
      <c r="J408">
        <v>99282</v>
      </c>
      <c r="K408">
        <v>40300</v>
      </c>
      <c r="L408">
        <v>99000</v>
      </c>
      <c r="M408">
        <v>66200</v>
      </c>
      <c r="N408">
        <v>32800</v>
      </c>
    </row>
    <row r="409" spans="1:14" ht="14.4">
      <c r="A409">
        <v>13365</v>
      </c>
      <c r="B409">
        <v>13366</v>
      </c>
      <c r="C409">
        <v>4085</v>
      </c>
      <c r="D409" t="s">
        <v>18</v>
      </c>
      <c r="E409" t="s">
        <v>1236</v>
      </c>
      <c r="F409">
        <v>11414</v>
      </c>
      <c r="G409" t="s">
        <v>28</v>
      </c>
      <c r="H409" t="s">
        <v>21</v>
      </c>
      <c r="I409">
        <v>36425</v>
      </c>
      <c r="J409">
        <v>0</v>
      </c>
      <c r="K409">
        <v>36425</v>
      </c>
      <c r="L409">
        <v>0</v>
      </c>
      <c r="M409">
        <v>0</v>
      </c>
      <c r="N409">
        <v>0</v>
      </c>
    </row>
    <row r="410" spans="1:14" ht="14.4">
      <c r="A410">
        <v>13365</v>
      </c>
      <c r="B410">
        <v>13366</v>
      </c>
      <c r="C410">
        <v>4085</v>
      </c>
      <c r="D410" t="s">
        <v>18</v>
      </c>
      <c r="E410" t="s">
        <v>166</v>
      </c>
      <c r="F410">
        <v>11411</v>
      </c>
      <c r="G410" t="s">
        <v>28</v>
      </c>
      <c r="H410" t="s">
        <v>21</v>
      </c>
      <c r="I410">
        <v>350758</v>
      </c>
      <c r="J410">
        <v>231248</v>
      </c>
      <c r="K410">
        <v>119510</v>
      </c>
      <c r="L410">
        <v>0</v>
      </c>
      <c r="M410">
        <v>0</v>
      </c>
      <c r="N410">
        <v>0</v>
      </c>
    </row>
    <row r="411" spans="1:14" ht="14.4">
      <c r="A411">
        <v>13365</v>
      </c>
      <c r="B411">
        <v>13366</v>
      </c>
      <c r="C411">
        <v>4085</v>
      </c>
      <c r="D411" t="s">
        <v>18</v>
      </c>
      <c r="E411" t="s">
        <v>166</v>
      </c>
      <c r="F411">
        <v>11414</v>
      </c>
      <c r="G411" t="s">
        <v>20</v>
      </c>
      <c r="H411" t="s">
        <v>21</v>
      </c>
      <c r="I411">
        <v>40700</v>
      </c>
      <c r="J411">
        <v>0</v>
      </c>
      <c r="K411">
        <v>40700</v>
      </c>
      <c r="L411">
        <v>40000</v>
      </c>
      <c r="M411">
        <v>0</v>
      </c>
      <c r="N411">
        <v>40000</v>
      </c>
    </row>
    <row r="412" spans="1:14" ht="14.4">
      <c r="A412">
        <v>13365</v>
      </c>
      <c r="B412">
        <v>13366</v>
      </c>
      <c r="C412">
        <v>4085</v>
      </c>
      <c r="D412" t="s">
        <v>18</v>
      </c>
      <c r="E412" t="s">
        <v>166</v>
      </c>
      <c r="F412">
        <v>11414</v>
      </c>
      <c r="G412" t="s">
        <v>32</v>
      </c>
      <c r="H412" t="s">
        <v>21</v>
      </c>
      <c r="I412">
        <v>316247</v>
      </c>
      <c r="J412">
        <v>160422</v>
      </c>
      <c r="K412">
        <v>155825</v>
      </c>
      <c r="L412">
        <v>25600</v>
      </c>
      <c r="M412">
        <v>10000</v>
      </c>
      <c r="N412">
        <v>15600</v>
      </c>
    </row>
    <row r="413" spans="1:14" ht="14.4">
      <c r="A413">
        <v>13365</v>
      </c>
      <c r="B413">
        <v>13366</v>
      </c>
      <c r="C413">
        <v>4085</v>
      </c>
      <c r="D413" t="s">
        <v>18</v>
      </c>
      <c r="E413" t="s">
        <v>166</v>
      </c>
      <c r="F413">
        <v>11414</v>
      </c>
      <c r="G413" t="s">
        <v>28</v>
      </c>
      <c r="H413" t="s">
        <v>21</v>
      </c>
      <c r="I413">
        <v>120235873</v>
      </c>
      <c r="J413">
        <v>73528957</v>
      </c>
      <c r="K413">
        <v>46706916</v>
      </c>
      <c r="L413">
        <v>51514300</v>
      </c>
      <c r="M413">
        <v>32336060.02</v>
      </c>
      <c r="N413">
        <v>18978239.98</v>
      </c>
    </row>
    <row r="414" spans="1:14" ht="14.4">
      <c r="A414">
        <v>13365</v>
      </c>
      <c r="B414">
        <v>13366</v>
      </c>
      <c r="C414">
        <v>4085</v>
      </c>
      <c r="D414" t="s">
        <v>18</v>
      </c>
      <c r="E414" t="s">
        <v>166</v>
      </c>
      <c r="F414">
        <v>11415</v>
      </c>
      <c r="G414" t="s">
        <v>28</v>
      </c>
      <c r="H414" t="s">
        <v>21</v>
      </c>
      <c r="I414">
        <v>151400</v>
      </c>
      <c r="J414">
        <v>121575</v>
      </c>
      <c r="K414">
        <v>29825</v>
      </c>
      <c r="L414">
        <v>0</v>
      </c>
      <c r="M414">
        <v>0</v>
      </c>
      <c r="N414">
        <v>0</v>
      </c>
    </row>
    <row r="415" spans="1:14" ht="14.4">
      <c r="A415">
        <v>13365</v>
      </c>
      <c r="B415">
        <v>13366</v>
      </c>
      <c r="C415">
        <v>4085</v>
      </c>
      <c r="D415" t="s">
        <v>18</v>
      </c>
      <c r="E415" t="s">
        <v>166</v>
      </c>
      <c r="F415">
        <v>11417</v>
      </c>
      <c r="G415" t="s">
        <v>28</v>
      </c>
      <c r="H415" t="s">
        <v>21</v>
      </c>
      <c r="I415">
        <v>51430</v>
      </c>
      <c r="J415">
        <v>0</v>
      </c>
      <c r="K415">
        <v>51430</v>
      </c>
      <c r="L415">
        <v>40000</v>
      </c>
      <c r="M415">
        <v>0</v>
      </c>
      <c r="N415">
        <v>40000</v>
      </c>
    </row>
    <row r="416" spans="1:14" ht="14.4">
      <c r="A416">
        <v>13365</v>
      </c>
      <c r="B416">
        <v>13366</v>
      </c>
      <c r="C416">
        <v>4085</v>
      </c>
      <c r="D416" t="s">
        <v>18</v>
      </c>
      <c r="E416" t="s">
        <v>166</v>
      </c>
      <c r="F416">
        <v>11704</v>
      </c>
      <c r="G416" t="s">
        <v>28</v>
      </c>
      <c r="H416" t="s">
        <v>21</v>
      </c>
      <c r="I416">
        <v>26742</v>
      </c>
      <c r="J416">
        <v>24742</v>
      </c>
      <c r="K416">
        <v>2000</v>
      </c>
      <c r="L416">
        <v>0</v>
      </c>
      <c r="M416">
        <v>0</v>
      </c>
      <c r="N416">
        <v>0</v>
      </c>
    </row>
    <row r="417" spans="1:14" ht="14.4">
      <c r="A417">
        <v>13365</v>
      </c>
      <c r="B417">
        <v>13366</v>
      </c>
      <c r="C417">
        <v>4085</v>
      </c>
      <c r="D417" t="s">
        <v>18</v>
      </c>
      <c r="E417" t="s">
        <v>1237</v>
      </c>
      <c r="F417">
        <v>11414</v>
      </c>
      <c r="G417" t="s">
        <v>28</v>
      </c>
      <c r="H417" t="s">
        <v>21</v>
      </c>
      <c r="I417">
        <v>98332</v>
      </c>
      <c r="J417">
        <v>78132</v>
      </c>
      <c r="K417">
        <v>20200</v>
      </c>
      <c r="L417">
        <v>92900</v>
      </c>
      <c r="M417">
        <v>73200</v>
      </c>
      <c r="N417">
        <v>19700</v>
      </c>
    </row>
    <row r="418" spans="1:14" ht="14.4">
      <c r="A418">
        <v>13365</v>
      </c>
      <c r="B418">
        <v>13366</v>
      </c>
      <c r="C418">
        <v>4085</v>
      </c>
      <c r="D418" t="s">
        <v>18</v>
      </c>
      <c r="E418" t="s">
        <v>1238</v>
      </c>
      <c r="F418">
        <v>11414</v>
      </c>
      <c r="G418" t="s">
        <v>28</v>
      </c>
      <c r="H418" t="s">
        <v>21</v>
      </c>
      <c r="I418">
        <v>7250</v>
      </c>
      <c r="J418">
        <v>0</v>
      </c>
      <c r="K418">
        <v>7250</v>
      </c>
      <c r="L418">
        <v>0</v>
      </c>
      <c r="M418">
        <v>0</v>
      </c>
      <c r="N418">
        <v>0</v>
      </c>
    </row>
    <row r="419" spans="1:14" ht="14.4">
      <c r="A419">
        <v>13365</v>
      </c>
      <c r="B419">
        <v>13366</v>
      </c>
      <c r="C419">
        <v>4085</v>
      </c>
      <c r="D419" t="s">
        <v>18</v>
      </c>
      <c r="E419" t="s">
        <v>1239</v>
      </c>
      <c r="F419">
        <v>11414</v>
      </c>
      <c r="G419" t="s">
        <v>28</v>
      </c>
      <c r="H419" t="s">
        <v>21</v>
      </c>
      <c r="I419">
        <v>18800</v>
      </c>
      <c r="J419">
        <v>0</v>
      </c>
      <c r="K419">
        <v>18800</v>
      </c>
      <c r="L419">
        <v>18800</v>
      </c>
      <c r="M419">
        <v>0</v>
      </c>
      <c r="N419">
        <v>18800</v>
      </c>
    </row>
    <row r="420" spans="1:14" ht="14.4">
      <c r="A420">
        <v>13365</v>
      </c>
      <c r="B420">
        <v>13366</v>
      </c>
      <c r="C420">
        <v>4085</v>
      </c>
      <c r="D420" t="s">
        <v>18</v>
      </c>
      <c r="E420" t="s">
        <v>168</v>
      </c>
      <c r="F420">
        <v>11743</v>
      </c>
      <c r="G420" t="s">
        <v>23</v>
      </c>
      <c r="H420" t="s">
        <v>21</v>
      </c>
      <c r="I420">
        <v>1922989</v>
      </c>
      <c r="J420">
        <v>1780027</v>
      </c>
      <c r="K420">
        <v>142962</v>
      </c>
      <c r="L420">
        <v>946000</v>
      </c>
      <c r="M420">
        <v>833400</v>
      </c>
      <c r="N420">
        <v>112600</v>
      </c>
    </row>
    <row r="421" spans="1:14" ht="14.4">
      <c r="A421">
        <v>13365</v>
      </c>
      <c r="B421">
        <v>13366</v>
      </c>
      <c r="C421">
        <v>4085</v>
      </c>
      <c r="D421" t="s">
        <v>18</v>
      </c>
      <c r="E421" t="s">
        <v>168</v>
      </c>
      <c r="F421">
        <v>11746</v>
      </c>
      <c r="G421" t="s">
        <v>23</v>
      </c>
      <c r="H421" t="s">
        <v>21</v>
      </c>
      <c r="I421">
        <v>116105</v>
      </c>
      <c r="J421">
        <v>94105</v>
      </c>
      <c r="K421">
        <v>22000</v>
      </c>
      <c r="L421">
        <v>52100</v>
      </c>
      <c r="M421">
        <v>31200</v>
      </c>
      <c r="N421">
        <v>20900</v>
      </c>
    </row>
    <row r="422" spans="1:14" ht="14.4">
      <c r="A422">
        <v>13365</v>
      </c>
      <c r="B422">
        <v>13366</v>
      </c>
      <c r="C422">
        <v>4085</v>
      </c>
      <c r="D422" t="s">
        <v>18</v>
      </c>
      <c r="E422" t="s">
        <v>1240</v>
      </c>
      <c r="F422">
        <v>11743</v>
      </c>
      <c r="G422" t="s">
        <v>23</v>
      </c>
      <c r="H422" t="s">
        <v>21</v>
      </c>
      <c r="I422">
        <v>278445</v>
      </c>
      <c r="J422">
        <v>248225</v>
      </c>
      <c r="K422">
        <v>30220</v>
      </c>
      <c r="L422">
        <v>123900</v>
      </c>
      <c r="M422">
        <v>122800</v>
      </c>
      <c r="N422">
        <v>1100</v>
      </c>
    </row>
    <row r="423" spans="1:14" ht="14.4">
      <c r="A423">
        <v>13365</v>
      </c>
      <c r="B423">
        <v>13366</v>
      </c>
      <c r="C423">
        <v>4085</v>
      </c>
      <c r="D423" t="s">
        <v>18</v>
      </c>
      <c r="E423" t="s">
        <v>169</v>
      </c>
      <c r="F423">
        <v>11746</v>
      </c>
      <c r="G423" t="s">
        <v>23</v>
      </c>
      <c r="H423" t="s">
        <v>21</v>
      </c>
      <c r="I423">
        <v>611045</v>
      </c>
      <c r="J423">
        <v>523235</v>
      </c>
      <c r="K423">
        <v>87810</v>
      </c>
      <c r="L423">
        <v>124300</v>
      </c>
      <c r="M423">
        <v>109100</v>
      </c>
      <c r="N423">
        <v>15200</v>
      </c>
    </row>
    <row r="424" spans="1:14" ht="14.4">
      <c r="A424">
        <v>13365</v>
      </c>
      <c r="B424">
        <v>13366</v>
      </c>
      <c r="C424">
        <v>4085</v>
      </c>
      <c r="D424" t="s">
        <v>18</v>
      </c>
      <c r="E424" t="s">
        <v>1241</v>
      </c>
      <c r="F424">
        <v>11746</v>
      </c>
      <c r="G424" t="s">
        <v>23</v>
      </c>
      <c r="H424" t="s">
        <v>21</v>
      </c>
      <c r="I424">
        <v>250</v>
      </c>
      <c r="J424">
        <v>0</v>
      </c>
      <c r="K424">
        <v>250</v>
      </c>
      <c r="L424">
        <v>0</v>
      </c>
      <c r="M424">
        <v>0</v>
      </c>
      <c r="N424">
        <v>0</v>
      </c>
    </row>
    <row r="425" spans="1:14" ht="14.4">
      <c r="A425">
        <v>13365</v>
      </c>
      <c r="B425">
        <v>13366</v>
      </c>
      <c r="C425">
        <v>4085</v>
      </c>
      <c r="D425" t="s">
        <v>18</v>
      </c>
      <c r="E425" t="s">
        <v>1242</v>
      </c>
      <c r="F425">
        <v>12747</v>
      </c>
      <c r="G425" t="s">
        <v>189</v>
      </c>
      <c r="H425" t="s">
        <v>21</v>
      </c>
      <c r="I425">
        <v>38933</v>
      </c>
      <c r="J425">
        <v>38933</v>
      </c>
      <c r="K425">
        <v>0</v>
      </c>
      <c r="L425">
        <v>0</v>
      </c>
      <c r="M425">
        <v>0</v>
      </c>
      <c r="N425">
        <v>0</v>
      </c>
    </row>
    <row r="426" spans="1:14" ht="14.4">
      <c r="A426">
        <v>13365</v>
      </c>
      <c r="B426">
        <v>13366</v>
      </c>
      <c r="C426">
        <v>4085</v>
      </c>
      <c r="D426" t="s">
        <v>18</v>
      </c>
      <c r="E426" t="s">
        <v>170</v>
      </c>
      <c r="F426">
        <v>11096</v>
      </c>
      <c r="G426" t="s">
        <v>20</v>
      </c>
      <c r="H426" t="s">
        <v>21</v>
      </c>
      <c r="I426">
        <v>7280629</v>
      </c>
      <c r="J426">
        <v>4786389</v>
      </c>
      <c r="K426">
        <v>2494240</v>
      </c>
      <c r="L426">
        <v>3225200</v>
      </c>
      <c r="M426">
        <v>1973000</v>
      </c>
      <c r="N426">
        <v>1252200</v>
      </c>
    </row>
    <row r="427" spans="1:14" ht="14.4">
      <c r="A427">
        <v>13365</v>
      </c>
      <c r="B427">
        <v>13366</v>
      </c>
      <c r="C427">
        <v>4085</v>
      </c>
      <c r="D427" t="s">
        <v>18</v>
      </c>
      <c r="E427" t="s">
        <v>170</v>
      </c>
      <c r="F427">
        <v>11096</v>
      </c>
      <c r="G427" t="s">
        <v>28</v>
      </c>
      <c r="H427" t="s">
        <v>21</v>
      </c>
      <c r="I427">
        <v>20000</v>
      </c>
      <c r="J427">
        <v>0</v>
      </c>
      <c r="K427">
        <v>20000</v>
      </c>
      <c r="L427">
        <v>20000</v>
      </c>
      <c r="M427">
        <v>0</v>
      </c>
      <c r="N427">
        <v>20000</v>
      </c>
    </row>
    <row r="428" spans="1:14" ht="14.4">
      <c r="A428">
        <v>13365</v>
      </c>
      <c r="B428">
        <v>13366</v>
      </c>
      <c r="C428">
        <v>4085</v>
      </c>
      <c r="D428" t="s">
        <v>18</v>
      </c>
      <c r="E428" t="s">
        <v>1243</v>
      </c>
      <c r="F428">
        <v>11558</v>
      </c>
      <c r="G428" t="s">
        <v>20</v>
      </c>
      <c r="H428" t="s">
        <v>21</v>
      </c>
      <c r="I428">
        <v>143946</v>
      </c>
      <c r="J428">
        <v>83516</v>
      </c>
      <c r="K428">
        <v>60430</v>
      </c>
      <c r="L428">
        <v>0</v>
      </c>
      <c r="M428">
        <v>0</v>
      </c>
      <c r="N428">
        <v>0</v>
      </c>
    </row>
    <row r="429" spans="1:14" ht="14.4">
      <c r="A429">
        <v>13365</v>
      </c>
      <c r="B429">
        <v>13366</v>
      </c>
      <c r="C429">
        <v>4085</v>
      </c>
      <c r="D429" t="s">
        <v>18</v>
      </c>
      <c r="E429" t="s">
        <v>172</v>
      </c>
      <c r="F429">
        <v>11558</v>
      </c>
      <c r="G429" t="s">
        <v>20</v>
      </c>
      <c r="H429" t="s">
        <v>21</v>
      </c>
      <c r="I429">
        <v>61999</v>
      </c>
      <c r="J429">
        <v>31874</v>
      </c>
      <c r="K429">
        <v>30125</v>
      </c>
      <c r="L429">
        <v>0</v>
      </c>
      <c r="M429">
        <v>0</v>
      </c>
      <c r="N429">
        <v>0</v>
      </c>
    </row>
    <row r="430" spans="1:14" ht="14.4">
      <c r="A430">
        <v>13365</v>
      </c>
      <c r="B430">
        <v>13366</v>
      </c>
      <c r="C430">
        <v>4085</v>
      </c>
      <c r="D430" t="s">
        <v>18</v>
      </c>
      <c r="E430" t="s">
        <v>173</v>
      </c>
      <c r="F430">
        <v>8844</v>
      </c>
      <c r="G430" t="s">
        <v>20</v>
      </c>
      <c r="H430" t="s">
        <v>21</v>
      </c>
      <c r="I430">
        <v>162319</v>
      </c>
      <c r="J430">
        <v>125419</v>
      </c>
      <c r="K430">
        <v>36900</v>
      </c>
      <c r="L430">
        <v>0</v>
      </c>
      <c r="M430">
        <v>0</v>
      </c>
      <c r="N430">
        <v>0</v>
      </c>
    </row>
    <row r="431" spans="1:14" ht="14.4">
      <c r="A431">
        <v>13365</v>
      </c>
      <c r="B431">
        <v>13366</v>
      </c>
      <c r="C431">
        <v>4085</v>
      </c>
      <c r="D431" t="s">
        <v>18</v>
      </c>
      <c r="E431" t="s">
        <v>173</v>
      </c>
      <c r="F431">
        <v>11096</v>
      </c>
      <c r="G431" t="s">
        <v>20</v>
      </c>
      <c r="H431" t="s">
        <v>21</v>
      </c>
      <c r="I431">
        <v>13950</v>
      </c>
      <c r="J431">
        <v>0</v>
      </c>
      <c r="K431">
        <v>13950</v>
      </c>
      <c r="L431">
        <v>14000</v>
      </c>
      <c r="M431">
        <v>0</v>
      </c>
      <c r="N431">
        <v>14000</v>
      </c>
    </row>
    <row r="432" spans="1:14" ht="14.4">
      <c r="A432">
        <v>13365</v>
      </c>
      <c r="B432">
        <v>13366</v>
      </c>
      <c r="C432">
        <v>4085</v>
      </c>
      <c r="D432" t="s">
        <v>18</v>
      </c>
      <c r="E432" t="s">
        <v>173</v>
      </c>
      <c r="F432">
        <v>11510</v>
      </c>
      <c r="G432" t="s">
        <v>20</v>
      </c>
      <c r="H432" t="s">
        <v>21</v>
      </c>
      <c r="I432">
        <v>22200</v>
      </c>
      <c r="J432">
        <v>0</v>
      </c>
      <c r="K432">
        <v>22200</v>
      </c>
      <c r="L432">
        <v>22200</v>
      </c>
      <c r="M432">
        <v>0</v>
      </c>
      <c r="N432">
        <v>22200</v>
      </c>
    </row>
    <row r="433" spans="1:14" ht="14.4">
      <c r="A433">
        <v>13365</v>
      </c>
      <c r="B433">
        <v>13366</v>
      </c>
      <c r="C433">
        <v>4085</v>
      </c>
      <c r="D433" t="s">
        <v>18</v>
      </c>
      <c r="E433" t="s">
        <v>173</v>
      </c>
      <c r="F433">
        <v>11555</v>
      </c>
      <c r="G433" t="s">
        <v>20</v>
      </c>
      <c r="H433" t="s">
        <v>21</v>
      </c>
      <c r="I433">
        <v>121233</v>
      </c>
      <c r="J433">
        <v>88938</v>
      </c>
      <c r="K433">
        <v>32295</v>
      </c>
      <c r="L433">
        <v>0</v>
      </c>
      <c r="M433">
        <v>0</v>
      </c>
      <c r="N433">
        <v>0</v>
      </c>
    </row>
    <row r="434" spans="1:14" ht="14.4">
      <c r="A434">
        <v>13365</v>
      </c>
      <c r="B434">
        <v>13366</v>
      </c>
      <c r="C434">
        <v>4085</v>
      </c>
      <c r="D434" t="s">
        <v>18</v>
      </c>
      <c r="E434" t="s">
        <v>173</v>
      </c>
      <c r="F434">
        <v>11558</v>
      </c>
      <c r="G434" t="s">
        <v>43</v>
      </c>
      <c r="H434" t="s">
        <v>21</v>
      </c>
      <c r="I434">
        <v>171323</v>
      </c>
      <c r="J434">
        <v>124423</v>
      </c>
      <c r="K434">
        <v>46900</v>
      </c>
      <c r="L434">
        <v>0</v>
      </c>
      <c r="M434">
        <v>0</v>
      </c>
      <c r="N434">
        <v>0</v>
      </c>
    </row>
    <row r="435" spans="1:14" ht="14.4">
      <c r="A435">
        <v>13365</v>
      </c>
      <c r="B435">
        <v>13366</v>
      </c>
      <c r="C435">
        <v>4085</v>
      </c>
      <c r="D435" t="s">
        <v>18</v>
      </c>
      <c r="E435" t="s">
        <v>173</v>
      </c>
      <c r="F435">
        <v>11558</v>
      </c>
      <c r="G435" t="s">
        <v>20</v>
      </c>
      <c r="H435" t="s">
        <v>21</v>
      </c>
      <c r="I435">
        <v>108251451</v>
      </c>
      <c r="J435">
        <v>70250039</v>
      </c>
      <c r="K435">
        <v>38001412</v>
      </c>
      <c r="L435">
        <v>42397000</v>
      </c>
      <c r="M435">
        <v>27502700</v>
      </c>
      <c r="N435">
        <v>14777900</v>
      </c>
    </row>
    <row r="436" spans="1:14" ht="14.4">
      <c r="A436">
        <v>13365</v>
      </c>
      <c r="B436">
        <v>13366</v>
      </c>
      <c r="C436">
        <v>4085</v>
      </c>
      <c r="D436" t="s">
        <v>18</v>
      </c>
      <c r="E436" t="s">
        <v>173</v>
      </c>
      <c r="F436">
        <v>11559</v>
      </c>
      <c r="G436" t="s">
        <v>20</v>
      </c>
      <c r="H436" t="s">
        <v>21</v>
      </c>
      <c r="I436">
        <v>6500</v>
      </c>
      <c r="J436">
        <v>0</v>
      </c>
      <c r="K436">
        <v>6500</v>
      </c>
      <c r="L436">
        <v>6500</v>
      </c>
      <c r="M436">
        <v>0</v>
      </c>
      <c r="N436">
        <v>6500</v>
      </c>
    </row>
    <row r="437" spans="1:14" ht="14.4">
      <c r="A437">
        <v>13365</v>
      </c>
      <c r="B437">
        <v>13366</v>
      </c>
      <c r="C437">
        <v>4085</v>
      </c>
      <c r="D437" t="s">
        <v>18</v>
      </c>
      <c r="E437" t="s">
        <v>173</v>
      </c>
      <c r="F437">
        <v>11561</v>
      </c>
      <c r="G437" t="s">
        <v>20</v>
      </c>
      <c r="H437" t="s">
        <v>21</v>
      </c>
      <c r="I437">
        <v>6300</v>
      </c>
      <c r="J437">
        <v>0</v>
      </c>
      <c r="K437">
        <v>6300</v>
      </c>
      <c r="L437">
        <v>0</v>
      </c>
      <c r="M437">
        <v>0</v>
      </c>
      <c r="N437">
        <v>0</v>
      </c>
    </row>
    <row r="438" spans="1:14" ht="14.4">
      <c r="A438">
        <v>13365</v>
      </c>
      <c r="B438">
        <v>13366</v>
      </c>
      <c r="C438">
        <v>4085</v>
      </c>
      <c r="D438" t="s">
        <v>18</v>
      </c>
      <c r="E438" t="s">
        <v>173</v>
      </c>
      <c r="F438">
        <v>11566</v>
      </c>
      <c r="G438" t="s">
        <v>20</v>
      </c>
      <c r="H438" t="s">
        <v>21</v>
      </c>
      <c r="I438">
        <v>15850</v>
      </c>
      <c r="J438">
        <v>0</v>
      </c>
      <c r="K438">
        <v>15850</v>
      </c>
      <c r="L438">
        <v>0</v>
      </c>
      <c r="M438">
        <v>0</v>
      </c>
      <c r="N438">
        <v>0</v>
      </c>
    </row>
    <row r="439" spans="1:14" ht="14.4">
      <c r="A439">
        <v>13365</v>
      </c>
      <c r="B439">
        <v>13366</v>
      </c>
      <c r="C439">
        <v>4085</v>
      </c>
      <c r="D439" t="s">
        <v>18</v>
      </c>
      <c r="E439" t="s">
        <v>173</v>
      </c>
      <c r="F439">
        <v>11572</v>
      </c>
      <c r="G439" t="s">
        <v>20</v>
      </c>
      <c r="H439" t="s">
        <v>21</v>
      </c>
      <c r="I439">
        <v>23900</v>
      </c>
      <c r="J439">
        <v>0</v>
      </c>
      <c r="K439">
        <v>23900</v>
      </c>
      <c r="L439">
        <v>23900</v>
      </c>
      <c r="M439">
        <v>0</v>
      </c>
      <c r="N439">
        <v>23900</v>
      </c>
    </row>
    <row r="440" spans="1:14" ht="14.4">
      <c r="A440">
        <v>13365</v>
      </c>
      <c r="B440">
        <v>13366</v>
      </c>
      <c r="C440">
        <v>4085</v>
      </c>
      <c r="D440" t="s">
        <v>18</v>
      </c>
      <c r="E440" t="s">
        <v>173</v>
      </c>
      <c r="F440">
        <v>11751</v>
      </c>
      <c r="G440" t="s">
        <v>20</v>
      </c>
      <c r="H440" t="s">
        <v>21</v>
      </c>
      <c r="I440">
        <v>24275</v>
      </c>
      <c r="J440">
        <v>0</v>
      </c>
      <c r="K440">
        <v>24275</v>
      </c>
      <c r="L440">
        <v>24300</v>
      </c>
      <c r="M440">
        <v>0</v>
      </c>
      <c r="N440">
        <v>24300</v>
      </c>
    </row>
    <row r="441" spans="1:14" ht="14.4">
      <c r="A441">
        <v>13365</v>
      </c>
      <c r="B441">
        <v>13366</v>
      </c>
      <c r="C441">
        <v>4085</v>
      </c>
      <c r="D441" t="s">
        <v>18</v>
      </c>
      <c r="E441" t="s">
        <v>1244</v>
      </c>
      <c r="F441">
        <v>11558</v>
      </c>
      <c r="G441" t="s">
        <v>20</v>
      </c>
      <c r="H441" t="s">
        <v>21</v>
      </c>
      <c r="I441">
        <v>192598</v>
      </c>
      <c r="J441">
        <v>102548</v>
      </c>
      <c r="K441">
        <v>90050</v>
      </c>
      <c r="L441">
        <v>0</v>
      </c>
      <c r="M441">
        <v>0</v>
      </c>
      <c r="N441">
        <v>0</v>
      </c>
    </row>
    <row r="442" spans="1:14" ht="14.4">
      <c r="A442">
        <v>13365</v>
      </c>
      <c r="B442">
        <v>13366</v>
      </c>
      <c r="C442">
        <v>4085</v>
      </c>
      <c r="D442" t="s">
        <v>18</v>
      </c>
      <c r="E442" t="s">
        <v>1245</v>
      </c>
      <c r="F442">
        <v>11558</v>
      </c>
      <c r="G442" t="s">
        <v>20</v>
      </c>
      <c r="H442" t="s">
        <v>21</v>
      </c>
      <c r="I442">
        <v>93528</v>
      </c>
      <c r="J442">
        <v>75108</v>
      </c>
      <c r="K442">
        <v>18420</v>
      </c>
      <c r="L442">
        <v>0</v>
      </c>
      <c r="M442">
        <v>0</v>
      </c>
      <c r="N442">
        <v>0</v>
      </c>
    </row>
    <row r="443" spans="1:14" ht="14.4">
      <c r="A443">
        <v>13365</v>
      </c>
      <c r="B443">
        <v>13366</v>
      </c>
      <c r="C443">
        <v>4085</v>
      </c>
      <c r="D443" t="s">
        <v>18</v>
      </c>
      <c r="E443" t="s">
        <v>1246</v>
      </c>
      <c r="F443">
        <v>11558</v>
      </c>
      <c r="G443" t="s">
        <v>20</v>
      </c>
      <c r="H443" t="s">
        <v>21</v>
      </c>
      <c r="I443">
        <v>54900</v>
      </c>
      <c r="J443">
        <v>0</v>
      </c>
      <c r="K443">
        <v>54900</v>
      </c>
      <c r="L443">
        <v>0</v>
      </c>
      <c r="M443">
        <v>0</v>
      </c>
      <c r="N443">
        <v>0</v>
      </c>
    </row>
    <row r="444" spans="1:14" ht="14.4">
      <c r="A444">
        <v>13365</v>
      </c>
      <c r="B444">
        <v>13366</v>
      </c>
      <c r="C444">
        <v>4085</v>
      </c>
      <c r="D444" t="s">
        <v>18</v>
      </c>
      <c r="E444" t="s">
        <v>1247</v>
      </c>
      <c r="F444">
        <v>11558</v>
      </c>
      <c r="G444" t="s">
        <v>20</v>
      </c>
      <c r="H444" t="s">
        <v>21</v>
      </c>
      <c r="I444">
        <v>185178</v>
      </c>
      <c r="J444">
        <v>99603</v>
      </c>
      <c r="K444">
        <v>85575</v>
      </c>
      <c r="L444">
        <v>0</v>
      </c>
      <c r="M444">
        <v>0</v>
      </c>
      <c r="N444">
        <v>0</v>
      </c>
    </row>
    <row r="445" spans="1:14" ht="14.4">
      <c r="A445">
        <v>13365</v>
      </c>
      <c r="B445">
        <v>13366</v>
      </c>
      <c r="C445">
        <v>4085</v>
      </c>
      <c r="D445" t="s">
        <v>18</v>
      </c>
      <c r="E445" t="s">
        <v>175</v>
      </c>
      <c r="F445">
        <v>11751</v>
      </c>
      <c r="G445" t="s">
        <v>23</v>
      </c>
      <c r="H445" t="s">
        <v>21</v>
      </c>
      <c r="I445">
        <v>3562249</v>
      </c>
      <c r="J445">
        <v>2775287</v>
      </c>
      <c r="K445">
        <v>786962</v>
      </c>
      <c r="L445">
        <v>1883900</v>
      </c>
      <c r="M445">
        <v>1448600</v>
      </c>
      <c r="N445">
        <v>435300</v>
      </c>
    </row>
    <row r="446" spans="1:14" ht="14.4">
      <c r="A446">
        <v>13365</v>
      </c>
      <c r="B446">
        <v>13366</v>
      </c>
      <c r="C446">
        <v>4085</v>
      </c>
      <c r="D446" t="s">
        <v>18</v>
      </c>
      <c r="E446" t="s">
        <v>175</v>
      </c>
      <c r="F446">
        <v>11751</v>
      </c>
      <c r="G446" t="s">
        <v>189</v>
      </c>
      <c r="H446" t="s">
        <v>21</v>
      </c>
      <c r="I446">
        <v>73097</v>
      </c>
      <c r="J446">
        <v>57162</v>
      </c>
      <c r="K446">
        <v>15935</v>
      </c>
      <c r="L446">
        <v>23200</v>
      </c>
      <c r="M446">
        <v>21300</v>
      </c>
      <c r="N446">
        <v>1900</v>
      </c>
    </row>
    <row r="447" spans="1:14" ht="14.4">
      <c r="A447">
        <v>13365</v>
      </c>
      <c r="B447">
        <v>13366</v>
      </c>
      <c r="C447">
        <v>4085</v>
      </c>
      <c r="D447" t="s">
        <v>18</v>
      </c>
      <c r="E447" t="s">
        <v>1248</v>
      </c>
      <c r="F447">
        <v>11752</v>
      </c>
      <c r="G447" t="s">
        <v>23</v>
      </c>
      <c r="H447" t="s">
        <v>21</v>
      </c>
      <c r="I447">
        <v>120109</v>
      </c>
      <c r="J447">
        <v>105109</v>
      </c>
      <c r="K447">
        <v>15000</v>
      </c>
      <c r="L447">
        <v>60900</v>
      </c>
      <c r="M447">
        <v>60900</v>
      </c>
      <c r="N447">
        <v>0</v>
      </c>
    </row>
    <row r="448" spans="1:14" ht="14.4">
      <c r="A448">
        <v>13365</v>
      </c>
      <c r="B448">
        <v>13366</v>
      </c>
      <c r="C448">
        <v>4085</v>
      </c>
      <c r="D448" t="s">
        <v>18</v>
      </c>
      <c r="E448" t="s">
        <v>1249</v>
      </c>
      <c r="F448">
        <v>11370</v>
      </c>
      <c r="G448" t="s">
        <v>28</v>
      </c>
      <c r="H448" t="s">
        <v>21</v>
      </c>
      <c r="I448">
        <v>3250</v>
      </c>
      <c r="J448">
        <v>0</v>
      </c>
      <c r="K448">
        <v>3250</v>
      </c>
      <c r="L448">
        <v>0</v>
      </c>
      <c r="M448">
        <v>0</v>
      </c>
      <c r="N448">
        <v>0</v>
      </c>
    </row>
    <row r="449" spans="1:14" ht="14.4">
      <c r="A449">
        <v>13365</v>
      </c>
      <c r="B449">
        <v>13366</v>
      </c>
      <c r="C449">
        <v>4085</v>
      </c>
      <c r="D449" t="s">
        <v>18</v>
      </c>
      <c r="E449" t="s">
        <v>1249</v>
      </c>
      <c r="F449">
        <v>11372</v>
      </c>
      <c r="G449" t="s">
        <v>28</v>
      </c>
      <c r="H449" t="s">
        <v>21</v>
      </c>
      <c r="I449">
        <v>12100</v>
      </c>
      <c r="J449">
        <v>0</v>
      </c>
      <c r="K449">
        <v>12100</v>
      </c>
      <c r="L449">
        <v>12100</v>
      </c>
      <c r="M449">
        <v>0</v>
      </c>
      <c r="N449">
        <v>12100</v>
      </c>
    </row>
    <row r="450" spans="1:14" ht="14.4">
      <c r="A450">
        <v>13365</v>
      </c>
      <c r="B450">
        <v>13366</v>
      </c>
      <c r="C450">
        <v>4085</v>
      </c>
      <c r="D450" t="s">
        <v>18</v>
      </c>
      <c r="E450" t="s">
        <v>180</v>
      </c>
      <c r="F450">
        <v>11413</v>
      </c>
      <c r="G450" t="s">
        <v>28</v>
      </c>
      <c r="H450" t="s">
        <v>21</v>
      </c>
      <c r="I450">
        <v>45814</v>
      </c>
      <c r="J450">
        <v>39414</v>
      </c>
      <c r="K450">
        <v>6400</v>
      </c>
      <c r="L450">
        <v>38400</v>
      </c>
      <c r="M450">
        <v>32000</v>
      </c>
      <c r="N450">
        <v>6400</v>
      </c>
    </row>
    <row r="451" spans="1:14" ht="14.4">
      <c r="A451">
        <v>13365</v>
      </c>
      <c r="B451">
        <v>13366</v>
      </c>
      <c r="C451">
        <v>4085</v>
      </c>
      <c r="D451" t="s">
        <v>18</v>
      </c>
      <c r="E451" t="s">
        <v>180</v>
      </c>
      <c r="F451">
        <v>11414</v>
      </c>
      <c r="G451" t="s">
        <v>28</v>
      </c>
      <c r="H451" t="s">
        <v>21</v>
      </c>
      <c r="I451">
        <v>543774</v>
      </c>
      <c r="J451">
        <v>322904</v>
      </c>
      <c r="K451">
        <v>220870</v>
      </c>
      <c r="L451">
        <v>318400</v>
      </c>
      <c r="M451">
        <v>178400</v>
      </c>
      <c r="N451">
        <v>140000</v>
      </c>
    </row>
    <row r="452" spans="1:14" ht="14.4">
      <c r="A452">
        <v>13365</v>
      </c>
      <c r="B452">
        <v>13366</v>
      </c>
      <c r="C452">
        <v>4085</v>
      </c>
      <c r="D452" t="s">
        <v>18</v>
      </c>
      <c r="E452" t="s">
        <v>180</v>
      </c>
      <c r="F452">
        <v>11422</v>
      </c>
      <c r="G452" t="s">
        <v>28</v>
      </c>
      <c r="H452" t="s">
        <v>21</v>
      </c>
      <c r="I452">
        <v>160143</v>
      </c>
      <c r="J452">
        <v>98898</v>
      </c>
      <c r="K452">
        <v>61245</v>
      </c>
      <c r="L452">
        <v>97500</v>
      </c>
      <c r="M452">
        <v>65300</v>
      </c>
      <c r="N452">
        <v>32200</v>
      </c>
    </row>
    <row r="453" spans="1:14" ht="14.4">
      <c r="A453">
        <v>13365</v>
      </c>
      <c r="B453">
        <v>13366</v>
      </c>
      <c r="C453">
        <v>4085</v>
      </c>
      <c r="D453" t="s">
        <v>18</v>
      </c>
      <c r="E453" t="s">
        <v>180</v>
      </c>
      <c r="F453">
        <v>11429</v>
      </c>
      <c r="G453" t="s">
        <v>28</v>
      </c>
      <c r="H453" t="s">
        <v>21</v>
      </c>
      <c r="I453">
        <v>14150</v>
      </c>
      <c r="J453">
        <v>13850</v>
      </c>
      <c r="K453">
        <v>300</v>
      </c>
      <c r="L453">
        <v>0</v>
      </c>
      <c r="M453">
        <v>0</v>
      </c>
      <c r="N453">
        <v>0</v>
      </c>
    </row>
    <row r="454" spans="1:14" ht="14.4">
      <c r="A454">
        <v>13365</v>
      </c>
      <c r="B454">
        <v>13366</v>
      </c>
      <c r="C454">
        <v>4085</v>
      </c>
      <c r="D454" t="s">
        <v>18</v>
      </c>
      <c r="E454" t="s">
        <v>180</v>
      </c>
      <c r="F454">
        <v>11432</v>
      </c>
      <c r="G454" t="s">
        <v>28</v>
      </c>
      <c r="H454" t="s">
        <v>21</v>
      </c>
      <c r="I454">
        <v>373601</v>
      </c>
      <c r="J454">
        <v>333814</v>
      </c>
      <c r="K454">
        <v>39787</v>
      </c>
      <c r="L454">
        <v>142500</v>
      </c>
      <c r="M454">
        <v>130100</v>
      </c>
      <c r="N454">
        <v>12400</v>
      </c>
    </row>
    <row r="455" spans="1:14" ht="14.4">
      <c r="A455">
        <v>13365</v>
      </c>
      <c r="B455">
        <v>13366</v>
      </c>
      <c r="C455">
        <v>4085</v>
      </c>
      <c r="D455" t="s">
        <v>18</v>
      </c>
      <c r="E455" t="s">
        <v>180</v>
      </c>
      <c r="F455">
        <v>11433</v>
      </c>
      <c r="G455" t="s">
        <v>28</v>
      </c>
      <c r="H455" t="s">
        <v>21</v>
      </c>
      <c r="I455">
        <v>170385</v>
      </c>
      <c r="J455">
        <v>133904</v>
      </c>
      <c r="K455">
        <v>36481</v>
      </c>
      <c r="L455">
        <v>67200</v>
      </c>
      <c r="M455">
        <v>40300</v>
      </c>
      <c r="N455">
        <v>26900</v>
      </c>
    </row>
    <row r="456" spans="1:14" ht="14.4">
      <c r="A456">
        <v>13365</v>
      </c>
      <c r="B456">
        <v>13366</v>
      </c>
      <c r="C456">
        <v>4085</v>
      </c>
      <c r="D456" t="s">
        <v>18</v>
      </c>
      <c r="E456" t="s">
        <v>180</v>
      </c>
      <c r="F456">
        <v>11434</v>
      </c>
      <c r="G456" t="s">
        <v>28</v>
      </c>
      <c r="H456" t="s">
        <v>21</v>
      </c>
      <c r="I456">
        <v>411633</v>
      </c>
      <c r="J456">
        <v>324488</v>
      </c>
      <c r="K456">
        <v>87145</v>
      </c>
      <c r="L456">
        <v>120800</v>
      </c>
      <c r="M456">
        <v>111000</v>
      </c>
      <c r="N456">
        <v>9800</v>
      </c>
    </row>
    <row r="457" spans="1:14" ht="14.4">
      <c r="A457">
        <v>13365</v>
      </c>
      <c r="B457">
        <v>13366</v>
      </c>
      <c r="C457">
        <v>4085</v>
      </c>
      <c r="D457" t="s">
        <v>18</v>
      </c>
      <c r="E457" t="s">
        <v>180</v>
      </c>
      <c r="F457">
        <v>11435</v>
      </c>
      <c r="G457" t="s">
        <v>28</v>
      </c>
      <c r="H457" t="s">
        <v>21</v>
      </c>
      <c r="I457">
        <v>248954</v>
      </c>
      <c r="J457">
        <v>221229</v>
      </c>
      <c r="K457">
        <v>27725</v>
      </c>
      <c r="L457">
        <v>8600</v>
      </c>
      <c r="M457">
        <v>8600</v>
      </c>
      <c r="N457">
        <v>0</v>
      </c>
    </row>
    <row r="458" spans="1:14" ht="14.4">
      <c r="A458">
        <v>13365</v>
      </c>
      <c r="B458">
        <v>13366</v>
      </c>
      <c r="C458">
        <v>4085</v>
      </c>
      <c r="D458" t="s">
        <v>18</v>
      </c>
      <c r="E458" t="s">
        <v>180</v>
      </c>
      <c r="F458">
        <v>11436</v>
      </c>
      <c r="G458" t="s">
        <v>28</v>
      </c>
      <c r="H458" t="s">
        <v>21</v>
      </c>
      <c r="I458">
        <v>275134</v>
      </c>
      <c r="J458">
        <v>218254</v>
      </c>
      <c r="K458">
        <v>56880</v>
      </c>
      <c r="L458">
        <v>87100</v>
      </c>
      <c r="M458">
        <v>46400</v>
      </c>
      <c r="N458">
        <v>40700</v>
      </c>
    </row>
    <row r="459" spans="1:14" ht="14.4">
      <c r="A459">
        <v>13365</v>
      </c>
      <c r="B459">
        <v>13366</v>
      </c>
      <c r="C459">
        <v>4085</v>
      </c>
      <c r="D459" t="s">
        <v>18</v>
      </c>
      <c r="E459" t="s">
        <v>181</v>
      </c>
      <c r="F459">
        <v>11947</v>
      </c>
      <c r="G459" t="s">
        <v>23</v>
      </c>
      <c r="H459" t="s">
        <v>21</v>
      </c>
      <c r="I459">
        <v>167269</v>
      </c>
      <c r="J459">
        <v>140506</v>
      </c>
      <c r="K459">
        <v>26763</v>
      </c>
      <c r="L459">
        <v>117100</v>
      </c>
      <c r="M459">
        <v>94800</v>
      </c>
      <c r="N459">
        <v>22300</v>
      </c>
    </row>
    <row r="460" spans="1:14" ht="14.4">
      <c r="A460">
        <v>13365</v>
      </c>
      <c r="B460">
        <v>13366</v>
      </c>
      <c r="C460">
        <v>4085</v>
      </c>
      <c r="D460" t="s">
        <v>18</v>
      </c>
      <c r="E460" t="s">
        <v>1250</v>
      </c>
      <c r="F460">
        <v>12748</v>
      </c>
      <c r="G460" t="s">
        <v>189</v>
      </c>
      <c r="H460" t="s">
        <v>21</v>
      </c>
      <c r="I460">
        <v>71584</v>
      </c>
      <c r="J460">
        <v>70359</v>
      </c>
      <c r="K460">
        <v>1225</v>
      </c>
      <c r="L460">
        <v>31800</v>
      </c>
      <c r="M460">
        <v>31500</v>
      </c>
      <c r="N460">
        <v>300</v>
      </c>
    </row>
    <row r="461" spans="1:14" ht="14.4">
      <c r="A461">
        <v>13365</v>
      </c>
      <c r="B461">
        <v>13366</v>
      </c>
      <c r="C461">
        <v>4085</v>
      </c>
      <c r="D461" t="s">
        <v>18</v>
      </c>
      <c r="E461" t="s">
        <v>182</v>
      </c>
      <c r="F461">
        <v>11753</v>
      </c>
      <c r="G461" t="s">
        <v>20</v>
      </c>
      <c r="H461" t="s">
        <v>21</v>
      </c>
      <c r="I461">
        <v>101648</v>
      </c>
      <c r="J461">
        <v>95448</v>
      </c>
      <c r="K461">
        <v>6200</v>
      </c>
      <c r="L461">
        <v>44200</v>
      </c>
      <c r="M461">
        <v>43900</v>
      </c>
      <c r="N461">
        <v>300</v>
      </c>
    </row>
    <row r="462" spans="1:14" ht="14.4">
      <c r="A462">
        <v>13365</v>
      </c>
      <c r="B462">
        <v>13366</v>
      </c>
      <c r="C462">
        <v>4085</v>
      </c>
      <c r="D462" t="s">
        <v>18</v>
      </c>
      <c r="E462" t="s">
        <v>182</v>
      </c>
      <c r="F462">
        <v>11753</v>
      </c>
      <c r="G462" t="s">
        <v>32</v>
      </c>
      <c r="H462" t="s">
        <v>21</v>
      </c>
      <c r="I462">
        <v>7390</v>
      </c>
      <c r="J462">
        <v>3190</v>
      </c>
      <c r="K462">
        <v>4200</v>
      </c>
      <c r="L462">
        <v>0</v>
      </c>
      <c r="M462">
        <v>0</v>
      </c>
      <c r="N462">
        <v>0</v>
      </c>
    </row>
    <row r="463" spans="1:14" ht="14.4">
      <c r="A463">
        <v>13365</v>
      </c>
      <c r="B463">
        <v>13366</v>
      </c>
      <c r="C463">
        <v>4085</v>
      </c>
      <c r="D463" t="s">
        <v>18</v>
      </c>
      <c r="E463" t="s">
        <v>1251</v>
      </c>
      <c r="F463">
        <v>11415</v>
      </c>
      <c r="G463" t="s">
        <v>28</v>
      </c>
      <c r="H463" t="s">
        <v>21</v>
      </c>
      <c r="I463">
        <v>1640</v>
      </c>
      <c r="J463">
        <v>0</v>
      </c>
      <c r="K463">
        <v>1640</v>
      </c>
      <c r="L463">
        <v>1200</v>
      </c>
      <c r="M463">
        <v>0</v>
      </c>
      <c r="N463">
        <v>1200</v>
      </c>
    </row>
    <row r="464" spans="1:14" ht="14.4">
      <c r="A464">
        <v>13365</v>
      </c>
      <c r="B464">
        <v>13366</v>
      </c>
      <c r="C464">
        <v>4085</v>
      </c>
      <c r="D464" t="s">
        <v>18</v>
      </c>
      <c r="E464" t="s">
        <v>184</v>
      </c>
      <c r="F464">
        <v>11754</v>
      </c>
      <c r="G464" t="s">
        <v>23</v>
      </c>
      <c r="H464" t="s">
        <v>21</v>
      </c>
      <c r="I464">
        <v>86487</v>
      </c>
      <c r="J464">
        <v>77537</v>
      </c>
      <c r="K464">
        <v>8950</v>
      </c>
      <c r="L464">
        <v>8800</v>
      </c>
      <c r="M464">
        <v>7400</v>
      </c>
      <c r="N464">
        <v>1400</v>
      </c>
    </row>
    <row r="465" spans="1:14" ht="14.4">
      <c r="A465">
        <v>13365</v>
      </c>
      <c r="B465">
        <v>13366</v>
      </c>
      <c r="C465">
        <v>4085</v>
      </c>
      <c r="D465" t="s">
        <v>18</v>
      </c>
      <c r="E465" t="s">
        <v>185</v>
      </c>
      <c r="F465">
        <v>12401</v>
      </c>
      <c r="G465" t="s">
        <v>186</v>
      </c>
      <c r="H465" t="s">
        <v>21</v>
      </c>
      <c r="I465">
        <v>275362</v>
      </c>
      <c r="J465">
        <v>239212</v>
      </c>
      <c r="K465">
        <v>36150</v>
      </c>
      <c r="L465">
        <v>48400</v>
      </c>
      <c r="M465">
        <v>41900</v>
      </c>
      <c r="N465">
        <v>6500</v>
      </c>
    </row>
    <row r="466" spans="1:14" ht="14.4">
      <c r="A466">
        <v>13365</v>
      </c>
      <c r="B466">
        <v>13366</v>
      </c>
      <c r="C466">
        <v>4085</v>
      </c>
      <c r="D466" t="s">
        <v>18</v>
      </c>
      <c r="E466" t="s">
        <v>1252</v>
      </c>
      <c r="F466">
        <v>11706</v>
      </c>
      <c r="G466" t="s">
        <v>23</v>
      </c>
      <c r="H466" t="s">
        <v>21</v>
      </c>
      <c r="I466">
        <v>589326</v>
      </c>
      <c r="J466">
        <v>437931</v>
      </c>
      <c r="K466">
        <v>151395</v>
      </c>
      <c r="L466">
        <v>40500</v>
      </c>
      <c r="M466">
        <v>27100</v>
      </c>
      <c r="N466">
        <v>13400</v>
      </c>
    </row>
    <row r="467" spans="1:14" ht="14.4">
      <c r="A467">
        <v>13365</v>
      </c>
      <c r="B467">
        <v>13366</v>
      </c>
      <c r="C467">
        <v>4085</v>
      </c>
      <c r="D467" t="s">
        <v>18</v>
      </c>
      <c r="E467" t="s">
        <v>1252</v>
      </c>
      <c r="F467">
        <v>11770</v>
      </c>
      <c r="G467" t="s">
        <v>23</v>
      </c>
      <c r="H467" t="s">
        <v>21</v>
      </c>
      <c r="I467">
        <v>41075</v>
      </c>
      <c r="J467">
        <v>32575</v>
      </c>
      <c r="K467">
        <v>8500</v>
      </c>
      <c r="L467">
        <v>0</v>
      </c>
      <c r="M467">
        <v>0</v>
      </c>
      <c r="N467">
        <v>0</v>
      </c>
    </row>
    <row r="468" spans="1:14" ht="14.4">
      <c r="A468">
        <v>13365</v>
      </c>
      <c r="B468">
        <v>13366</v>
      </c>
      <c r="C468">
        <v>4085</v>
      </c>
      <c r="D468" t="s">
        <v>18</v>
      </c>
      <c r="E468" t="s">
        <v>1253</v>
      </c>
      <c r="F468">
        <v>11706</v>
      </c>
      <c r="G468" t="s">
        <v>23</v>
      </c>
      <c r="H468" t="s">
        <v>21</v>
      </c>
      <c r="I468">
        <v>33943</v>
      </c>
      <c r="J468">
        <v>30943</v>
      </c>
      <c r="K468">
        <v>3000</v>
      </c>
      <c r="L468">
        <v>16100</v>
      </c>
      <c r="M468">
        <v>16100</v>
      </c>
      <c r="N468">
        <v>0</v>
      </c>
    </row>
    <row r="469" spans="1:14" ht="14.4">
      <c r="A469">
        <v>13365</v>
      </c>
      <c r="B469">
        <v>13366</v>
      </c>
      <c r="C469">
        <v>4085</v>
      </c>
      <c r="D469" t="s">
        <v>18</v>
      </c>
      <c r="E469" t="s">
        <v>187</v>
      </c>
      <c r="F469">
        <v>11755</v>
      </c>
      <c r="G469" t="s">
        <v>23</v>
      </c>
      <c r="H469" t="s">
        <v>21</v>
      </c>
      <c r="I469">
        <v>39910</v>
      </c>
      <c r="J469">
        <v>39410</v>
      </c>
      <c r="K469">
        <v>500</v>
      </c>
      <c r="L469">
        <v>0</v>
      </c>
      <c r="M469">
        <v>0</v>
      </c>
      <c r="N469">
        <v>0</v>
      </c>
    </row>
    <row r="470" spans="1:14" ht="14.4">
      <c r="A470">
        <v>13365</v>
      </c>
      <c r="B470">
        <v>13366</v>
      </c>
      <c r="C470">
        <v>4085</v>
      </c>
      <c r="D470" t="s">
        <v>18</v>
      </c>
      <c r="E470" t="s">
        <v>1254</v>
      </c>
      <c r="F470">
        <v>10537</v>
      </c>
      <c r="G470" t="s">
        <v>58</v>
      </c>
      <c r="H470" t="s">
        <v>21</v>
      </c>
      <c r="I470">
        <v>54375</v>
      </c>
      <c r="J470">
        <v>43925</v>
      </c>
      <c r="K470">
        <v>10450</v>
      </c>
      <c r="L470">
        <v>29000</v>
      </c>
      <c r="M470">
        <v>22000</v>
      </c>
      <c r="N470">
        <v>7000</v>
      </c>
    </row>
    <row r="471" spans="1:14" ht="14.4">
      <c r="A471">
        <v>13365</v>
      </c>
      <c r="B471">
        <v>13366</v>
      </c>
      <c r="C471">
        <v>4085</v>
      </c>
      <c r="D471" t="s">
        <v>18</v>
      </c>
      <c r="E471" t="s">
        <v>190</v>
      </c>
      <c r="F471">
        <v>11779</v>
      </c>
      <c r="G471" t="s">
        <v>23</v>
      </c>
      <c r="H471" t="s">
        <v>21</v>
      </c>
      <c r="I471">
        <v>81202</v>
      </c>
      <c r="J471">
        <v>73152</v>
      </c>
      <c r="K471">
        <v>8050</v>
      </c>
      <c r="L471">
        <v>27400</v>
      </c>
      <c r="M471">
        <v>27400</v>
      </c>
      <c r="N471">
        <v>0</v>
      </c>
    </row>
    <row r="472" spans="1:14" ht="14.4">
      <c r="A472">
        <v>13365</v>
      </c>
      <c r="B472">
        <v>13366</v>
      </c>
      <c r="C472">
        <v>4085</v>
      </c>
      <c r="D472" t="s">
        <v>18</v>
      </c>
      <c r="E472" t="s">
        <v>191</v>
      </c>
      <c r="F472">
        <v>10538</v>
      </c>
      <c r="G472" t="s">
        <v>64</v>
      </c>
      <c r="H472" t="s">
        <v>21</v>
      </c>
      <c r="I472">
        <v>854112</v>
      </c>
      <c r="J472">
        <v>756742</v>
      </c>
      <c r="K472">
        <v>97370</v>
      </c>
      <c r="L472">
        <v>245900</v>
      </c>
      <c r="M472">
        <v>189600</v>
      </c>
      <c r="N472">
        <v>56300</v>
      </c>
    </row>
    <row r="473" spans="1:14" ht="14.4">
      <c r="A473">
        <v>13365</v>
      </c>
      <c r="B473">
        <v>13366</v>
      </c>
      <c r="C473">
        <v>4085</v>
      </c>
      <c r="D473" t="s">
        <v>18</v>
      </c>
      <c r="E473" t="s">
        <v>1255</v>
      </c>
      <c r="F473">
        <v>11559</v>
      </c>
      <c r="G473" t="s">
        <v>20</v>
      </c>
      <c r="H473" t="s">
        <v>21</v>
      </c>
      <c r="I473">
        <v>230063</v>
      </c>
      <c r="J473">
        <v>187963</v>
      </c>
      <c r="K473">
        <v>42100</v>
      </c>
      <c r="L473">
        <v>0</v>
      </c>
      <c r="M473">
        <v>0</v>
      </c>
      <c r="N473">
        <v>0</v>
      </c>
    </row>
    <row r="474" spans="1:14" ht="14.4">
      <c r="A474">
        <v>13365</v>
      </c>
      <c r="B474">
        <v>13366</v>
      </c>
      <c r="C474">
        <v>4085</v>
      </c>
      <c r="D474" t="s">
        <v>18</v>
      </c>
      <c r="E474" t="s">
        <v>1256</v>
      </c>
      <c r="F474">
        <v>11948</v>
      </c>
      <c r="G474" t="s">
        <v>23</v>
      </c>
      <c r="H474" t="s">
        <v>21</v>
      </c>
      <c r="I474">
        <v>644919</v>
      </c>
      <c r="J474">
        <v>631644</v>
      </c>
      <c r="K474">
        <v>13275</v>
      </c>
      <c r="L474">
        <v>549300</v>
      </c>
      <c r="M474">
        <v>541200</v>
      </c>
      <c r="N474">
        <v>8100</v>
      </c>
    </row>
    <row r="475" spans="1:14" ht="14.4">
      <c r="A475">
        <v>13365</v>
      </c>
      <c r="B475">
        <v>13366</v>
      </c>
      <c r="C475">
        <v>4085</v>
      </c>
      <c r="D475" t="s">
        <v>18</v>
      </c>
      <c r="E475" t="s">
        <v>193</v>
      </c>
      <c r="F475">
        <v>11413</v>
      </c>
      <c r="G475" t="s">
        <v>28</v>
      </c>
      <c r="H475" t="s">
        <v>21</v>
      </c>
      <c r="I475">
        <v>280179</v>
      </c>
      <c r="J475">
        <v>221824</v>
      </c>
      <c r="K475">
        <v>58355</v>
      </c>
      <c r="L475">
        <v>144600</v>
      </c>
      <c r="M475">
        <v>101200</v>
      </c>
      <c r="N475">
        <v>43400</v>
      </c>
    </row>
    <row r="476" spans="1:14" ht="14.4">
      <c r="A476">
        <v>13365</v>
      </c>
      <c r="B476">
        <v>13366</v>
      </c>
      <c r="C476">
        <v>4085</v>
      </c>
      <c r="D476" t="s">
        <v>18</v>
      </c>
      <c r="E476" t="s">
        <v>1257</v>
      </c>
      <c r="F476">
        <v>11559</v>
      </c>
      <c r="G476" t="s">
        <v>20</v>
      </c>
      <c r="H476" t="s">
        <v>21</v>
      </c>
      <c r="I476">
        <v>260843</v>
      </c>
      <c r="J476">
        <v>224583</v>
      </c>
      <c r="K476">
        <v>36260</v>
      </c>
      <c r="L476">
        <v>0</v>
      </c>
      <c r="M476">
        <v>0</v>
      </c>
      <c r="N476">
        <v>0</v>
      </c>
    </row>
    <row r="477" spans="1:14" ht="14.4">
      <c r="A477">
        <v>13365</v>
      </c>
      <c r="B477">
        <v>13366</v>
      </c>
      <c r="C477">
        <v>4085</v>
      </c>
      <c r="D477" t="s">
        <v>18</v>
      </c>
      <c r="E477" t="s">
        <v>194</v>
      </c>
      <c r="F477">
        <v>11559</v>
      </c>
      <c r="G477" t="s">
        <v>20</v>
      </c>
      <c r="H477" t="s">
        <v>21</v>
      </c>
      <c r="I477">
        <v>17781910</v>
      </c>
      <c r="J477">
        <v>12276921</v>
      </c>
      <c r="K477">
        <v>5504989</v>
      </c>
      <c r="L477">
        <v>6797600</v>
      </c>
      <c r="M477">
        <v>4844800</v>
      </c>
      <c r="N477">
        <v>1952800</v>
      </c>
    </row>
    <row r="478" spans="1:14" ht="14.4">
      <c r="A478">
        <v>13365</v>
      </c>
      <c r="B478">
        <v>13366</v>
      </c>
      <c r="C478">
        <v>4085</v>
      </c>
      <c r="D478" t="s">
        <v>18</v>
      </c>
      <c r="E478" t="s">
        <v>194</v>
      </c>
      <c r="F478">
        <v>11559</v>
      </c>
      <c r="G478" t="s">
        <v>28</v>
      </c>
      <c r="H478" t="s">
        <v>21</v>
      </c>
      <c r="I478">
        <v>7175</v>
      </c>
      <c r="J478">
        <v>0</v>
      </c>
      <c r="K478">
        <v>7175</v>
      </c>
      <c r="L478">
        <v>7200</v>
      </c>
      <c r="M478">
        <v>0</v>
      </c>
      <c r="N478">
        <v>7200</v>
      </c>
    </row>
    <row r="479" spans="1:14" ht="14.4">
      <c r="A479">
        <v>13365</v>
      </c>
      <c r="B479">
        <v>13366</v>
      </c>
      <c r="C479">
        <v>4085</v>
      </c>
      <c r="D479" t="s">
        <v>18</v>
      </c>
      <c r="E479" t="s">
        <v>194</v>
      </c>
      <c r="F479">
        <v>11563</v>
      </c>
      <c r="G479" t="s">
        <v>20</v>
      </c>
      <c r="H479" t="s">
        <v>21</v>
      </c>
      <c r="I479">
        <v>143588</v>
      </c>
      <c r="J479">
        <v>116748</v>
      </c>
      <c r="K479">
        <v>26840</v>
      </c>
      <c r="L479">
        <v>125100</v>
      </c>
      <c r="M479">
        <v>101300</v>
      </c>
      <c r="N479">
        <v>23800</v>
      </c>
    </row>
    <row r="480" spans="1:14" ht="14.4">
      <c r="A480">
        <v>13365</v>
      </c>
      <c r="B480">
        <v>13366</v>
      </c>
      <c r="C480">
        <v>4085</v>
      </c>
      <c r="D480" t="s">
        <v>18</v>
      </c>
      <c r="E480" t="s">
        <v>195</v>
      </c>
      <c r="F480">
        <v>11756</v>
      </c>
      <c r="G480" t="s">
        <v>20</v>
      </c>
      <c r="H480" t="s">
        <v>21</v>
      </c>
      <c r="I480">
        <v>549964</v>
      </c>
      <c r="J480">
        <v>480569</v>
      </c>
      <c r="K480">
        <v>69395</v>
      </c>
      <c r="L480">
        <v>176000</v>
      </c>
      <c r="M480">
        <v>162800</v>
      </c>
      <c r="N480">
        <v>13200</v>
      </c>
    </row>
    <row r="481" spans="1:14" ht="14.4">
      <c r="A481">
        <v>13365</v>
      </c>
      <c r="B481">
        <v>13366</v>
      </c>
      <c r="C481">
        <v>4085</v>
      </c>
      <c r="D481" t="s">
        <v>18</v>
      </c>
      <c r="E481" t="s">
        <v>197</v>
      </c>
      <c r="F481">
        <v>12754</v>
      </c>
      <c r="G481" t="s">
        <v>189</v>
      </c>
      <c r="H481" t="s">
        <v>21</v>
      </c>
      <c r="I481">
        <v>18654</v>
      </c>
      <c r="J481">
        <v>18654</v>
      </c>
      <c r="K481">
        <v>0</v>
      </c>
      <c r="L481">
        <v>0</v>
      </c>
      <c r="M481">
        <v>0</v>
      </c>
      <c r="N481">
        <v>0</v>
      </c>
    </row>
    <row r="482" spans="1:14" ht="14.4">
      <c r="A482">
        <v>13365</v>
      </c>
      <c r="B482">
        <v>13366</v>
      </c>
      <c r="C482">
        <v>4085</v>
      </c>
      <c r="D482" t="s">
        <v>18</v>
      </c>
      <c r="E482" t="s">
        <v>1258</v>
      </c>
      <c r="F482">
        <v>11757</v>
      </c>
      <c r="G482" t="s">
        <v>23</v>
      </c>
      <c r="H482" t="s">
        <v>21</v>
      </c>
      <c r="I482">
        <v>142171</v>
      </c>
      <c r="J482">
        <v>122771</v>
      </c>
      <c r="K482">
        <v>19400</v>
      </c>
      <c r="L482">
        <v>0</v>
      </c>
      <c r="M482">
        <v>0</v>
      </c>
      <c r="N482">
        <v>0</v>
      </c>
    </row>
    <row r="483" spans="1:14" ht="14.4">
      <c r="A483">
        <v>13365</v>
      </c>
      <c r="B483">
        <v>13366</v>
      </c>
      <c r="C483">
        <v>4085</v>
      </c>
      <c r="D483" t="s">
        <v>18</v>
      </c>
      <c r="E483" t="s">
        <v>1259</v>
      </c>
      <c r="F483">
        <v>11561</v>
      </c>
      <c r="G483" t="s">
        <v>20</v>
      </c>
      <c r="H483" t="s">
        <v>21</v>
      </c>
      <c r="I483">
        <v>206955</v>
      </c>
      <c r="J483">
        <v>99460</v>
      </c>
      <c r="K483">
        <v>107495</v>
      </c>
      <c r="L483">
        <v>107200</v>
      </c>
      <c r="M483">
        <v>81800</v>
      </c>
      <c r="N483">
        <v>25400</v>
      </c>
    </row>
    <row r="484" spans="1:14" ht="14.4">
      <c r="A484">
        <v>13365</v>
      </c>
      <c r="B484">
        <v>13366</v>
      </c>
      <c r="C484">
        <v>4085</v>
      </c>
      <c r="D484" t="s">
        <v>18</v>
      </c>
      <c r="E484" t="s">
        <v>199</v>
      </c>
      <c r="F484">
        <v>11516</v>
      </c>
      <c r="G484" t="s">
        <v>20</v>
      </c>
      <c r="H484" t="s">
        <v>21</v>
      </c>
      <c r="I484">
        <v>107655</v>
      </c>
      <c r="J484">
        <v>73075</v>
      </c>
      <c r="K484">
        <v>34580</v>
      </c>
      <c r="L484">
        <v>0</v>
      </c>
      <c r="M484">
        <v>0</v>
      </c>
      <c r="N484">
        <v>0</v>
      </c>
    </row>
    <row r="485" spans="1:14" ht="14.4">
      <c r="A485">
        <v>13365</v>
      </c>
      <c r="B485">
        <v>13366</v>
      </c>
      <c r="C485">
        <v>4085</v>
      </c>
      <c r="D485" t="s">
        <v>18</v>
      </c>
      <c r="E485" t="s">
        <v>199</v>
      </c>
      <c r="F485">
        <v>11561</v>
      </c>
      <c r="G485" t="s">
        <v>20</v>
      </c>
      <c r="H485" t="s">
        <v>21</v>
      </c>
      <c r="I485">
        <v>20249822</v>
      </c>
      <c r="J485">
        <v>13974591</v>
      </c>
      <c r="K485">
        <v>6275231</v>
      </c>
      <c r="L485">
        <v>6716400</v>
      </c>
      <c r="M485">
        <v>4794500</v>
      </c>
      <c r="N485">
        <v>1921900</v>
      </c>
    </row>
    <row r="486" spans="1:14" ht="14.4">
      <c r="A486">
        <v>13365</v>
      </c>
      <c r="B486">
        <v>13366</v>
      </c>
      <c r="C486">
        <v>4085</v>
      </c>
      <c r="D486" t="s">
        <v>18</v>
      </c>
      <c r="E486" t="s">
        <v>1260</v>
      </c>
      <c r="F486">
        <v>11501</v>
      </c>
      <c r="G486" t="s">
        <v>20</v>
      </c>
      <c r="H486" t="s">
        <v>21</v>
      </c>
      <c r="I486">
        <v>49089</v>
      </c>
      <c r="J486">
        <v>45414</v>
      </c>
      <c r="K486">
        <v>3675</v>
      </c>
      <c r="L486">
        <v>0</v>
      </c>
      <c r="M486">
        <v>0</v>
      </c>
      <c r="N486">
        <v>0</v>
      </c>
    </row>
    <row r="487" spans="1:14" ht="14.4">
      <c r="A487">
        <v>13365</v>
      </c>
      <c r="B487">
        <v>13366</v>
      </c>
      <c r="C487">
        <v>4085</v>
      </c>
      <c r="D487" t="s">
        <v>18</v>
      </c>
      <c r="E487" t="s">
        <v>1261</v>
      </c>
      <c r="F487">
        <v>11561</v>
      </c>
      <c r="G487" t="s">
        <v>20</v>
      </c>
      <c r="H487" t="s">
        <v>21</v>
      </c>
      <c r="I487">
        <v>38688</v>
      </c>
      <c r="J487">
        <v>38688</v>
      </c>
      <c r="K487">
        <v>0</v>
      </c>
      <c r="L487">
        <v>38700</v>
      </c>
      <c r="M487">
        <v>38700</v>
      </c>
      <c r="N487">
        <v>0</v>
      </c>
    </row>
    <row r="488" spans="1:14" ht="14.4">
      <c r="A488">
        <v>13365</v>
      </c>
      <c r="B488">
        <v>13366</v>
      </c>
      <c r="C488">
        <v>4085</v>
      </c>
      <c r="D488" t="s">
        <v>18</v>
      </c>
      <c r="E488" t="s">
        <v>1262</v>
      </c>
      <c r="F488">
        <v>11757</v>
      </c>
      <c r="G488" t="s">
        <v>23</v>
      </c>
      <c r="H488" t="s">
        <v>21</v>
      </c>
      <c r="I488">
        <v>153322</v>
      </c>
      <c r="J488">
        <v>113997</v>
      </c>
      <c r="K488">
        <v>39325</v>
      </c>
      <c r="L488">
        <v>0</v>
      </c>
      <c r="M488">
        <v>0</v>
      </c>
      <c r="N488">
        <v>0</v>
      </c>
    </row>
    <row r="489" spans="1:14" ht="14.4">
      <c r="A489">
        <v>13365</v>
      </c>
      <c r="B489">
        <v>13366</v>
      </c>
      <c r="C489">
        <v>4085</v>
      </c>
      <c r="D489" t="s">
        <v>18</v>
      </c>
      <c r="E489" t="s">
        <v>1263</v>
      </c>
      <c r="F489">
        <v>11757</v>
      </c>
      <c r="G489" t="s">
        <v>23</v>
      </c>
      <c r="H489" t="s">
        <v>21</v>
      </c>
      <c r="I489">
        <v>37515</v>
      </c>
      <c r="J489">
        <v>0</v>
      </c>
      <c r="K489">
        <v>37515</v>
      </c>
      <c r="L489">
        <v>0</v>
      </c>
      <c r="M489">
        <v>0</v>
      </c>
      <c r="N489">
        <v>0</v>
      </c>
    </row>
    <row r="490" spans="1:14" ht="14.4">
      <c r="A490">
        <v>13365</v>
      </c>
      <c r="B490">
        <v>13366</v>
      </c>
      <c r="C490">
        <v>4085</v>
      </c>
      <c r="D490" t="s">
        <v>18</v>
      </c>
      <c r="E490" t="s">
        <v>200</v>
      </c>
      <c r="F490">
        <v>11575</v>
      </c>
      <c r="G490" t="s">
        <v>23</v>
      </c>
      <c r="H490" t="s">
        <v>21</v>
      </c>
      <c r="I490">
        <v>419099</v>
      </c>
      <c r="J490">
        <v>339649</v>
      </c>
      <c r="K490">
        <v>79450</v>
      </c>
      <c r="L490">
        <v>0</v>
      </c>
      <c r="M490">
        <v>0</v>
      </c>
      <c r="N490">
        <v>0</v>
      </c>
    </row>
    <row r="491" spans="1:14" ht="14.4">
      <c r="A491">
        <v>13365</v>
      </c>
      <c r="B491">
        <v>13366</v>
      </c>
      <c r="C491">
        <v>4085</v>
      </c>
      <c r="D491" t="s">
        <v>18</v>
      </c>
      <c r="E491" t="s">
        <v>200</v>
      </c>
      <c r="F491">
        <v>11735</v>
      </c>
      <c r="G491" t="s">
        <v>23</v>
      </c>
      <c r="H491" t="s">
        <v>21</v>
      </c>
      <c r="I491">
        <v>75483</v>
      </c>
      <c r="J491">
        <v>75483</v>
      </c>
      <c r="K491">
        <v>0</v>
      </c>
      <c r="L491">
        <v>0</v>
      </c>
      <c r="M491">
        <v>0</v>
      </c>
      <c r="N491">
        <v>0</v>
      </c>
    </row>
    <row r="492" spans="1:14" ht="14.4">
      <c r="A492">
        <v>13365</v>
      </c>
      <c r="B492">
        <v>13366</v>
      </c>
      <c r="C492">
        <v>4085</v>
      </c>
      <c r="D492" t="s">
        <v>18</v>
      </c>
      <c r="E492" t="s">
        <v>200</v>
      </c>
      <c r="F492">
        <v>11740</v>
      </c>
      <c r="G492" t="s">
        <v>23</v>
      </c>
      <c r="H492" t="s">
        <v>21</v>
      </c>
      <c r="I492">
        <v>8125</v>
      </c>
      <c r="J492">
        <v>0</v>
      </c>
      <c r="K492">
        <v>8125</v>
      </c>
      <c r="L492">
        <v>8200</v>
      </c>
      <c r="M492">
        <v>0</v>
      </c>
      <c r="N492">
        <v>8200</v>
      </c>
    </row>
    <row r="493" spans="1:14" ht="14.4">
      <c r="A493">
        <v>13365</v>
      </c>
      <c r="B493">
        <v>13366</v>
      </c>
      <c r="C493">
        <v>4085</v>
      </c>
      <c r="D493" t="s">
        <v>18</v>
      </c>
      <c r="E493" t="s">
        <v>200</v>
      </c>
      <c r="F493">
        <v>11756</v>
      </c>
      <c r="G493" t="s">
        <v>23</v>
      </c>
      <c r="H493" t="s">
        <v>21</v>
      </c>
      <c r="I493">
        <v>101600</v>
      </c>
      <c r="J493">
        <v>83650</v>
      </c>
      <c r="K493">
        <v>17950</v>
      </c>
      <c r="L493">
        <v>18000</v>
      </c>
      <c r="M493">
        <v>0</v>
      </c>
      <c r="N493">
        <v>18000</v>
      </c>
    </row>
    <row r="494" spans="1:14" ht="14.4">
      <c r="A494">
        <v>13365</v>
      </c>
      <c r="B494">
        <v>13366</v>
      </c>
      <c r="C494">
        <v>4085</v>
      </c>
      <c r="D494" t="s">
        <v>18</v>
      </c>
      <c r="E494" t="s">
        <v>200</v>
      </c>
      <c r="F494">
        <v>11757</v>
      </c>
      <c r="G494" t="s">
        <v>20</v>
      </c>
      <c r="H494" t="s">
        <v>21</v>
      </c>
      <c r="I494">
        <v>80028</v>
      </c>
      <c r="J494">
        <v>63568</v>
      </c>
      <c r="K494">
        <v>16460</v>
      </c>
      <c r="L494">
        <v>61000</v>
      </c>
      <c r="M494">
        <v>44500</v>
      </c>
      <c r="N494">
        <v>16500</v>
      </c>
    </row>
    <row r="495" spans="1:14" ht="14.4">
      <c r="A495">
        <v>13365</v>
      </c>
      <c r="B495">
        <v>13366</v>
      </c>
      <c r="C495">
        <v>4085</v>
      </c>
      <c r="D495" t="s">
        <v>18</v>
      </c>
      <c r="E495" t="s">
        <v>200</v>
      </c>
      <c r="F495">
        <v>11757</v>
      </c>
      <c r="G495" t="s">
        <v>23</v>
      </c>
      <c r="H495" t="s">
        <v>21</v>
      </c>
      <c r="I495">
        <v>102648540</v>
      </c>
      <c r="J495">
        <v>74139891</v>
      </c>
      <c r="K495">
        <v>28508649</v>
      </c>
      <c r="L495">
        <v>45810100</v>
      </c>
      <c r="M495">
        <v>31141775</v>
      </c>
      <c r="N495">
        <v>14654925</v>
      </c>
    </row>
    <row r="496" spans="1:14" ht="14.4">
      <c r="A496">
        <v>13365</v>
      </c>
      <c r="B496">
        <v>13366</v>
      </c>
      <c r="C496">
        <v>4085</v>
      </c>
      <c r="D496" t="s">
        <v>18</v>
      </c>
      <c r="E496" t="s">
        <v>1264</v>
      </c>
      <c r="F496">
        <v>11757</v>
      </c>
      <c r="G496" t="s">
        <v>23</v>
      </c>
      <c r="H496" t="s">
        <v>21</v>
      </c>
      <c r="I496">
        <v>184672</v>
      </c>
      <c r="J496">
        <v>149242</v>
      </c>
      <c r="K496">
        <v>35430</v>
      </c>
      <c r="L496">
        <v>0</v>
      </c>
      <c r="M496">
        <v>0</v>
      </c>
      <c r="N496">
        <v>0</v>
      </c>
    </row>
    <row r="497" spans="1:14" ht="14.4">
      <c r="A497">
        <v>13365</v>
      </c>
      <c r="B497">
        <v>13366</v>
      </c>
      <c r="C497">
        <v>4085</v>
      </c>
      <c r="D497" t="s">
        <v>18</v>
      </c>
      <c r="E497" t="s">
        <v>1265</v>
      </c>
      <c r="F497">
        <v>11757</v>
      </c>
      <c r="G497" t="s">
        <v>23</v>
      </c>
      <c r="H497" t="s">
        <v>21</v>
      </c>
      <c r="I497">
        <v>10500</v>
      </c>
      <c r="J497">
        <v>0</v>
      </c>
      <c r="K497">
        <v>10500</v>
      </c>
      <c r="L497">
        <v>10500</v>
      </c>
      <c r="M497">
        <v>0</v>
      </c>
      <c r="N497">
        <v>10500</v>
      </c>
    </row>
    <row r="498" spans="1:14" ht="14.4">
      <c r="A498">
        <v>13365</v>
      </c>
      <c r="B498">
        <v>13366</v>
      </c>
      <c r="C498">
        <v>4085</v>
      </c>
      <c r="D498" t="s">
        <v>18</v>
      </c>
      <c r="E498" t="s">
        <v>1266</v>
      </c>
      <c r="F498">
        <v>11757</v>
      </c>
      <c r="G498" t="s">
        <v>23</v>
      </c>
      <c r="H498" t="s">
        <v>21</v>
      </c>
      <c r="I498">
        <v>160747</v>
      </c>
      <c r="J498">
        <v>104797</v>
      </c>
      <c r="K498">
        <v>55950</v>
      </c>
      <c r="L498">
        <v>0</v>
      </c>
      <c r="M498">
        <v>0</v>
      </c>
      <c r="N498">
        <v>0</v>
      </c>
    </row>
    <row r="499" spans="1:14" ht="14.4">
      <c r="A499">
        <v>13365</v>
      </c>
      <c r="B499">
        <v>13366</v>
      </c>
      <c r="C499">
        <v>4085</v>
      </c>
      <c r="D499" t="s">
        <v>18</v>
      </c>
      <c r="E499" t="s">
        <v>1267</v>
      </c>
      <c r="F499">
        <v>11757</v>
      </c>
      <c r="G499" t="s">
        <v>23</v>
      </c>
      <c r="H499" t="s">
        <v>21</v>
      </c>
      <c r="I499">
        <v>39314</v>
      </c>
      <c r="J499">
        <v>26464</v>
      </c>
      <c r="K499">
        <v>12850</v>
      </c>
      <c r="L499">
        <v>22700</v>
      </c>
      <c r="M499">
        <v>11500</v>
      </c>
      <c r="N499">
        <v>11200</v>
      </c>
    </row>
    <row r="500" spans="1:14" ht="14.4">
      <c r="A500">
        <v>13365</v>
      </c>
      <c r="B500">
        <v>13366</v>
      </c>
      <c r="C500">
        <v>4085</v>
      </c>
      <c r="D500" t="s">
        <v>18</v>
      </c>
      <c r="E500" t="s">
        <v>1268</v>
      </c>
      <c r="F500">
        <v>11757</v>
      </c>
      <c r="G500" t="s">
        <v>23</v>
      </c>
      <c r="H500" t="s">
        <v>21</v>
      </c>
      <c r="I500">
        <v>157749</v>
      </c>
      <c r="J500">
        <v>119129</v>
      </c>
      <c r="K500">
        <v>38620</v>
      </c>
      <c r="L500">
        <v>73900</v>
      </c>
      <c r="M500">
        <v>36300</v>
      </c>
      <c r="N500">
        <v>37600</v>
      </c>
    </row>
    <row r="501" spans="1:14" ht="14.4">
      <c r="A501">
        <v>13365</v>
      </c>
      <c r="B501">
        <v>13366</v>
      </c>
      <c r="C501">
        <v>4085</v>
      </c>
      <c r="D501" t="s">
        <v>18</v>
      </c>
      <c r="E501" t="s">
        <v>203</v>
      </c>
      <c r="F501">
        <v>11362</v>
      </c>
      <c r="G501" t="s">
        <v>28</v>
      </c>
      <c r="H501" t="s">
        <v>21</v>
      </c>
      <c r="I501">
        <v>114546</v>
      </c>
      <c r="J501">
        <v>103866</v>
      </c>
      <c r="K501">
        <v>10680</v>
      </c>
      <c r="L501">
        <v>69000</v>
      </c>
      <c r="M501">
        <v>58300</v>
      </c>
      <c r="N501">
        <v>10700</v>
      </c>
    </row>
    <row r="502" spans="1:14" ht="14.4">
      <c r="A502">
        <v>13365</v>
      </c>
      <c r="B502">
        <v>13366</v>
      </c>
      <c r="C502">
        <v>4085</v>
      </c>
      <c r="D502" t="s">
        <v>18</v>
      </c>
      <c r="E502" t="s">
        <v>203</v>
      </c>
      <c r="F502">
        <v>11363</v>
      </c>
      <c r="G502" t="s">
        <v>28</v>
      </c>
      <c r="H502" t="s">
        <v>21</v>
      </c>
      <c r="I502">
        <v>122049</v>
      </c>
      <c r="J502">
        <v>39324</v>
      </c>
      <c r="K502">
        <v>82725</v>
      </c>
      <c r="L502">
        <v>49100</v>
      </c>
      <c r="M502">
        <v>13800</v>
      </c>
      <c r="N502">
        <v>35300</v>
      </c>
    </row>
    <row r="503" spans="1:14" ht="14.4">
      <c r="A503">
        <v>13365</v>
      </c>
      <c r="B503">
        <v>13366</v>
      </c>
      <c r="C503">
        <v>4085</v>
      </c>
      <c r="D503" t="s">
        <v>18</v>
      </c>
      <c r="E503" t="s">
        <v>1269</v>
      </c>
      <c r="F503">
        <v>12758</v>
      </c>
      <c r="G503" t="s">
        <v>189</v>
      </c>
      <c r="H503" t="s">
        <v>21</v>
      </c>
      <c r="I503">
        <v>72493</v>
      </c>
      <c r="J503">
        <v>71343</v>
      </c>
      <c r="K503">
        <v>1150</v>
      </c>
      <c r="L503">
        <v>68600</v>
      </c>
      <c r="M503">
        <v>67900</v>
      </c>
      <c r="N503">
        <v>700</v>
      </c>
    </row>
    <row r="504" spans="1:14" ht="14.4">
      <c r="A504">
        <v>13365</v>
      </c>
      <c r="B504">
        <v>13366</v>
      </c>
      <c r="C504">
        <v>4085</v>
      </c>
      <c r="D504" t="s">
        <v>18</v>
      </c>
      <c r="E504" t="s">
        <v>204</v>
      </c>
      <c r="F504">
        <v>11743</v>
      </c>
      <c r="G504" t="s">
        <v>23</v>
      </c>
      <c r="H504" t="s">
        <v>21</v>
      </c>
      <c r="I504">
        <v>190970</v>
      </c>
      <c r="J504">
        <v>171970</v>
      </c>
      <c r="K504">
        <v>19000</v>
      </c>
      <c r="L504">
        <v>60400</v>
      </c>
      <c r="M504">
        <v>60400</v>
      </c>
      <c r="N504">
        <v>0</v>
      </c>
    </row>
    <row r="505" spans="1:14" ht="14.4">
      <c r="A505">
        <v>13365</v>
      </c>
      <c r="B505">
        <v>13366</v>
      </c>
      <c r="C505">
        <v>4085</v>
      </c>
      <c r="D505" t="s">
        <v>18</v>
      </c>
      <c r="E505" t="s">
        <v>205</v>
      </c>
      <c r="F505">
        <v>11560</v>
      </c>
      <c r="G505" t="s">
        <v>20</v>
      </c>
      <c r="H505" t="s">
        <v>21</v>
      </c>
      <c r="I505">
        <v>375152</v>
      </c>
      <c r="J505">
        <v>344042</v>
      </c>
      <c r="K505">
        <v>31110</v>
      </c>
      <c r="L505">
        <v>123900</v>
      </c>
      <c r="M505">
        <v>121500</v>
      </c>
      <c r="N505">
        <v>2400</v>
      </c>
    </row>
    <row r="506" spans="1:14" ht="14.4">
      <c r="A506">
        <v>13365</v>
      </c>
      <c r="B506">
        <v>13366</v>
      </c>
      <c r="C506">
        <v>4085</v>
      </c>
      <c r="D506" t="s">
        <v>18</v>
      </c>
      <c r="E506" t="s">
        <v>1270</v>
      </c>
      <c r="F506">
        <v>11561</v>
      </c>
      <c r="G506" t="s">
        <v>20</v>
      </c>
      <c r="H506" t="s">
        <v>21</v>
      </c>
      <c r="I506">
        <v>5875</v>
      </c>
      <c r="J506">
        <v>0</v>
      </c>
      <c r="K506">
        <v>5875</v>
      </c>
      <c r="L506">
        <v>0</v>
      </c>
      <c r="M506">
        <v>0</v>
      </c>
      <c r="N506">
        <v>0</v>
      </c>
    </row>
    <row r="507" spans="1:14" ht="14.4">
      <c r="A507">
        <v>13365</v>
      </c>
      <c r="B507">
        <v>13366</v>
      </c>
      <c r="C507">
        <v>4085</v>
      </c>
      <c r="D507" t="s">
        <v>18</v>
      </c>
      <c r="E507" t="s">
        <v>1271</v>
      </c>
      <c r="F507">
        <v>11561</v>
      </c>
      <c r="G507" t="s">
        <v>20</v>
      </c>
      <c r="H507" t="s">
        <v>21</v>
      </c>
      <c r="I507">
        <v>55176</v>
      </c>
      <c r="J507">
        <v>10676</v>
      </c>
      <c r="K507">
        <v>44500</v>
      </c>
      <c r="L507">
        <v>31700</v>
      </c>
      <c r="M507">
        <v>10700</v>
      </c>
      <c r="N507">
        <v>21000</v>
      </c>
    </row>
    <row r="508" spans="1:14" ht="14.4">
      <c r="A508">
        <v>13365</v>
      </c>
      <c r="B508">
        <v>13366</v>
      </c>
      <c r="C508">
        <v>4085</v>
      </c>
      <c r="D508" t="s">
        <v>18</v>
      </c>
      <c r="E508" t="s">
        <v>1272</v>
      </c>
      <c r="F508">
        <v>11770</v>
      </c>
      <c r="G508" t="s">
        <v>23</v>
      </c>
      <c r="H508" t="s">
        <v>21</v>
      </c>
      <c r="I508">
        <v>114588</v>
      </c>
      <c r="J508">
        <v>95488</v>
      </c>
      <c r="K508">
        <v>19100</v>
      </c>
      <c r="L508">
        <v>114600</v>
      </c>
      <c r="M508">
        <v>95500</v>
      </c>
      <c r="N508">
        <v>19100</v>
      </c>
    </row>
    <row r="509" spans="1:14" ht="14.4">
      <c r="A509">
        <v>13365</v>
      </c>
      <c r="B509">
        <v>13366</v>
      </c>
      <c r="C509">
        <v>4085</v>
      </c>
      <c r="D509" t="s">
        <v>18</v>
      </c>
      <c r="E509" t="s">
        <v>206</v>
      </c>
      <c r="F509">
        <v>11561</v>
      </c>
      <c r="G509" t="s">
        <v>20</v>
      </c>
      <c r="H509" t="s">
        <v>21</v>
      </c>
      <c r="I509">
        <v>202914</v>
      </c>
      <c r="J509">
        <v>129917</v>
      </c>
      <c r="K509">
        <v>72997</v>
      </c>
      <c r="L509">
        <v>72400</v>
      </c>
      <c r="M509">
        <v>49000</v>
      </c>
      <c r="N509">
        <v>23400</v>
      </c>
    </row>
    <row r="510" spans="1:14" ht="14.4">
      <c r="A510">
        <v>13365</v>
      </c>
      <c r="B510">
        <v>13366</v>
      </c>
      <c r="C510">
        <v>4085</v>
      </c>
      <c r="D510" t="s">
        <v>18</v>
      </c>
      <c r="E510" t="s">
        <v>1273</v>
      </c>
      <c r="F510">
        <v>11561</v>
      </c>
      <c r="G510" t="s">
        <v>20</v>
      </c>
      <c r="H510" t="s">
        <v>21</v>
      </c>
      <c r="I510">
        <v>81085</v>
      </c>
      <c r="J510">
        <v>74535</v>
      </c>
      <c r="K510">
        <v>6550</v>
      </c>
      <c r="L510">
        <v>81100</v>
      </c>
      <c r="M510">
        <v>74600</v>
      </c>
      <c r="N510">
        <v>6500</v>
      </c>
    </row>
    <row r="511" spans="1:14" ht="14.4">
      <c r="A511">
        <v>13365</v>
      </c>
      <c r="B511">
        <v>13366</v>
      </c>
      <c r="C511">
        <v>4085</v>
      </c>
      <c r="D511" t="s">
        <v>18</v>
      </c>
      <c r="E511" t="s">
        <v>208</v>
      </c>
      <c r="F511">
        <v>11516</v>
      </c>
      <c r="G511" t="s">
        <v>20</v>
      </c>
      <c r="H511" t="s">
        <v>21</v>
      </c>
      <c r="I511">
        <v>125265</v>
      </c>
      <c r="J511">
        <v>41325</v>
      </c>
      <c r="K511">
        <v>83940</v>
      </c>
      <c r="L511">
        <v>75800</v>
      </c>
      <c r="M511">
        <v>40200</v>
      </c>
      <c r="N511">
        <v>35600</v>
      </c>
    </row>
    <row r="512" spans="1:14" ht="14.4">
      <c r="A512">
        <v>13365</v>
      </c>
      <c r="B512">
        <v>13366</v>
      </c>
      <c r="C512">
        <v>4085</v>
      </c>
      <c r="D512" t="s">
        <v>18</v>
      </c>
      <c r="E512" t="s">
        <v>208</v>
      </c>
      <c r="F512">
        <v>11530</v>
      </c>
      <c r="G512" t="s">
        <v>20</v>
      </c>
      <c r="H512" t="s">
        <v>21</v>
      </c>
      <c r="I512">
        <v>82183</v>
      </c>
      <c r="J512">
        <v>51983</v>
      </c>
      <c r="K512">
        <v>30200</v>
      </c>
      <c r="L512">
        <v>0</v>
      </c>
      <c r="M512">
        <v>0</v>
      </c>
      <c r="N512">
        <v>0</v>
      </c>
    </row>
    <row r="513" spans="1:14" ht="14.4">
      <c r="A513">
        <v>13365</v>
      </c>
      <c r="B513">
        <v>13366</v>
      </c>
      <c r="C513">
        <v>4085</v>
      </c>
      <c r="D513" t="s">
        <v>18</v>
      </c>
      <c r="E513" t="s">
        <v>208</v>
      </c>
      <c r="F513">
        <v>11560</v>
      </c>
      <c r="G513" t="s">
        <v>20</v>
      </c>
      <c r="H513" t="s">
        <v>21</v>
      </c>
      <c r="I513">
        <v>3275</v>
      </c>
      <c r="J513">
        <v>0</v>
      </c>
      <c r="K513">
        <v>3275</v>
      </c>
      <c r="L513">
        <v>0</v>
      </c>
      <c r="M513">
        <v>0</v>
      </c>
      <c r="N513">
        <v>0</v>
      </c>
    </row>
    <row r="514" spans="1:14" ht="14.4">
      <c r="A514">
        <v>13365</v>
      </c>
      <c r="B514">
        <v>13366</v>
      </c>
      <c r="C514">
        <v>4085</v>
      </c>
      <c r="D514" t="s">
        <v>18</v>
      </c>
      <c r="E514" t="s">
        <v>208</v>
      </c>
      <c r="F514">
        <v>11561</v>
      </c>
      <c r="G514" t="s">
        <v>20</v>
      </c>
      <c r="H514" t="s">
        <v>21</v>
      </c>
      <c r="I514">
        <v>238283285</v>
      </c>
      <c r="J514">
        <v>148198737</v>
      </c>
      <c r="K514">
        <v>90084548</v>
      </c>
      <c r="L514">
        <v>103284700</v>
      </c>
      <c r="M514">
        <v>63695950</v>
      </c>
      <c r="N514">
        <v>39588750</v>
      </c>
    </row>
    <row r="515" spans="1:14" ht="14.4">
      <c r="A515">
        <v>13365</v>
      </c>
      <c r="B515">
        <v>13366</v>
      </c>
      <c r="C515">
        <v>4085</v>
      </c>
      <c r="D515" t="s">
        <v>18</v>
      </c>
      <c r="E515" t="s">
        <v>208</v>
      </c>
      <c r="F515">
        <v>11561</v>
      </c>
      <c r="G515" t="s">
        <v>32</v>
      </c>
      <c r="H515" t="s">
        <v>21</v>
      </c>
      <c r="I515">
        <v>955860</v>
      </c>
      <c r="J515">
        <v>461655</v>
      </c>
      <c r="K515">
        <v>494205</v>
      </c>
      <c r="L515">
        <v>165300</v>
      </c>
      <c r="M515">
        <v>36300</v>
      </c>
      <c r="N515">
        <v>129000</v>
      </c>
    </row>
    <row r="516" spans="1:14" ht="14.4">
      <c r="A516">
        <v>13365</v>
      </c>
      <c r="B516">
        <v>13366</v>
      </c>
      <c r="C516">
        <v>4085</v>
      </c>
      <c r="D516" t="s">
        <v>18</v>
      </c>
      <c r="E516" t="s">
        <v>208</v>
      </c>
      <c r="F516">
        <v>11561</v>
      </c>
      <c r="G516" t="s">
        <v>23</v>
      </c>
      <c r="H516" t="s">
        <v>21</v>
      </c>
      <c r="I516">
        <v>70591</v>
      </c>
      <c r="J516">
        <v>44191</v>
      </c>
      <c r="K516">
        <v>26400</v>
      </c>
      <c r="L516">
        <v>0</v>
      </c>
      <c r="M516">
        <v>0</v>
      </c>
      <c r="N516">
        <v>0</v>
      </c>
    </row>
    <row r="517" spans="1:14" ht="14.4">
      <c r="A517">
        <v>13365</v>
      </c>
      <c r="B517">
        <v>13366</v>
      </c>
      <c r="C517">
        <v>4085</v>
      </c>
      <c r="D517" t="s">
        <v>18</v>
      </c>
      <c r="E517" t="s">
        <v>208</v>
      </c>
      <c r="F517">
        <v>11566</v>
      </c>
      <c r="G517" t="s">
        <v>20</v>
      </c>
      <c r="H517" t="s">
        <v>21</v>
      </c>
      <c r="I517">
        <v>98624</v>
      </c>
      <c r="J517">
        <v>70161</v>
      </c>
      <c r="K517">
        <v>28463</v>
      </c>
      <c r="L517">
        <v>0</v>
      </c>
      <c r="M517">
        <v>0</v>
      </c>
      <c r="N517">
        <v>0</v>
      </c>
    </row>
    <row r="518" spans="1:14" ht="14.4">
      <c r="A518">
        <v>13365</v>
      </c>
      <c r="B518">
        <v>13366</v>
      </c>
      <c r="C518">
        <v>4085</v>
      </c>
      <c r="D518" t="s">
        <v>18</v>
      </c>
      <c r="E518" t="s">
        <v>208</v>
      </c>
      <c r="F518">
        <v>11572</v>
      </c>
      <c r="G518" t="s">
        <v>20</v>
      </c>
      <c r="H518" t="s">
        <v>21</v>
      </c>
      <c r="I518">
        <v>35900</v>
      </c>
      <c r="J518">
        <v>0</v>
      </c>
      <c r="K518">
        <v>35900</v>
      </c>
      <c r="L518">
        <v>0</v>
      </c>
      <c r="M518">
        <v>0</v>
      </c>
      <c r="N518">
        <v>0</v>
      </c>
    </row>
    <row r="519" spans="1:14" ht="14.4">
      <c r="A519">
        <v>13365</v>
      </c>
      <c r="B519">
        <v>13366</v>
      </c>
      <c r="C519">
        <v>4085</v>
      </c>
      <c r="D519" t="s">
        <v>18</v>
      </c>
      <c r="E519" t="s">
        <v>208</v>
      </c>
      <c r="F519">
        <v>11681</v>
      </c>
      <c r="G519" t="s">
        <v>20</v>
      </c>
      <c r="H519" t="s">
        <v>21</v>
      </c>
      <c r="I519">
        <v>136219</v>
      </c>
      <c r="J519">
        <v>76869</v>
      </c>
      <c r="K519">
        <v>59350</v>
      </c>
      <c r="L519">
        <v>0</v>
      </c>
      <c r="M519">
        <v>0</v>
      </c>
      <c r="N519">
        <v>0</v>
      </c>
    </row>
    <row r="520" spans="1:14" ht="14.4">
      <c r="A520">
        <v>13365</v>
      </c>
      <c r="B520">
        <v>13366</v>
      </c>
      <c r="C520">
        <v>4085</v>
      </c>
      <c r="D520" t="s">
        <v>18</v>
      </c>
      <c r="E520" t="s">
        <v>208</v>
      </c>
      <c r="F520">
        <v>11797</v>
      </c>
      <c r="G520" t="s">
        <v>20</v>
      </c>
      <c r="H520" t="s">
        <v>21</v>
      </c>
      <c r="I520">
        <v>15900</v>
      </c>
      <c r="J520">
        <v>0</v>
      </c>
      <c r="K520">
        <v>15900</v>
      </c>
      <c r="L520">
        <v>0</v>
      </c>
      <c r="M520">
        <v>0</v>
      </c>
      <c r="N520">
        <v>0</v>
      </c>
    </row>
    <row r="521" spans="1:14" ht="14.4">
      <c r="A521">
        <v>13365</v>
      </c>
      <c r="B521">
        <v>13366</v>
      </c>
      <c r="C521">
        <v>4085</v>
      </c>
      <c r="D521" t="s">
        <v>18</v>
      </c>
      <c r="E521" t="s">
        <v>208</v>
      </c>
      <c r="F521">
        <v>15611</v>
      </c>
      <c r="G521" t="s">
        <v>20</v>
      </c>
      <c r="H521" t="s">
        <v>21</v>
      </c>
      <c r="I521">
        <v>28700</v>
      </c>
      <c r="J521">
        <v>0</v>
      </c>
      <c r="K521">
        <v>28700</v>
      </c>
      <c r="L521">
        <v>0</v>
      </c>
      <c r="M521">
        <v>0</v>
      </c>
      <c r="N521">
        <v>0</v>
      </c>
    </row>
    <row r="522" spans="1:14" ht="14.4">
      <c r="A522">
        <v>13365</v>
      </c>
      <c r="B522">
        <v>13366</v>
      </c>
      <c r="C522">
        <v>4085</v>
      </c>
      <c r="D522" t="s">
        <v>18</v>
      </c>
      <c r="E522" t="s">
        <v>1274</v>
      </c>
      <c r="F522">
        <v>11561</v>
      </c>
      <c r="G522" t="s">
        <v>20</v>
      </c>
      <c r="H522" t="s">
        <v>21</v>
      </c>
      <c r="I522">
        <v>15005</v>
      </c>
      <c r="J522">
        <v>0</v>
      </c>
      <c r="K522">
        <v>15005</v>
      </c>
      <c r="L522">
        <v>15100</v>
      </c>
      <c r="M522">
        <v>0</v>
      </c>
      <c r="N522">
        <v>15100</v>
      </c>
    </row>
    <row r="523" spans="1:14" ht="14.4">
      <c r="A523">
        <v>13365</v>
      </c>
      <c r="B523">
        <v>13366</v>
      </c>
      <c r="C523">
        <v>4085</v>
      </c>
      <c r="D523" t="s">
        <v>18</v>
      </c>
      <c r="E523" t="s">
        <v>1275</v>
      </c>
      <c r="F523">
        <v>11001</v>
      </c>
      <c r="G523" t="s">
        <v>20</v>
      </c>
      <c r="H523" t="s">
        <v>21</v>
      </c>
      <c r="I523">
        <v>117632</v>
      </c>
      <c r="J523">
        <v>80532</v>
      </c>
      <c r="K523">
        <v>37100</v>
      </c>
      <c r="L523">
        <v>0</v>
      </c>
      <c r="M523">
        <v>0</v>
      </c>
      <c r="N523">
        <v>0</v>
      </c>
    </row>
    <row r="524" spans="1:14" ht="14.4">
      <c r="A524">
        <v>13365</v>
      </c>
      <c r="B524">
        <v>13366</v>
      </c>
      <c r="C524">
        <v>4085</v>
      </c>
      <c r="D524" t="s">
        <v>18</v>
      </c>
      <c r="E524" t="s">
        <v>209</v>
      </c>
      <c r="F524">
        <v>11101</v>
      </c>
      <c r="G524" t="s">
        <v>28</v>
      </c>
      <c r="H524" t="s">
        <v>21</v>
      </c>
      <c r="I524">
        <v>455020</v>
      </c>
      <c r="J524">
        <v>46157</v>
      </c>
      <c r="K524">
        <v>408863</v>
      </c>
      <c r="L524">
        <v>167500</v>
      </c>
      <c r="M524">
        <v>8400</v>
      </c>
      <c r="N524">
        <v>159100</v>
      </c>
    </row>
    <row r="525" spans="1:14" ht="14.4">
      <c r="A525">
        <v>13365</v>
      </c>
      <c r="B525">
        <v>13366</v>
      </c>
      <c r="C525">
        <v>4085</v>
      </c>
      <c r="D525" t="s">
        <v>18</v>
      </c>
      <c r="E525" t="s">
        <v>209</v>
      </c>
      <c r="F525">
        <v>11102</v>
      </c>
      <c r="G525" t="s">
        <v>28</v>
      </c>
      <c r="H525" t="s">
        <v>21</v>
      </c>
      <c r="I525">
        <v>5514</v>
      </c>
      <c r="J525">
        <v>0</v>
      </c>
      <c r="K525">
        <v>5514</v>
      </c>
      <c r="L525">
        <v>0</v>
      </c>
      <c r="M525">
        <v>0</v>
      </c>
      <c r="N525">
        <v>0</v>
      </c>
    </row>
    <row r="526" spans="1:14" ht="14.4">
      <c r="A526">
        <v>13365</v>
      </c>
      <c r="B526">
        <v>13366</v>
      </c>
      <c r="C526">
        <v>4085</v>
      </c>
      <c r="D526" t="s">
        <v>18</v>
      </c>
      <c r="E526" t="s">
        <v>209</v>
      </c>
      <c r="F526">
        <v>11109</v>
      </c>
      <c r="G526" t="s">
        <v>28</v>
      </c>
      <c r="H526" t="s">
        <v>21</v>
      </c>
      <c r="I526">
        <v>13150</v>
      </c>
      <c r="J526">
        <v>0</v>
      </c>
      <c r="K526">
        <v>13150</v>
      </c>
      <c r="L526">
        <v>12800</v>
      </c>
      <c r="M526">
        <v>0</v>
      </c>
      <c r="N526">
        <v>12800</v>
      </c>
    </row>
    <row r="527" spans="1:14" ht="14.4">
      <c r="A527">
        <v>13365</v>
      </c>
      <c r="B527">
        <v>13366</v>
      </c>
      <c r="C527">
        <v>4085</v>
      </c>
      <c r="D527" t="s">
        <v>18</v>
      </c>
      <c r="E527" t="s">
        <v>209</v>
      </c>
      <c r="F527">
        <v>11415</v>
      </c>
      <c r="G527" t="s">
        <v>28</v>
      </c>
      <c r="H527" t="s">
        <v>21</v>
      </c>
      <c r="I527">
        <v>10000</v>
      </c>
      <c r="J527">
        <v>0</v>
      </c>
      <c r="K527">
        <v>10000</v>
      </c>
      <c r="L527">
        <v>10000</v>
      </c>
      <c r="M527">
        <v>0</v>
      </c>
      <c r="N527">
        <v>10000</v>
      </c>
    </row>
    <row r="528" spans="1:14" ht="14.4">
      <c r="A528">
        <v>13365</v>
      </c>
      <c r="B528">
        <v>13366</v>
      </c>
      <c r="C528">
        <v>4085</v>
      </c>
      <c r="D528" t="s">
        <v>18</v>
      </c>
      <c r="E528" t="s">
        <v>210</v>
      </c>
      <c r="F528">
        <v>11561</v>
      </c>
      <c r="G528" t="s">
        <v>20</v>
      </c>
      <c r="H528" t="s">
        <v>21</v>
      </c>
      <c r="I528">
        <v>621193</v>
      </c>
      <c r="J528">
        <v>404208</v>
      </c>
      <c r="K528">
        <v>216985</v>
      </c>
      <c r="L528">
        <v>276700</v>
      </c>
      <c r="M528">
        <v>215900</v>
      </c>
      <c r="N528">
        <v>60800</v>
      </c>
    </row>
    <row r="529" spans="1:14" ht="14.4">
      <c r="A529">
        <v>13365</v>
      </c>
      <c r="B529">
        <v>13366</v>
      </c>
      <c r="C529">
        <v>4085</v>
      </c>
      <c r="D529" t="s">
        <v>18</v>
      </c>
      <c r="E529" t="s">
        <v>211</v>
      </c>
      <c r="F529">
        <v>11563</v>
      </c>
      <c r="G529" t="s">
        <v>20</v>
      </c>
      <c r="H529" t="s">
        <v>21</v>
      </c>
      <c r="I529">
        <v>523458</v>
      </c>
      <c r="J529">
        <v>445323</v>
      </c>
      <c r="K529">
        <v>78135</v>
      </c>
      <c r="L529">
        <v>151800</v>
      </c>
      <c r="M529">
        <v>130300</v>
      </c>
      <c r="N529">
        <v>21500</v>
      </c>
    </row>
    <row r="530" spans="1:14" ht="14.4">
      <c r="A530">
        <v>13365</v>
      </c>
      <c r="B530">
        <v>13366</v>
      </c>
      <c r="C530">
        <v>4085</v>
      </c>
      <c r="D530" t="s">
        <v>18</v>
      </c>
      <c r="E530" t="s">
        <v>212</v>
      </c>
      <c r="F530">
        <v>10541</v>
      </c>
      <c r="G530" t="s">
        <v>58</v>
      </c>
      <c r="H530" t="s">
        <v>21</v>
      </c>
      <c r="I530">
        <v>170732</v>
      </c>
      <c r="J530">
        <v>162632</v>
      </c>
      <c r="K530">
        <v>8100</v>
      </c>
      <c r="L530">
        <v>100</v>
      </c>
      <c r="M530">
        <v>0</v>
      </c>
      <c r="N530">
        <v>100</v>
      </c>
    </row>
    <row r="531" spans="1:14" ht="14.4">
      <c r="A531">
        <v>13365</v>
      </c>
      <c r="B531">
        <v>13366</v>
      </c>
      <c r="C531">
        <v>4085</v>
      </c>
      <c r="D531" t="s">
        <v>18</v>
      </c>
      <c r="E531" t="s">
        <v>1276</v>
      </c>
      <c r="F531">
        <v>11565</v>
      </c>
      <c r="G531" t="s">
        <v>20</v>
      </c>
      <c r="H531" t="s">
        <v>21</v>
      </c>
      <c r="I531">
        <v>160112</v>
      </c>
      <c r="J531">
        <v>121582</v>
      </c>
      <c r="K531">
        <v>38530</v>
      </c>
      <c r="L531">
        <v>36100</v>
      </c>
      <c r="M531">
        <v>33600</v>
      </c>
      <c r="N531">
        <v>2500</v>
      </c>
    </row>
    <row r="532" spans="1:14" ht="14.4">
      <c r="A532">
        <v>13365</v>
      </c>
      <c r="B532">
        <v>13366</v>
      </c>
      <c r="C532">
        <v>4085</v>
      </c>
      <c r="D532" t="s">
        <v>18</v>
      </c>
      <c r="E532" t="s">
        <v>213</v>
      </c>
      <c r="F532">
        <v>10543</v>
      </c>
      <c r="G532" t="s">
        <v>64</v>
      </c>
      <c r="H532" t="s">
        <v>21</v>
      </c>
      <c r="I532">
        <v>642371</v>
      </c>
      <c r="J532">
        <v>554221</v>
      </c>
      <c r="K532">
        <v>88150</v>
      </c>
      <c r="L532">
        <v>229600</v>
      </c>
      <c r="M532">
        <v>176400</v>
      </c>
      <c r="N532">
        <v>53200</v>
      </c>
    </row>
    <row r="533" spans="1:14" ht="14.4">
      <c r="A533">
        <v>13365</v>
      </c>
      <c r="B533">
        <v>13366</v>
      </c>
      <c r="C533">
        <v>4085</v>
      </c>
      <c r="D533" t="s">
        <v>18</v>
      </c>
      <c r="E533" t="s">
        <v>214</v>
      </c>
      <c r="F533">
        <v>11030</v>
      </c>
      <c r="G533" t="s">
        <v>20</v>
      </c>
      <c r="H533" t="s">
        <v>21</v>
      </c>
      <c r="I533">
        <v>576811</v>
      </c>
      <c r="J533">
        <v>505161</v>
      </c>
      <c r="K533">
        <v>71650</v>
      </c>
      <c r="L533">
        <v>316000</v>
      </c>
      <c r="M533">
        <v>273100</v>
      </c>
      <c r="N533">
        <v>42900</v>
      </c>
    </row>
    <row r="534" spans="1:14" ht="14.4">
      <c r="A534">
        <v>13365</v>
      </c>
      <c r="B534">
        <v>13366</v>
      </c>
      <c r="C534">
        <v>4085</v>
      </c>
      <c r="D534" t="s">
        <v>18</v>
      </c>
      <c r="E534" t="s">
        <v>215</v>
      </c>
      <c r="F534">
        <v>10009</v>
      </c>
      <c r="G534" t="s">
        <v>32</v>
      </c>
      <c r="H534" t="s">
        <v>21</v>
      </c>
      <c r="I534">
        <v>14887</v>
      </c>
      <c r="J534">
        <v>0</v>
      </c>
      <c r="K534">
        <v>14887</v>
      </c>
      <c r="L534">
        <v>0</v>
      </c>
      <c r="M534">
        <v>0</v>
      </c>
      <c r="N534">
        <v>0</v>
      </c>
    </row>
    <row r="535" spans="1:14" ht="14.4">
      <c r="A535">
        <v>13365</v>
      </c>
      <c r="B535">
        <v>13366</v>
      </c>
      <c r="C535">
        <v>4085</v>
      </c>
      <c r="D535" t="s">
        <v>18</v>
      </c>
      <c r="E535" t="s">
        <v>215</v>
      </c>
      <c r="F535">
        <v>10029</v>
      </c>
      <c r="G535" t="s">
        <v>32</v>
      </c>
      <c r="H535" t="s">
        <v>21</v>
      </c>
      <c r="I535">
        <v>9325</v>
      </c>
      <c r="J535">
        <v>0</v>
      </c>
      <c r="K535">
        <v>9325</v>
      </c>
      <c r="L535">
        <v>9400</v>
      </c>
      <c r="M535">
        <v>0</v>
      </c>
      <c r="N535">
        <v>9400</v>
      </c>
    </row>
    <row r="536" spans="1:14" ht="14.4">
      <c r="A536">
        <v>13365</v>
      </c>
      <c r="B536">
        <v>13366</v>
      </c>
      <c r="C536">
        <v>4085</v>
      </c>
      <c r="D536" t="s">
        <v>18</v>
      </c>
      <c r="E536" t="s">
        <v>215</v>
      </c>
      <c r="F536">
        <v>10032</v>
      </c>
      <c r="G536" t="s">
        <v>32</v>
      </c>
      <c r="H536" t="s">
        <v>21</v>
      </c>
      <c r="I536">
        <v>5425</v>
      </c>
      <c r="J536">
        <v>0</v>
      </c>
      <c r="K536">
        <v>5425</v>
      </c>
      <c r="L536">
        <v>0</v>
      </c>
      <c r="M536">
        <v>0</v>
      </c>
      <c r="N536">
        <v>0</v>
      </c>
    </row>
    <row r="537" spans="1:14" ht="14.4">
      <c r="A537">
        <v>13365</v>
      </c>
      <c r="B537">
        <v>13366</v>
      </c>
      <c r="C537">
        <v>4085</v>
      </c>
      <c r="D537" t="s">
        <v>18</v>
      </c>
      <c r="E537" t="s">
        <v>215</v>
      </c>
      <c r="F537">
        <v>10128</v>
      </c>
      <c r="G537" t="s">
        <v>32</v>
      </c>
      <c r="H537" t="s">
        <v>21</v>
      </c>
      <c r="I537">
        <v>3000</v>
      </c>
      <c r="J537">
        <v>0</v>
      </c>
      <c r="K537">
        <v>3000</v>
      </c>
      <c r="L537">
        <v>0</v>
      </c>
      <c r="M537">
        <v>0</v>
      </c>
      <c r="N537">
        <v>0</v>
      </c>
    </row>
    <row r="538" spans="1:14" ht="14.4">
      <c r="A538">
        <v>13365</v>
      </c>
      <c r="B538">
        <v>13366</v>
      </c>
      <c r="C538">
        <v>4085</v>
      </c>
      <c r="D538" t="s">
        <v>18</v>
      </c>
      <c r="E538" t="s">
        <v>1277</v>
      </c>
      <c r="F538">
        <v>11949</v>
      </c>
      <c r="G538" t="s">
        <v>23</v>
      </c>
      <c r="H538" t="s">
        <v>21</v>
      </c>
      <c r="I538">
        <v>118627</v>
      </c>
      <c r="J538">
        <v>106177</v>
      </c>
      <c r="K538">
        <v>12450</v>
      </c>
      <c r="L538">
        <v>99800</v>
      </c>
      <c r="M538">
        <v>95300</v>
      </c>
      <c r="N538">
        <v>4500</v>
      </c>
    </row>
    <row r="539" spans="1:14" ht="14.4">
      <c r="A539">
        <v>13365</v>
      </c>
      <c r="B539">
        <v>13366</v>
      </c>
      <c r="C539">
        <v>4085</v>
      </c>
      <c r="D539" t="s">
        <v>18</v>
      </c>
      <c r="E539" t="s">
        <v>216</v>
      </c>
      <c r="F539">
        <v>11378</v>
      </c>
      <c r="G539" t="s">
        <v>28</v>
      </c>
      <c r="H539" t="s">
        <v>21</v>
      </c>
      <c r="I539">
        <v>34386</v>
      </c>
      <c r="J539">
        <v>30786</v>
      </c>
      <c r="K539">
        <v>3600</v>
      </c>
      <c r="L539">
        <v>0</v>
      </c>
      <c r="M539">
        <v>0</v>
      </c>
      <c r="N539">
        <v>0</v>
      </c>
    </row>
    <row r="540" spans="1:14" ht="14.4">
      <c r="A540">
        <v>13365</v>
      </c>
      <c r="B540">
        <v>13366</v>
      </c>
      <c r="C540">
        <v>4085</v>
      </c>
      <c r="D540" t="s">
        <v>18</v>
      </c>
      <c r="E540" t="s">
        <v>1278</v>
      </c>
      <c r="F540">
        <v>11758</v>
      </c>
      <c r="G540" t="s">
        <v>20</v>
      </c>
      <c r="H540" t="s">
        <v>21</v>
      </c>
      <c r="I540">
        <v>192087</v>
      </c>
      <c r="J540">
        <v>110302</v>
      </c>
      <c r="K540">
        <v>81785</v>
      </c>
      <c r="L540">
        <v>0</v>
      </c>
      <c r="M540">
        <v>0</v>
      </c>
      <c r="N540">
        <v>0</v>
      </c>
    </row>
    <row r="541" spans="1:14" ht="14.4">
      <c r="A541">
        <v>13365</v>
      </c>
      <c r="B541">
        <v>13366</v>
      </c>
      <c r="C541">
        <v>4085</v>
      </c>
      <c r="D541" t="s">
        <v>18</v>
      </c>
      <c r="E541" t="s">
        <v>217</v>
      </c>
      <c r="F541">
        <v>11554</v>
      </c>
      <c r="G541" t="s">
        <v>20</v>
      </c>
      <c r="H541" t="s">
        <v>21</v>
      </c>
      <c r="I541">
        <v>122455</v>
      </c>
      <c r="J541">
        <v>87400</v>
      </c>
      <c r="K541">
        <v>35055</v>
      </c>
      <c r="L541">
        <v>0</v>
      </c>
      <c r="M541">
        <v>0</v>
      </c>
      <c r="N541">
        <v>0</v>
      </c>
    </row>
    <row r="542" spans="1:14" ht="14.4">
      <c r="A542">
        <v>13365</v>
      </c>
      <c r="B542">
        <v>13366</v>
      </c>
      <c r="C542">
        <v>4085</v>
      </c>
      <c r="D542" t="s">
        <v>18</v>
      </c>
      <c r="E542" t="s">
        <v>217</v>
      </c>
      <c r="F542">
        <v>11758</v>
      </c>
      <c r="G542" t="s">
        <v>20</v>
      </c>
      <c r="H542" t="s">
        <v>21</v>
      </c>
      <c r="I542">
        <v>215371642</v>
      </c>
      <c r="J542">
        <v>157717782</v>
      </c>
      <c r="K542">
        <v>57653860</v>
      </c>
      <c r="L542">
        <v>97667800</v>
      </c>
      <c r="M542">
        <v>70177200</v>
      </c>
      <c r="N542">
        <v>27490600</v>
      </c>
    </row>
    <row r="543" spans="1:14" ht="14.4">
      <c r="A543">
        <v>13365</v>
      </c>
      <c r="B543">
        <v>13366</v>
      </c>
      <c r="C543">
        <v>4085</v>
      </c>
      <c r="D543" t="s">
        <v>18</v>
      </c>
      <c r="E543" t="s">
        <v>217</v>
      </c>
      <c r="F543">
        <v>11758</v>
      </c>
      <c r="G543" t="s">
        <v>32</v>
      </c>
      <c r="H543" t="s">
        <v>21</v>
      </c>
      <c r="I543">
        <v>24719</v>
      </c>
      <c r="J543">
        <v>15979</v>
      </c>
      <c r="K543">
        <v>8740</v>
      </c>
      <c r="L543">
        <v>14000</v>
      </c>
      <c r="M543">
        <v>7700</v>
      </c>
      <c r="N543">
        <v>6300</v>
      </c>
    </row>
    <row r="544" spans="1:14" ht="14.4">
      <c r="A544">
        <v>13365</v>
      </c>
      <c r="B544">
        <v>13366</v>
      </c>
      <c r="C544">
        <v>4085</v>
      </c>
      <c r="D544" t="s">
        <v>18</v>
      </c>
      <c r="E544" t="s">
        <v>217</v>
      </c>
      <c r="F544">
        <v>11762</v>
      </c>
      <c r="G544" t="s">
        <v>20</v>
      </c>
      <c r="H544" t="s">
        <v>21</v>
      </c>
      <c r="I544">
        <v>5952</v>
      </c>
      <c r="J544">
        <v>5452</v>
      </c>
      <c r="K544">
        <v>500</v>
      </c>
      <c r="L544">
        <v>0</v>
      </c>
      <c r="M544">
        <v>0</v>
      </c>
      <c r="N544">
        <v>0</v>
      </c>
    </row>
    <row r="545" spans="1:14" ht="14.4">
      <c r="A545">
        <v>13365</v>
      </c>
      <c r="B545">
        <v>13366</v>
      </c>
      <c r="C545">
        <v>4085</v>
      </c>
      <c r="D545" t="s">
        <v>18</v>
      </c>
      <c r="E545" t="s">
        <v>218</v>
      </c>
      <c r="F545">
        <v>11762</v>
      </c>
      <c r="G545" t="s">
        <v>20</v>
      </c>
      <c r="H545" t="s">
        <v>21</v>
      </c>
      <c r="I545">
        <v>3252941</v>
      </c>
      <c r="J545">
        <v>2654871</v>
      </c>
      <c r="K545">
        <v>598070</v>
      </c>
      <c r="L545">
        <v>1652300</v>
      </c>
      <c r="M545">
        <v>1377500</v>
      </c>
      <c r="N545">
        <v>274800</v>
      </c>
    </row>
    <row r="546" spans="1:14" ht="14.4">
      <c r="A546">
        <v>13365</v>
      </c>
      <c r="B546">
        <v>13366</v>
      </c>
      <c r="C546">
        <v>4085</v>
      </c>
      <c r="D546" t="s">
        <v>18</v>
      </c>
      <c r="E546" t="s">
        <v>1279</v>
      </c>
      <c r="F546">
        <v>11762</v>
      </c>
      <c r="G546" t="s">
        <v>20</v>
      </c>
      <c r="H546" t="s">
        <v>21</v>
      </c>
      <c r="I546">
        <v>123383</v>
      </c>
      <c r="J546">
        <v>103883</v>
      </c>
      <c r="K546">
        <v>19500</v>
      </c>
      <c r="L546">
        <v>60900</v>
      </c>
      <c r="M546">
        <v>54000</v>
      </c>
      <c r="N546">
        <v>6900</v>
      </c>
    </row>
    <row r="547" spans="1:14" ht="14.4">
      <c r="A547">
        <v>13365</v>
      </c>
      <c r="B547">
        <v>13366</v>
      </c>
      <c r="C547">
        <v>4085</v>
      </c>
      <c r="D547" t="s">
        <v>18</v>
      </c>
      <c r="E547" t="s">
        <v>1280</v>
      </c>
      <c r="F547">
        <v>11758</v>
      </c>
      <c r="G547" t="s">
        <v>20</v>
      </c>
      <c r="H547" t="s">
        <v>21</v>
      </c>
      <c r="I547">
        <v>230432</v>
      </c>
      <c r="J547">
        <v>100532</v>
      </c>
      <c r="K547">
        <v>129900</v>
      </c>
      <c r="L547">
        <v>95100</v>
      </c>
      <c r="M547">
        <v>69200</v>
      </c>
      <c r="N547">
        <v>25900</v>
      </c>
    </row>
    <row r="548" spans="1:14" ht="14.4">
      <c r="A548">
        <v>13365</v>
      </c>
      <c r="B548">
        <v>13366</v>
      </c>
      <c r="C548">
        <v>4085</v>
      </c>
      <c r="D548" t="s">
        <v>18</v>
      </c>
      <c r="E548" t="s">
        <v>1281</v>
      </c>
      <c r="F548">
        <v>11758</v>
      </c>
      <c r="G548" t="s">
        <v>20</v>
      </c>
      <c r="H548" t="s">
        <v>21</v>
      </c>
      <c r="I548">
        <v>108181</v>
      </c>
      <c r="J548">
        <v>90381</v>
      </c>
      <c r="K548">
        <v>17800</v>
      </c>
      <c r="L548">
        <v>25900</v>
      </c>
      <c r="M548">
        <v>8600</v>
      </c>
      <c r="N548">
        <v>17300</v>
      </c>
    </row>
    <row r="549" spans="1:14" ht="14.4">
      <c r="A549">
        <v>13365</v>
      </c>
      <c r="B549">
        <v>13366</v>
      </c>
      <c r="C549">
        <v>4085</v>
      </c>
      <c r="D549" t="s">
        <v>18</v>
      </c>
      <c r="E549" t="s">
        <v>1282</v>
      </c>
      <c r="F549">
        <v>11758</v>
      </c>
      <c r="G549" t="s">
        <v>20</v>
      </c>
      <c r="H549" t="s">
        <v>21</v>
      </c>
      <c r="I549">
        <v>581708</v>
      </c>
      <c r="J549">
        <v>482483</v>
      </c>
      <c r="K549">
        <v>99225</v>
      </c>
      <c r="L549">
        <v>31500</v>
      </c>
      <c r="M549">
        <v>0</v>
      </c>
      <c r="N549">
        <v>31500</v>
      </c>
    </row>
    <row r="550" spans="1:14" ht="14.4">
      <c r="A550">
        <v>13365</v>
      </c>
      <c r="B550">
        <v>13366</v>
      </c>
      <c r="C550">
        <v>4085</v>
      </c>
      <c r="D550" t="s">
        <v>18</v>
      </c>
      <c r="E550" t="s">
        <v>1283</v>
      </c>
      <c r="F550">
        <v>11951</v>
      </c>
      <c r="G550" t="s">
        <v>23</v>
      </c>
      <c r="H550" t="s">
        <v>21</v>
      </c>
      <c r="I550">
        <v>85247</v>
      </c>
      <c r="J550">
        <v>62347</v>
      </c>
      <c r="K550">
        <v>22900</v>
      </c>
      <c r="L550">
        <v>80400</v>
      </c>
      <c r="M550">
        <v>57500</v>
      </c>
      <c r="N550">
        <v>22900</v>
      </c>
    </row>
    <row r="551" spans="1:14" ht="14.4">
      <c r="A551">
        <v>13365</v>
      </c>
      <c r="B551">
        <v>13366</v>
      </c>
      <c r="C551">
        <v>4085</v>
      </c>
      <c r="D551" t="s">
        <v>18</v>
      </c>
      <c r="E551" t="s">
        <v>219</v>
      </c>
      <c r="F551">
        <v>11950</v>
      </c>
      <c r="G551" t="s">
        <v>23</v>
      </c>
      <c r="H551" t="s">
        <v>21</v>
      </c>
      <c r="I551">
        <v>253633</v>
      </c>
      <c r="J551">
        <v>221975</v>
      </c>
      <c r="K551">
        <v>31658</v>
      </c>
      <c r="L551">
        <v>46800</v>
      </c>
      <c r="M551">
        <v>32800</v>
      </c>
      <c r="N551">
        <v>14000</v>
      </c>
    </row>
    <row r="552" spans="1:14" ht="14.4">
      <c r="A552">
        <v>13365</v>
      </c>
      <c r="B552">
        <v>13366</v>
      </c>
      <c r="C552">
        <v>4085</v>
      </c>
      <c r="D552" t="s">
        <v>18</v>
      </c>
      <c r="E552" t="s">
        <v>220</v>
      </c>
      <c r="F552">
        <v>11558</v>
      </c>
      <c r="G552" t="s">
        <v>20</v>
      </c>
      <c r="H552" t="s">
        <v>21</v>
      </c>
      <c r="I552">
        <v>51134</v>
      </c>
      <c r="J552">
        <v>48134</v>
      </c>
      <c r="K552">
        <v>3000</v>
      </c>
      <c r="L552">
        <v>0</v>
      </c>
      <c r="M552">
        <v>0</v>
      </c>
      <c r="N552">
        <v>0</v>
      </c>
    </row>
    <row r="553" spans="1:14" ht="14.4">
      <c r="A553">
        <v>13365</v>
      </c>
      <c r="B553">
        <v>13366</v>
      </c>
      <c r="C553">
        <v>4085</v>
      </c>
      <c r="D553" t="s">
        <v>18</v>
      </c>
      <c r="E553" t="s">
        <v>220</v>
      </c>
      <c r="F553">
        <v>11951</v>
      </c>
      <c r="G553" t="s">
        <v>23</v>
      </c>
      <c r="H553" t="s">
        <v>21</v>
      </c>
      <c r="I553">
        <v>11261068</v>
      </c>
      <c r="J553">
        <v>8540095</v>
      </c>
      <c r="K553">
        <v>2720973</v>
      </c>
      <c r="L553">
        <v>4892000</v>
      </c>
      <c r="M553">
        <v>3508000</v>
      </c>
      <c r="N553">
        <v>1384000</v>
      </c>
    </row>
    <row r="554" spans="1:14" ht="14.4">
      <c r="A554">
        <v>13365</v>
      </c>
      <c r="B554">
        <v>13366</v>
      </c>
      <c r="C554">
        <v>4085</v>
      </c>
      <c r="D554" t="s">
        <v>18</v>
      </c>
      <c r="E554" t="s">
        <v>221</v>
      </c>
      <c r="F554">
        <v>11952</v>
      </c>
      <c r="G554" t="s">
        <v>23</v>
      </c>
      <c r="H554" t="s">
        <v>21</v>
      </c>
      <c r="I554">
        <v>136409</v>
      </c>
      <c r="J554">
        <v>119029</v>
      </c>
      <c r="K554">
        <v>17380</v>
      </c>
      <c r="L554">
        <v>108300</v>
      </c>
      <c r="M554">
        <v>91600</v>
      </c>
      <c r="N554">
        <v>16700</v>
      </c>
    </row>
    <row r="555" spans="1:14" ht="14.4">
      <c r="A555">
        <v>13365</v>
      </c>
      <c r="B555">
        <v>13366</v>
      </c>
      <c r="C555">
        <v>4085</v>
      </c>
      <c r="D555" t="s">
        <v>18</v>
      </c>
      <c r="E555" t="s">
        <v>222</v>
      </c>
      <c r="F555">
        <v>11763</v>
      </c>
      <c r="G555" t="s">
        <v>23</v>
      </c>
      <c r="H555" t="s">
        <v>21</v>
      </c>
      <c r="I555">
        <v>109499</v>
      </c>
      <c r="J555">
        <v>108999</v>
      </c>
      <c r="K555">
        <v>500</v>
      </c>
      <c r="L555">
        <v>38900</v>
      </c>
      <c r="M555">
        <v>38400</v>
      </c>
      <c r="N555">
        <v>500</v>
      </c>
    </row>
    <row r="556" spans="1:14" ht="14.4">
      <c r="A556">
        <v>13365</v>
      </c>
      <c r="B556">
        <v>13366</v>
      </c>
      <c r="C556">
        <v>4085</v>
      </c>
      <c r="D556" t="s">
        <v>18</v>
      </c>
      <c r="E556" t="s">
        <v>223</v>
      </c>
      <c r="F556">
        <v>11747</v>
      </c>
      <c r="G556" t="s">
        <v>23</v>
      </c>
      <c r="H556" t="s">
        <v>21</v>
      </c>
      <c r="I556">
        <v>768140</v>
      </c>
      <c r="J556">
        <v>723923</v>
      </c>
      <c r="K556">
        <v>44217</v>
      </c>
      <c r="L556">
        <v>140200</v>
      </c>
      <c r="M556">
        <v>138300</v>
      </c>
      <c r="N556">
        <v>1900</v>
      </c>
    </row>
    <row r="557" spans="1:14" ht="14.4">
      <c r="A557">
        <v>13365</v>
      </c>
      <c r="B557">
        <v>13366</v>
      </c>
      <c r="C557">
        <v>4085</v>
      </c>
      <c r="D557" t="s">
        <v>18</v>
      </c>
      <c r="E557" t="s">
        <v>224</v>
      </c>
      <c r="F557">
        <v>11420</v>
      </c>
      <c r="G557" t="s">
        <v>20</v>
      </c>
      <c r="H557" t="s">
        <v>21</v>
      </c>
      <c r="I557">
        <v>40317</v>
      </c>
      <c r="J557">
        <v>22047</v>
      </c>
      <c r="K557">
        <v>18270</v>
      </c>
      <c r="L557">
        <v>0</v>
      </c>
      <c r="M557">
        <v>0</v>
      </c>
      <c r="N557">
        <v>0</v>
      </c>
    </row>
    <row r="558" spans="1:14" ht="14.4">
      <c r="A558">
        <v>13365</v>
      </c>
      <c r="B558">
        <v>13366</v>
      </c>
      <c r="C558">
        <v>4085</v>
      </c>
      <c r="D558" t="s">
        <v>18</v>
      </c>
      <c r="E558" t="s">
        <v>224</v>
      </c>
      <c r="F558">
        <v>11566</v>
      </c>
      <c r="G558" t="s">
        <v>20</v>
      </c>
      <c r="H558" t="s">
        <v>21</v>
      </c>
      <c r="I558">
        <v>48408452</v>
      </c>
      <c r="J558">
        <v>34721165</v>
      </c>
      <c r="K558">
        <v>13687287</v>
      </c>
      <c r="L558">
        <v>20549100</v>
      </c>
      <c r="M558">
        <v>14995200</v>
      </c>
      <c r="N558">
        <v>5553900</v>
      </c>
    </row>
    <row r="559" spans="1:14" ht="14.4">
      <c r="A559">
        <v>13365</v>
      </c>
      <c r="B559">
        <v>13366</v>
      </c>
      <c r="C559">
        <v>4085</v>
      </c>
      <c r="D559" t="s">
        <v>18</v>
      </c>
      <c r="E559" t="s">
        <v>224</v>
      </c>
      <c r="F559">
        <v>11566</v>
      </c>
      <c r="G559" t="s">
        <v>32</v>
      </c>
      <c r="H559" t="s">
        <v>21</v>
      </c>
      <c r="I559">
        <v>187391</v>
      </c>
      <c r="J559">
        <v>158991</v>
      </c>
      <c r="K559">
        <v>28400</v>
      </c>
      <c r="L559">
        <v>73300</v>
      </c>
      <c r="M559">
        <v>50100</v>
      </c>
      <c r="N559">
        <v>23200</v>
      </c>
    </row>
    <row r="560" spans="1:14" ht="14.4">
      <c r="A560">
        <v>13365</v>
      </c>
      <c r="B560">
        <v>13366</v>
      </c>
      <c r="C560">
        <v>4085</v>
      </c>
      <c r="D560" t="s">
        <v>18</v>
      </c>
      <c r="E560" t="s">
        <v>224</v>
      </c>
      <c r="F560">
        <v>11566</v>
      </c>
      <c r="G560" t="s">
        <v>23</v>
      </c>
      <c r="H560" t="s">
        <v>21</v>
      </c>
      <c r="I560">
        <v>173740</v>
      </c>
      <c r="J560">
        <v>77340</v>
      </c>
      <c r="K560">
        <v>96400</v>
      </c>
      <c r="L560">
        <v>0</v>
      </c>
      <c r="M560">
        <v>0</v>
      </c>
      <c r="N560">
        <v>0</v>
      </c>
    </row>
    <row r="561" spans="1:14" ht="14.4">
      <c r="A561">
        <v>13365</v>
      </c>
      <c r="B561">
        <v>13366</v>
      </c>
      <c r="C561">
        <v>4085</v>
      </c>
      <c r="D561" t="s">
        <v>18</v>
      </c>
      <c r="E561" t="s">
        <v>1284</v>
      </c>
      <c r="F561">
        <v>11953</v>
      </c>
      <c r="G561" t="s">
        <v>23</v>
      </c>
      <c r="H561" t="s">
        <v>21</v>
      </c>
      <c r="I561">
        <v>13837</v>
      </c>
      <c r="J561">
        <v>12717</v>
      </c>
      <c r="K561">
        <v>1120</v>
      </c>
      <c r="L561">
        <v>0</v>
      </c>
      <c r="M561">
        <v>0</v>
      </c>
      <c r="N561">
        <v>0</v>
      </c>
    </row>
    <row r="562" spans="1:14" ht="14.4">
      <c r="A562">
        <v>13365</v>
      </c>
      <c r="B562">
        <v>13366</v>
      </c>
      <c r="C562">
        <v>4085</v>
      </c>
      <c r="D562" t="s">
        <v>18</v>
      </c>
      <c r="E562" t="s">
        <v>225</v>
      </c>
      <c r="F562">
        <v>11953</v>
      </c>
      <c r="G562" t="s">
        <v>23</v>
      </c>
      <c r="H562" t="s">
        <v>21</v>
      </c>
      <c r="I562">
        <v>19858</v>
      </c>
      <c r="J562">
        <v>18983</v>
      </c>
      <c r="K562">
        <v>875</v>
      </c>
      <c r="L562">
        <v>19900</v>
      </c>
      <c r="M562">
        <v>19000</v>
      </c>
      <c r="N562">
        <v>900</v>
      </c>
    </row>
    <row r="563" spans="1:14" ht="14.4">
      <c r="A563">
        <v>13365</v>
      </c>
      <c r="B563">
        <v>13366</v>
      </c>
      <c r="C563">
        <v>4085</v>
      </c>
      <c r="D563" t="s">
        <v>18</v>
      </c>
      <c r="E563" t="s">
        <v>1285</v>
      </c>
      <c r="F563">
        <v>11379</v>
      </c>
      <c r="G563" t="s">
        <v>28</v>
      </c>
      <c r="H563" t="s">
        <v>21</v>
      </c>
      <c r="I563">
        <v>63540</v>
      </c>
      <c r="J563">
        <v>48990</v>
      </c>
      <c r="K563">
        <v>14550</v>
      </c>
      <c r="L563">
        <v>14000</v>
      </c>
      <c r="M563">
        <v>14000</v>
      </c>
      <c r="N563">
        <v>0</v>
      </c>
    </row>
    <row r="564" spans="1:14" ht="14.4">
      <c r="A564">
        <v>13365</v>
      </c>
      <c r="B564">
        <v>13366</v>
      </c>
      <c r="C564">
        <v>4085</v>
      </c>
      <c r="D564" t="s">
        <v>18</v>
      </c>
      <c r="E564" t="s">
        <v>226</v>
      </c>
      <c r="F564">
        <v>10940</v>
      </c>
      <c r="G564" t="s">
        <v>51</v>
      </c>
      <c r="H564" t="s">
        <v>21</v>
      </c>
      <c r="I564">
        <v>234854</v>
      </c>
      <c r="J564">
        <v>210739</v>
      </c>
      <c r="K564">
        <v>24115</v>
      </c>
      <c r="L564">
        <v>78600</v>
      </c>
      <c r="M564">
        <v>71600</v>
      </c>
      <c r="N564">
        <v>7000</v>
      </c>
    </row>
    <row r="565" spans="1:14" ht="14.4">
      <c r="A565">
        <v>13365</v>
      </c>
      <c r="B565">
        <v>13366</v>
      </c>
      <c r="C565">
        <v>4085</v>
      </c>
      <c r="D565" t="s">
        <v>18</v>
      </c>
      <c r="E565" t="s">
        <v>226</v>
      </c>
      <c r="F565">
        <v>10941</v>
      </c>
      <c r="G565" t="s">
        <v>51</v>
      </c>
      <c r="H565" t="s">
        <v>21</v>
      </c>
      <c r="I565">
        <v>18327</v>
      </c>
      <c r="J565">
        <v>18327</v>
      </c>
      <c r="K565">
        <v>0</v>
      </c>
      <c r="L565">
        <v>17500</v>
      </c>
      <c r="M565">
        <v>17500</v>
      </c>
      <c r="N565">
        <v>0</v>
      </c>
    </row>
    <row r="566" spans="1:14" ht="14.4">
      <c r="A566">
        <v>13365</v>
      </c>
      <c r="B566">
        <v>13366</v>
      </c>
      <c r="C566">
        <v>4085</v>
      </c>
      <c r="D566" t="s">
        <v>18</v>
      </c>
      <c r="E566" t="s">
        <v>227</v>
      </c>
      <c r="F566">
        <v>11764</v>
      </c>
      <c r="G566" t="s">
        <v>23</v>
      </c>
      <c r="H566" t="s">
        <v>21</v>
      </c>
      <c r="I566">
        <v>338548</v>
      </c>
      <c r="J566">
        <v>336173</v>
      </c>
      <c r="K566">
        <v>2375</v>
      </c>
      <c r="L566">
        <v>298400</v>
      </c>
      <c r="M566">
        <v>297400</v>
      </c>
      <c r="N566">
        <v>1000</v>
      </c>
    </row>
    <row r="567" spans="1:14" ht="14.4">
      <c r="A567">
        <v>13365</v>
      </c>
      <c r="B567">
        <v>13366</v>
      </c>
      <c r="C567">
        <v>4085</v>
      </c>
      <c r="D567" t="s">
        <v>18</v>
      </c>
      <c r="E567" t="s">
        <v>228</v>
      </c>
      <c r="F567">
        <v>11501</v>
      </c>
      <c r="G567" t="s">
        <v>20</v>
      </c>
      <c r="H567" t="s">
        <v>21</v>
      </c>
      <c r="I567">
        <v>258734</v>
      </c>
      <c r="J567">
        <v>224359</v>
      </c>
      <c r="K567">
        <v>34375</v>
      </c>
      <c r="L567">
        <v>24600</v>
      </c>
      <c r="M567">
        <v>24000</v>
      </c>
      <c r="N567">
        <v>600</v>
      </c>
    </row>
    <row r="568" spans="1:14" ht="14.4">
      <c r="A568">
        <v>13365</v>
      </c>
      <c r="B568">
        <v>13366</v>
      </c>
      <c r="C568">
        <v>4085</v>
      </c>
      <c r="D568" t="s">
        <v>18</v>
      </c>
      <c r="E568" t="s">
        <v>1286</v>
      </c>
      <c r="F568">
        <v>11565</v>
      </c>
      <c r="G568" t="s">
        <v>20</v>
      </c>
      <c r="H568" t="s">
        <v>21</v>
      </c>
      <c r="I568">
        <v>56701</v>
      </c>
      <c r="J568">
        <v>56701</v>
      </c>
      <c r="K568">
        <v>0</v>
      </c>
      <c r="L568">
        <v>0</v>
      </c>
      <c r="M568">
        <v>0</v>
      </c>
      <c r="N568">
        <v>0</v>
      </c>
    </row>
    <row r="569" spans="1:14" ht="14.4">
      <c r="A569">
        <v>13365</v>
      </c>
      <c r="B569">
        <v>13366</v>
      </c>
      <c r="C569">
        <v>4085</v>
      </c>
      <c r="D569" t="s">
        <v>18</v>
      </c>
      <c r="E569" t="s">
        <v>1287</v>
      </c>
      <c r="F569">
        <v>10547</v>
      </c>
      <c r="G569" t="s">
        <v>64</v>
      </c>
      <c r="H569" t="s">
        <v>21</v>
      </c>
      <c r="I569">
        <v>3500</v>
      </c>
      <c r="J569">
        <v>0</v>
      </c>
      <c r="K569">
        <v>3500</v>
      </c>
      <c r="L569">
        <v>2500</v>
      </c>
      <c r="M569">
        <v>0</v>
      </c>
      <c r="N569">
        <v>2500</v>
      </c>
    </row>
    <row r="570" spans="1:14" ht="14.4">
      <c r="A570">
        <v>13365</v>
      </c>
      <c r="B570">
        <v>13366</v>
      </c>
      <c r="C570">
        <v>4085</v>
      </c>
      <c r="D570" t="s">
        <v>18</v>
      </c>
      <c r="E570" t="s">
        <v>229</v>
      </c>
      <c r="F570">
        <v>10950</v>
      </c>
      <c r="G570" t="s">
        <v>51</v>
      </c>
      <c r="H570" t="s">
        <v>21</v>
      </c>
      <c r="I570">
        <v>174293</v>
      </c>
      <c r="J570">
        <v>152993</v>
      </c>
      <c r="K570">
        <v>21300</v>
      </c>
      <c r="L570">
        <v>64600</v>
      </c>
      <c r="M570">
        <v>59700</v>
      </c>
      <c r="N570">
        <v>4900</v>
      </c>
    </row>
    <row r="571" spans="1:14" ht="14.4">
      <c r="A571">
        <v>13365</v>
      </c>
      <c r="B571">
        <v>13366</v>
      </c>
      <c r="C571">
        <v>4085</v>
      </c>
      <c r="D571" t="s">
        <v>18</v>
      </c>
      <c r="E571" t="s">
        <v>230</v>
      </c>
      <c r="F571">
        <v>10952</v>
      </c>
      <c r="G571" t="s">
        <v>85</v>
      </c>
      <c r="H571" t="s">
        <v>21</v>
      </c>
      <c r="I571">
        <v>248376</v>
      </c>
      <c r="J571">
        <v>74026</v>
      </c>
      <c r="K571">
        <v>174350</v>
      </c>
      <c r="L571">
        <v>73100</v>
      </c>
      <c r="M571">
        <v>2900</v>
      </c>
      <c r="N571">
        <v>70200</v>
      </c>
    </row>
    <row r="572" spans="1:14" ht="14.4">
      <c r="A572">
        <v>13365</v>
      </c>
      <c r="B572">
        <v>13366</v>
      </c>
      <c r="C572">
        <v>4085</v>
      </c>
      <c r="D572" t="s">
        <v>18</v>
      </c>
      <c r="E572" t="s">
        <v>231</v>
      </c>
      <c r="F572">
        <v>11954</v>
      </c>
      <c r="G572" t="s">
        <v>23</v>
      </c>
      <c r="H572" t="s">
        <v>21</v>
      </c>
      <c r="I572">
        <v>21114</v>
      </c>
      <c r="J572">
        <v>17014</v>
      </c>
      <c r="K572">
        <v>4100</v>
      </c>
      <c r="L572">
        <v>0</v>
      </c>
      <c r="M572">
        <v>0</v>
      </c>
      <c r="N572">
        <v>0</v>
      </c>
    </row>
    <row r="573" spans="1:14" ht="14.4">
      <c r="A573">
        <v>13365</v>
      </c>
      <c r="B573">
        <v>13366</v>
      </c>
      <c r="C573">
        <v>4085</v>
      </c>
      <c r="D573" t="s">
        <v>18</v>
      </c>
      <c r="E573" t="s">
        <v>1288</v>
      </c>
      <c r="F573">
        <v>12701</v>
      </c>
      <c r="G573" t="s">
        <v>189</v>
      </c>
      <c r="H573" t="s">
        <v>21</v>
      </c>
      <c r="I573">
        <v>146914</v>
      </c>
      <c r="J573">
        <v>143514</v>
      </c>
      <c r="K573">
        <v>3400</v>
      </c>
      <c r="L573">
        <v>0</v>
      </c>
      <c r="M573">
        <v>0</v>
      </c>
      <c r="N573">
        <v>0</v>
      </c>
    </row>
    <row r="574" spans="1:14" ht="14.4">
      <c r="A574">
        <v>13365</v>
      </c>
      <c r="B574">
        <v>13366</v>
      </c>
      <c r="C574">
        <v>4085</v>
      </c>
      <c r="D574" t="s">
        <v>18</v>
      </c>
      <c r="E574" t="s">
        <v>233</v>
      </c>
      <c r="F574">
        <v>11955</v>
      </c>
      <c r="G574" t="s">
        <v>23</v>
      </c>
      <c r="H574" t="s">
        <v>21</v>
      </c>
      <c r="I574">
        <v>337750</v>
      </c>
      <c r="J574">
        <v>291430</v>
      </c>
      <c r="K574">
        <v>46320</v>
      </c>
      <c r="L574">
        <v>114500</v>
      </c>
      <c r="M574">
        <v>92300</v>
      </c>
      <c r="N574">
        <v>22200</v>
      </c>
    </row>
    <row r="575" spans="1:14" ht="14.4">
      <c r="A575">
        <v>13365</v>
      </c>
      <c r="B575">
        <v>13366</v>
      </c>
      <c r="C575">
        <v>4085</v>
      </c>
      <c r="D575" t="s">
        <v>18</v>
      </c>
      <c r="E575" t="s">
        <v>234</v>
      </c>
      <c r="F575">
        <v>10549</v>
      </c>
      <c r="G575" t="s">
        <v>64</v>
      </c>
      <c r="H575" t="s">
        <v>21</v>
      </c>
      <c r="I575">
        <v>38786</v>
      </c>
      <c r="J575">
        <v>37786</v>
      </c>
      <c r="K575">
        <v>1000</v>
      </c>
      <c r="L575">
        <v>38900</v>
      </c>
      <c r="M575">
        <v>37900</v>
      </c>
      <c r="N575">
        <v>1000</v>
      </c>
    </row>
    <row r="576" spans="1:14" ht="14.4">
      <c r="A576">
        <v>13365</v>
      </c>
      <c r="B576">
        <v>13366</v>
      </c>
      <c r="C576">
        <v>4085</v>
      </c>
      <c r="D576" t="s">
        <v>18</v>
      </c>
      <c r="E576" t="s">
        <v>1289</v>
      </c>
      <c r="F576">
        <v>11766</v>
      </c>
      <c r="G576" t="s">
        <v>23</v>
      </c>
      <c r="H576" t="s">
        <v>21</v>
      </c>
      <c r="I576">
        <v>109714</v>
      </c>
      <c r="J576">
        <v>94949</v>
      </c>
      <c r="K576">
        <v>14765</v>
      </c>
      <c r="L576">
        <v>63300</v>
      </c>
      <c r="M576">
        <v>60500</v>
      </c>
      <c r="N576">
        <v>2800</v>
      </c>
    </row>
    <row r="577" spans="1:14" ht="14.4">
      <c r="A577">
        <v>13365</v>
      </c>
      <c r="B577">
        <v>13366</v>
      </c>
      <c r="C577">
        <v>4085</v>
      </c>
      <c r="D577" t="s">
        <v>18</v>
      </c>
      <c r="E577" t="s">
        <v>235</v>
      </c>
      <c r="F577">
        <v>10550</v>
      </c>
      <c r="G577" t="s">
        <v>64</v>
      </c>
      <c r="H577" t="s">
        <v>21</v>
      </c>
      <c r="I577">
        <v>83418</v>
      </c>
      <c r="J577">
        <v>81918</v>
      </c>
      <c r="K577">
        <v>1500</v>
      </c>
      <c r="L577">
        <v>21100</v>
      </c>
      <c r="M577">
        <v>20600</v>
      </c>
      <c r="N577">
        <v>500</v>
      </c>
    </row>
    <row r="578" spans="1:14" ht="14.4">
      <c r="A578">
        <v>13365</v>
      </c>
      <c r="B578">
        <v>13366</v>
      </c>
      <c r="C578">
        <v>4085</v>
      </c>
      <c r="D578" t="s">
        <v>18</v>
      </c>
      <c r="E578" t="s">
        <v>235</v>
      </c>
      <c r="F578">
        <v>10552</v>
      </c>
      <c r="G578" t="s">
        <v>64</v>
      </c>
      <c r="H578" t="s">
        <v>21</v>
      </c>
      <c r="I578">
        <v>162230</v>
      </c>
      <c r="J578">
        <v>154050</v>
      </c>
      <c r="K578">
        <v>8180</v>
      </c>
      <c r="L578">
        <v>150200</v>
      </c>
      <c r="M578">
        <v>145000</v>
      </c>
      <c r="N578">
        <v>5200</v>
      </c>
    </row>
    <row r="579" spans="1:14" ht="14.4">
      <c r="A579">
        <v>13365</v>
      </c>
      <c r="B579">
        <v>13366</v>
      </c>
      <c r="C579">
        <v>4085</v>
      </c>
      <c r="D579" t="s">
        <v>18</v>
      </c>
      <c r="E579" t="s">
        <v>235</v>
      </c>
      <c r="F579">
        <v>10553</v>
      </c>
      <c r="G579" t="s">
        <v>64</v>
      </c>
      <c r="H579" t="s">
        <v>21</v>
      </c>
      <c r="I579">
        <v>16964</v>
      </c>
      <c r="J579">
        <v>16964</v>
      </c>
      <c r="K579">
        <v>0</v>
      </c>
      <c r="L579">
        <v>0</v>
      </c>
      <c r="M579">
        <v>0</v>
      </c>
      <c r="N579">
        <v>0</v>
      </c>
    </row>
    <row r="580" spans="1:14" ht="14.4">
      <c r="A580">
        <v>13365</v>
      </c>
      <c r="B580">
        <v>13366</v>
      </c>
      <c r="C580">
        <v>4085</v>
      </c>
      <c r="D580" t="s">
        <v>18</v>
      </c>
      <c r="E580" t="s">
        <v>1290</v>
      </c>
      <c r="F580">
        <v>12763</v>
      </c>
      <c r="G580" t="s">
        <v>189</v>
      </c>
      <c r="H580" t="s">
        <v>21</v>
      </c>
      <c r="I580">
        <v>18586</v>
      </c>
      <c r="J580">
        <v>18236</v>
      </c>
      <c r="K580">
        <v>350</v>
      </c>
      <c r="L580">
        <v>0</v>
      </c>
      <c r="M580">
        <v>0</v>
      </c>
      <c r="N580">
        <v>0</v>
      </c>
    </row>
    <row r="581" spans="1:14" ht="14.4">
      <c r="A581">
        <v>13365</v>
      </c>
      <c r="B581">
        <v>13366</v>
      </c>
      <c r="C581">
        <v>4085</v>
      </c>
      <c r="D581" t="s">
        <v>18</v>
      </c>
      <c r="E581" t="s">
        <v>1291</v>
      </c>
      <c r="F581">
        <v>11753</v>
      </c>
      <c r="G581" t="s">
        <v>20</v>
      </c>
      <c r="H581" t="s">
        <v>21</v>
      </c>
      <c r="I581">
        <v>8007</v>
      </c>
      <c r="J581">
        <v>8007</v>
      </c>
      <c r="K581">
        <v>0</v>
      </c>
      <c r="L581">
        <v>6100</v>
      </c>
      <c r="M581">
        <v>6100</v>
      </c>
      <c r="N581">
        <v>0</v>
      </c>
    </row>
    <row r="582" spans="1:14" ht="14.4">
      <c r="A582">
        <v>13365</v>
      </c>
      <c r="B582">
        <v>13366</v>
      </c>
      <c r="C582">
        <v>4085</v>
      </c>
      <c r="D582" t="s">
        <v>18</v>
      </c>
      <c r="E582" t="s">
        <v>1292</v>
      </c>
      <c r="F582">
        <v>11710</v>
      </c>
      <c r="G582" t="s">
        <v>20</v>
      </c>
      <c r="H582" t="s">
        <v>21</v>
      </c>
      <c r="I582">
        <v>107915</v>
      </c>
      <c r="J582">
        <v>105315</v>
      </c>
      <c r="K582">
        <v>2600</v>
      </c>
      <c r="L582">
        <v>88900</v>
      </c>
      <c r="M582">
        <v>86800</v>
      </c>
      <c r="N582">
        <v>2100</v>
      </c>
    </row>
    <row r="583" spans="1:14" ht="14.4">
      <c r="A583">
        <v>13365</v>
      </c>
      <c r="B583">
        <v>13366</v>
      </c>
      <c r="C583">
        <v>4085</v>
      </c>
      <c r="D583" t="s">
        <v>18</v>
      </c>
      <c r="E583" t="s">
        <v>1293</v>
      </c>
      <c r="F583">
        <v>11581</v>
      </c>
      <c r="G583" t="s">
        <v>20</v>
      </c>
      <c r="H583" t="s">
        <v>21</v>
      </c>
      <c r="I583">
        <v>238032</v>
      </c>
      <c r="J583">
        <v>179007</v>
      </c>
      <c r="K583">
        <v>59025</v>
      </c>
      <c r="L583">
        <v>60000</v>
      </c>
      <c r="M583">
        <v>37100</v>
      </c>
      <c r="N583">
        <v>22900</v>
      </c>
    </row>
    <row r="584" spans="1:14" ht="14.4">
      <c r="A584">
        <v>13365</v>
      </c>
      <c r="B584">
        <v>13366</v>
      </c>
      <c r="C584">
        <v>4085</v>
      </c>
      <c r="D584" t="s">
        <v>18</v>
      </c>
      <c r="E584" t="s">
        <v>1294</v>
      </c>
      <c r="F584">
        <v>11710</v>
      </c>
      <c r="G584" t="s">
        <v>20</v>
      </c>
      <c r="H584" t="s">
        <v>21</v>
      </c>
      <c r="I584">
        <v>127389</v>
      </c>
      <c r="J584">
        <v>108089</v>
      </c>
      <c r="K584">
        <v>19300</v>
      </c>
      <c r="L584">
        <v>0</v>
      </c>
      <c r="M584">
        <v>0</v>
      </c>
      <c r="N584">
        <v>0</v>
      </c>
    </row>
    <row r="585" spans="1:14" ht="14.4">
      <c r="A585">
        <v>13365</v>
      </c>
      <c r="B585">
        <v>13366</v>
      </c>
      <c r="C585">
        <v>4085</v>
      </c>
      <c r="D585" t="s">
        <v>18</v>
      </c>
      <c r="E585" t="s">
        <v>1295</v>
      </c>
      <c r="F585">
        <v>11694</v>
      </c>
      <c r="G585" t="s">
        <v>28</v>
      </c>
      <c r="H585" t="s">
        <v>21</v>
      </c>
      <c r="I585">
        <v>162056</v>
      </c>
      <c r="J585">
        <v>121656</v>
      </c>
      <c r="K585">
        <v>40400</v>
      </c>
      <c r="L585">
        <v>99100</v>
      </c>
      <c r="M585">
        <v>80500</v>
      </c>
      <c r="N585">
        <v>18600</v>
      </c>
    </row>
    <row r="586" spans="1:14" ht="14.4">
      <c r="A586">
        <v>13365</v>
      </c>
      <c r="B586">
        <v>13366</v>
      </c>
      <c r="C586">
        <v>4085</v>
      </c>
      <c r="D586" t="s">
        <v>18</v>
      </c>
      <c r="E586" t="s">
        <v>239</v>
      </c>
      <c r="F586">
        <v>11694</v>
      </c>
      <c r="G586" t="s">
        <v>32</v>
      </c>
      <c r="H586" t="s">
        <v>21</v>
      </c>
      <c r="I586">
        <v>177286</v>
      </c>
      <c r="J586">
        <v>112486</v>
      </c>
      <c r="K586">
        <v>64800</v>
      </c>
      <c r="L586">
        <v>141000</v>
      </c>
      <c r="M586">
        <v>105000</v>
      </c>
      <c r="N586">
        <v>36000</v>
      </c>
    </row>
    <row r="587" spans="1:14" ht="14.4">
      <c r="A587">
        <v>13365</v>
      </c>
      <c r="B587">
        <v>13366</v>
      </c>
      <c r="C587">
        <v>4085</v>
      </c>
      <c r="D587" t="s">
        <v>18</v>
      </c>
      <c r="E587" t="s">
        <v>239</v>
      </c>
      <c r="F587">
        <v>11694</v>
      </c>
      <c r="G587" t="s">
        <v>28</v>
      </c>
      <c r="H587" t="s">
        <v>21</v>
      </c>
      <c r="I587">
        <v>21886766</v>
      </c>
      <c r="J587">
        <v>15651434</v>
      </c>
      <c r="K587">
        <v>6235332</v>
      </c>
      <c r="L587">
        <v>8539500</v>
      </c>
      <c r="M587">
        <v>6159700</v>
      </c>
      <c r="N587">
        <v>2379800</v>
      </c>
    </row>
    <row r="588" spans="1:14" ht="14.4">
      <c r="A588">
        <v>13365</v>
      </c>
      <c r="B588">
        <v>13366</v>
      </c>
      <c r="C588">
        <v>4085</v>
      </c>
      <c r="D588" t="s">
        <v>18</v>
      </c>
      <c r="E588" t="s">
        <v>1296</v>
      </c>
      <c r="F588">
        <v>11694</v>
      </c>
      <c r="G588" t="s">
        <v>28</v>
      </c>
      <c r="H588" t="s">
        <v>21</v>
      </c>
      <c r="I588">
        <v>393264</v>
      </c>
      <c r="J588">
        <v>251814</v>
      </c>
      <c r="K588">
        <v>141450</v>
      </c>
      <c r="L588">
        <v>0</v>
      </c>
      <c r="M588">
        <v>0</v>
      </c>
      <c r="N588">
        <v>0</v>
      </c>
    </row>
    <row r="589" spans="1:14" ht="14.4">
      <c r="A589">
        <v>13365</v>
      </c>
      <c r="B589">
        <v>13366</v>
      </c>
      <c r="C589">
        <v>4085</v>
      </c>
      <c r="D589" t="s">
        <v>18</v>
      </c>
      <c r="E589" t="s">
        <v>1297</v>
      </c>
      <c r="F589">
        <v>11767</v>
      </c>
      <c r="G589" t="s">
        <v>23</v>
      </c>
      <c r="H589" t="s">
        <v>21</v>
      </c>
      <c r="I589">
        <v>83969</v>
      </c>
      <c r="J589">
        <v>79369</v>
      </c>
      <c r="K589">
        <v>4600</v>
      </c>
      <c r="L589">
        <v>61700</v>
      </c>
      <c r="M589">
        <v>61500</v>
      </c>
      <c r="N589">
        <v>200</v>
      </c>
    </row>
    <row r="590" spans="1:14" ht="14.4">
      <c r="A590">
        <v>13365</v>
      </c>
      <c r="B590">
        <v>13366</v>
      </c>
      <c r="C590">
        <v>4085</v>
      </c>
      <c r="D590" t="s">
        <v>18</v>
      </c>
      <c r="E590" t="s">
        <v>1298</v>
      </c>
      <c r="F590">
        <v>10306</v>
      </c>
      <c r="G590" t="s">
        <v>71</v>
      </c>
      <c r="H590" t="s">
        <v>21</v>
      </c>
      <c r="I590">
        <v>64520</v>
      </c>
      <c r="J590">
        <v>0</v>
      </c>
      <c r="K590">
        <v>64520</v>
      </c>
      <c r="L590">
        <v>0</v>
      </c>
      <c r="M590">
        <v>0</v>
      </c>
      <c r="N590">
        <v>0</v>
      </c>
    </row>
    <row r="591" spans="1:14" ht="14.4">
      <c r="A591">
        <v>13365</v>
      </c>
      <c r="B591">
        <v>13366</v>
      </c>
      <c r="C591">
        <v>4085</v>
      </c>
      <c r="D591" t="s">
        <v>18</v>
      </c>
      <c r="E591" t="s">
        <v>241</v>
      </c>
      <c r="F591">
        <v>10956</v>
      </c>
      <c r="G591" t="s">
        <v>85</v>
      </c>
      <c r="H591" t="s">
        <v>21</v>
      </c>
      <c r="I591">
        <v>445332</v>
      </c>
      <c r="J591">
        <v>397194</v>
      </c>
      <c r="K591">
        <v>48138</v>
      </c>
      <c r="L591">
        <v>182300</v>
      </c>
      <c r="M591">
        <v>151300</v>
      </c>
      <c r="N591">
        <v>31000</v>
      </c>
    </row>
    <row r="592" spans="1:14" ht="14.4">
      <c r="A592">
        <v>13365</v>
      </c>
      <c r="B592">
        <v>13366</v>
      </c>
      <c r="C592">
        <v>4085</v>
      </c>
      <c r="D592" t="s">
        <v>18</v>
      </c>
      <c r="E592" t="s">
        <v>1299</v>
      </c>
      <c r="F592">
        <v>10977</v>
      </c>
      <c r="G592" t="s">
        <v>85</v>
      </c>
      <c r="H592" t="s">
        <v>21</v>
      </c>
      <c r="I592">
        <v>17109</v>
      </c>
      <c r="J592">
        <v>15609</v>
      </c>
      <c r="K592">
        <v>1500</v>
      </c>
      <c r="L592">
        <v>0</v>
      </c>
      <c r="M592">
        <v>0</v>
      </c>
      <c r="N592">
        <v>0</v>
      </c>
    </row>
    <row r="593" spans="1:14" ht="14.4">
      <c r="A593">
        <v>13365</v>
      </c>
      <c r="B593">
        <v>13366</v>
      </c>
      <c r="C593">
        <v>4085</v>
      </c>
      <c r="D593" t="s">
        <v>18</v>
      </c>
      <c r="E593" t="s">
        <v>242</v>
      </c>
      <c r="F593">
        <v>11040</v>
      </c>
      <c r="G593" t="s">
        <v>20</v>
      </c>
      <c r="H593" t="s">
        <v>21</v>
      </c>
      <c r="I593">
        <v>229622</v>
      </c>
      <c r="J593">
        <v>218247</v>
      </c>
      <c r="K593">
        <v>11375</v>
      </c>
      <c r="L593">
        <v>58500</v>
      </c>
      <c r="M593">
        <v>57800</v>
      </c>
      <c r="N593">
        <v>700</v>
      </c>
    </row>
    <row r="594" spans="1:14" ht="14.4">
      <c r="A594">
        <v>13365</v>
      </c>
      <c r="B594">
        <v>13366</v>
      </c>
      <c r="C594">
        <v>4085</v>
      </c>
      <c r="D594" t="s">
        <v>18</v>
      </c>
      <c r="E594" t="s">
        <v>1300</v>
      </c>
      <c r="F594">
        <v>12561</v>
      </c>
      <c r="G594" t="s">
        <v>186</v>
      </c>
      <c r="H594" t="s">
        <v>21</v>
      </c>
      <c r="I594">
        <v>1250</v>
      </c>
      <c r="J594">
        <v>0</v>
      </c>
      <c r="K594">
        <v>1250</v>
      </c>
      <c r="L594">
        <v>1300</v>
      </c>
      <c r="M594">
        <v>0</v>
      </c>
      <c r="N594">
        <v>1300</v>
      </c>
    </row>
    <row r="595" spans="1:14" ht="14.4">
      <c r="A595">
        <v>13365</v>
      </c>
      <c r="B595">
        <v>13366</v>
      </c>
      <c r="C595">
        <v>4085</v>
      </c>
      <c r="D595" t="s">
        <v>18</v>
      </c>
      <c r="E595" t="s">
        <v>244</v>
      </c>
      <c r="F595">
        <v>10801</v>
      </c>
      <c r="G595" t="s">
        <v>64</v>
      </c>
      <c r="H595" t="s">
        <v>21</v>
      </c>
      <c r="I595">
        <v>313051</v>
      </c>
      <c r="J595">
        <v>294631</v>
      </c>
      <c r="K595">
        <v>18420</v>
      </c>
      <c r="L595">
        <v>239600</v>
      </c>
      <c r="M595">
        <v>233100</v>
      </c>
      <c r="N595">
        <v>6500</v>
      </c>
    </row>
    <row r="596" spans="1:14" ht="14.4">
      <c r="A596">
        <v>13365</v>
      </c>
      <c r="B596">
        <v>13366</v>
      </c>
      <c r="C596">
        <v>4085</v>
      </c>
      <c r="D596" t="s">
        <v>18</v>
      </c>
      <c r="E596" t="s">
        <v>244</v>
      </c>
      <c r="F596">
        <v>10804</v>
      </c>
      <c r="G596" t="s">
        <v>64</v>
      </c>
      <c r="H596" t="s">
        <v>21</v>
      </c>
      <c r="I596">
        <v>167685</v>
      </c>
      <c r="J596">
        <v>160785</v>
      </c>
      <c r="K596">
        <v>6900</v>
      </c>
      <c r="L596">
        <v>102000</v>
      </c>
      <c r="M596">
        <v>98300</v>
      </c>
      <c r="N596">
        <v>3700</v>
      </c>
    </row>
    <row r="597" spans="1:14" ht="14.4">
      <c r="A597">
        <v>13365</v>
      </c>
      <c r="B597">
        <v>13366</v>
      </c>
      <c r="C597">
        <v>4085</v>
      </c>
      <c r="D597" t="s">
        <v>18</v>
      </c>
      <c r="E597" t="s">
        <v>244</v>
      </c>
      <c r="F597">
        <v>10805</v>
      </c>
      <c r="G597" t="s">
        <v>64</v>
      </c>
      <c r="H597" t="s">
        <v>21</v>
      </c>
      <c r="I597">
        <v>224622</v>
      </c>
      <c r="J597">
        <v>215521</v>
      </c>
      <c r="K597">
        <v>9101</v>
      </c>
      <c r="L597">
        <v>1900</v>
      </c>
      <c r="M597">
        <v>0</v>
      </c>
      <c r="N597">
        <v>1900</v>
      </c>
    </row>
    <row r="598" spans="1:14" ht="14.4">
      <c r="A598">
        <v>13365</v>
      </c>
      <c r="B598">
        <v>13366</v>
      </c>
      <c r="C598">
        <v>4085</v>
      </c>
      <c r="D598" t="s">
        <v>18</v>
      </c>
      <c r="E598" t="s">
        <v>245</v>
      </c>
      <c r="F598">
        <v>11956</v>
      </c>
      <c r="G598" t="s">
        <v>23</v>
      </c>
      <c r="H598" t="s">
        <v>21</v>
      </c>
      <c r="I598">
        <v>292872</v>
      </c>
      <c r="J598">
        <v>254522</v>
      </c>
      <c r="K598">
        <v>38350</v>
      </c>
      <c r="L598">
        <v>236300</v>
      </c>
      <c r="M598">
        <v>200000</v>
      </c>
      <c r="N598">
        <v>36300</v>
      </c>
    </row>
    <row r="599" spans="1:14" ht="14.4">
      <c r="A599">
        <v>13365</v>
      </c>
      <c r="B599">
        <v>13366</v>
      </c>
      <c r="C599">
        <v>4085</v>
      </c>
      <c r="D599" t="s">
        <v>18</v>
      </c>
      <c r="E599" t="s">
        <v>1301</v>
      </c>
      <c r="F599">
        <v>12553</v>
      </c>
      <c r="G599" t="s">
        <v>51</v>
      </c>
      <c r="H599" t="s">
        <v>21</v>
      </c>
      <c r="I599">
        <v>62891</v>
      </c>
      <c r="J599">
        <v>62891</v>
      </c>
      <c r="K599">
        <v>0</v>
      </c>
      <c r="L599">
        <v>29100</v>
      </c>
      <c r="M599">
        <v>29100</v>
      </c>
      <c r="N599">
        <v>0</v>
      </c>
    </row>
    <row r="600" spans="1:14" ht="14.4">
      <c r="A600">
        <v>13365</v>
      </c>
      <c r="B600">
        <v>13366</v>
      </c>
      <c r="C600">
        <v>4085</v>
      </c>
      <c r="D600" t="s">
        <v>18</v>
      </c>
      <c r="E600" t="s">
        <v>32</v>
      </c>
      <c r="F600">
        <v>10001</v>
      </c>
      <c r="G600" t="s">
        <v>20</v>
      </c>
      <c r="H600" t="s">
        <v>21</v>
      </c>
      <c r="I600">
        <v>21300</v>
      </c>
      <c r="J600">
        <v>0</v>
      </c>
      <c r="K600">
        <v>21300</v>
      </c>
      <c r="L600">
        <v>14000</v>
      </c>
      <c r="M600">
        <v>0</v>
      </c>
      <c r="N600">
        <v>14000</v>
      </c>
    </row>
    <row r="601" spans="1:14" ht="14.4">
      <c r="A601">
        <v>13365</v>
      </c>
      <c r="B601">
        <v>13366</v>
      </c>
      <c r="C601">
        <v>4085</v>
      </c>
      <c r="D601" t="s">
        <v>18</v>
      </c>
      <c r="E601" t="s">
        <v>32</v>
      </c>
      <c r="F601">
        <v>10001</v>
      </c>
      <c r="G601" t="s">
        <v>32</v>
      </c>
      <c r="H601" t="s">
        <v>21</v>
      </c>
      <c r="I601">
        <v>20987</v>
      </c>
      <c r="J601">
        <v>0</v>
      </c>
      <c r="K601">
        <v>20987</v>
      </c>
      <c r="L601">
        <v>4100</v>
      </c>
      <c r="M601">
        <v>0</v>
      </c>
      <c r="N601">
        <v>4100</v>
      </c>
    </row>
    <row r="602" spans="1:14" ht="14.4">
      <c r="A602">
        <v>13365</v>
      </c>
      <c r="B602">
        <v>13366</v>
      </c>
      <c r="C602">
        <v>4085</v>
      </c>
      <c r="D602" t="s">
        <v>18</v>
      </c>
      <c r="E602" t="s">
        <v>32</v>
      </c>
      <c r="F602">
        <v>10002</v>
      </c>
      <c r="G602" t="s">
        <v>32</v>
      </c>
      <c r="H602" t="s">
        <v>21</v>
      </c>
      <c r="I602">
        <v>434710</v>
      </c>
      <c r="J602">
        <v>34969</v>
      </c>
      <c r="K602">
        <v>399741</v>
      </c>
      <c r="L602">
        <v>73500</v>
      </c>
      <c r="M602">
        <v>0</v>
      </c>
      <c r="N602">
        <v>73500</v>
      </c>
    </row>
    <row r="603" spans="1:14" ht="14.4">
      <c r="A603">
        <v>13365</v>
      </c>
      <c r="B603">
        <v>13366</v>
      </c>
      <c r="C603">
        <v>4085</v>
      </c>
      <c r="D603" t="s">
        <v>18</v>
      </c>
      <c r="E603" t="s">
        <v>32</v>
      </c>
      <c r="F603">
        <v>10003</v>
      </c>
      <c r="G603" t="s">
        <v>32</v>
      </c>
      <c r="H603" t="s">
        <v>21</v>
      </c>
      <c r="I603">
        <v>91566</v>
      </c>
      <c r="J603">
        <v>86696</v>
      </c>
      <c r="K603">
        <v>4870</v>
      </c>
      <c r="L603">
        <v>82800</v>
      </c>
      <c r="M603">
        <v>82300</v>
      </c>
      <c r="N603">
        <v>500</v>
      </c>
    </row>
    <row r="604" spans="1:14" ht="14.4">
      <c r="A604">
        <v>13365</v>
      </c>
      <c r="B604">
        <v>13366</v>
      </c>
      <c r="C604">
        <v>4085</v>
      </c>
      <c r="D604" t="s">
        <v>18</v>
      </c>
      <c r="E604" t="s">
        <v>32</v>
      </c>
      <c r="F604">
        <v>10004</v>
      </c>
      <c r="G604" t="s">
        <v>32</v>
      </c>
      <c r="H604" t="s">
        <v>21</v>
      </c>
      <c r="I604">
        <v>53225</v>
      </c>
      <c r="J604">
        <v>0</v>
      </c>
      <c r="K604">
        <v>53225</v>
      </c>
      <c r="L604">
        <v>5800</v>
      </c>
      <c r="M604">
        <v>0</v>
      </c>
      <c r="N604">
        <v>5800</v>
      </c>
    </row>
    <row r="605" spans="1:14" ht="14.4">
      <c r="A605">
        <v>13365</v>
      </c>
      <c r="B605">
        <v>13366</v>
      </c>
      <c r="C605">
        <v>4085</v>
      </c>
      <c r="D605" t="s">
        <v>18</v>
      </c>
      <c r="E605" t="s">
        <v>32</v>
      </c>
      <c r="F605">
        <v>10005</v>
      </c>
      <c r="G605" t="s">
        <v>32</v>
      </c>
      <c r="H605" t="s">
        <v>21</v>
      </c>
      <c r="I605">
        <v>19475</v>
      </c>
      <c r="J605">
        <v>0</v>
      </c>
      <c r="K605">
        <v>19475</v>
      </c>
      <c r="L605">
        <v>2500</v>
      </c>
      <c r="M605">
        <v>0</v>
      </c>
      <c r="N605">
        <v>2500</v>
      </c>
    </row>
    <row r="606" spans="1:14" ht="14.4">
      <c r="A606">
        <v>13365</v>
      </c>
      <c r="B606">
        <v>13366</v>
      </c>
      <c r="C606">
        <v>4085</v>
      </c>
      <c r="D606" t="s">
        <v>18</v>
      </c>
      <c r="E606" t="s">
        <v>32</v>
      </c>
      <c r="F606">
        <v>10006</v>
      </c>
      <c r="G606" t="s">
        <v>32</v>
      </c>
      <c r="H606" t="s">
        <v>21</v>
      </c>
      <c r="I606">
        <v>179223</v>
      </c>
      <c r="J606">
        <v>10958</v>
      </c>
      <c r="K606">
        <v>168265</v>
      </c>
      <c r="L606">
        <v>72300</v>
      </c>
      <c r="M606">
        <v>9900</v>
      </c>
      <c r="N606">
        <v>62400</v>
      </c>
    </row>
    <row r="607" spans="1:14" ht="14.4">
      <c r="A607">
        <v>13365</v>
      </c>
      <c r="B607">
        <v>13366</v>
      </c>
      <c r="C607">
        <v>4085</v>
      </c>
      <c r="D607" t="s">
        <v>18</v>
      </c>
      <c r="E607" t="s">
        <v>32</v>
      </c>
      <c r="F607">
        <v>10007</v>
      </c>
      <c r="G607" t="s">
        <v>32</v>
      </c>
      <c r="H607" t="s">
        <v>21</v>
      </c>
      <c r="I607">
        <v>68744</v>
      </c>
      <c r="J607">
        <v>35344</v>
      </c>
      <c r="K607">
        <v>33400</v>
      </c>
      <c r="L607">
        <v>35400</v>
      </c>
      <c r="M607">
        <v>35400</v>
      </c>
      <c r="N607">
        <v>0</v>
      </c>
    </row>
    <row r="608" spans="1:14" ht="14.4">
      <c r="A608">
        <v>13365</v>
      </c>
      <c r="B608">
        <v>13366</v>
      </c>
      <c r="C608">
        <v>4085</v>
      </c>
      <c r="D608" t="s">
        <v>18</v>
      </c>
      <c r="E608" t="s">
        <v>32</v>
      </c>
      <c r="F608">
        <v>10009</v>
      </c>
      <c r="G608" t="s">
        <v>32</v>
      </c>
      <c r="H608" t="s">
        <v>21</v>
      </c>
      <c r="I608">
        <v>1337161</v>
      </c>
      <c r="J608">
        <v>302383</v>
      </c>
      <c r="K608">
        <v>1034778</v>
      </c>
      <c r="L608">
        <v>398100</v>
      </c>
      <c r="M608">
        <v>24600</v>
      </c>
      <c r="N608">
        <v>373500</v>
      </c>
    </row>
    <row r="609" spans="1:14" ht="14.4">
      <c r="A609">
        <v>13365</v>
      </c>
      <c r="B609">
        <v>13366</v>
      </c>
      <c r="C609">
        <v>4085</v>
      </c>
      <c r="D609" t="s">
        <v>18</v>
      </c>
      <c r="E609" t="s">
        <v>32</v>
      </c>
      <c r="F609">
        <v>10010</v>
      </c>
      <c r="G609" t="s">
        <v>32</v>
      </c>
      <c r="H609" t="s">
        <v>21</v>
      </c>
      <c r="I609">
        <v>62922</v>
      </c>
      <c r="J609">
        <v>0</v>
      </c>
      <c r="K609">
        <v>62922</v>
      </c>
      <c r="L609">
        <v>15600</v>
      </c>
      <c r="M609">
        <v>0</v>
      </c>
      <c r="N609">
        <v>15600</v>
      </c>
    </row>
    <row r="610" spans="1:14" ht="14.4">
      <c r="A610">
        <v>13365</v>
      </c>
      <c r="B610">
        <v>13366</v>
      </c>
      <c r="C610">
        <v>4085</v>
      </c>
      <c r="D610" t="s">
        <v>18</v>
      </c>
      <c r="E610" t="s">
        <v>32</v>
      </c>
      <c r="F610">
        <v>10011</v>
      </c>
      <c r="G610" t="s">
        <v>32</v>
      </c>
      <c r="H610" t="s">
        <v>21</v>
      </c>
      <c r="I610">
        <v>382980</v>
      </c>
      <c r="J610">
        <v>139764</v>
      </c>
      <c r="K610">
        <v>243216</v>
      </c>
      <c r="L610">
        <v>75700</v>
      </c>
      <c r="M610">
        <v>16400</v>
      </c>
      <c r="N610">
        <v>59300</v>
      </c>
    </row>
    <row r="611" spans="1:14" ht="14.4">
      <c r="A611">
        <v>13365</v>
      </c>
      <c r="B611">
        <v>13366</v>
      </c>
      <c r="C611">
        <v>4085</v>
      </c>
      <c r="D611" t="s">
        <v>18</v>
      </c>
      <c r="E611" t="s">
        <v>32</v>
      </c>
      <c r="F611">
        <v>10012</v>
      </c>
      <c r="G611" t="s">
        <v>32</v>
      </c>
      <c r="H611" t="s">
        <v>21</v>
      </c>
      <c r="I611">
        <v>13537</v>
      </c>
      <c r="J611">
        <v>0</v>
      </c>
      <c r="K611">
        <v>13537</v>
      </c>
      <c r="L611">
        <v>9900</v>
      </c>
      <c r="M611">
        <v>0</v>
      </c>
      <c r="N611">
        <v>9900</v>
      </c>
    </row>
    <row r="612" spans="1:14" ht="14.4">
      <c r="A612">
        <v>13365</v>
      </c>
      <c r="B612">
        <v>13366</v>
      </c>
      <c r="C612">
        <v>4085</v>
      </c>
      <c r="D612" t="s">
        <v>18</v>
      </c>
      <c r="E612" t="s">
        <v>32</v>
      </c>
      <c r="F612">
        <v>10013</v>
      </c>
      <c r="G612" t="s">
        <v>32</v>
      </c>
      <c r="H612" t="s">
        <v>21</v>
      </c>
      <c r="I612">
        <v>743871</v>
      </c>
      <c r="J612">
        <v>249041</v>
      </c>
      <c r="K612">
        <v>494830</v>
      </c>
      <c r="L612">
        <v>202200</v>
      </c>
      <c r="M612">
        <v>70800</v>
      </c>
      <c r="N612">
        <v>131400</v>
      </c>
    </row>
    <row r="613" spans="1:14" ht="14.4">
      <c r="A613">
        <v>13365</v>
      </c>
      <c r="B613">
        <v>13366</v>
      </c>
      <c r="C613">
        <v>4085</v>
      </c>
      <c r="D613" t="s">
        <v>18</v>
      </c>
      <c r="E613" t="s">
        <v>32</v>
      </c>
      <c r="F613">
        <v>10014</v>
      </c>
      <c r="G613" t="s">
        <v>32</v>
      </c>
      <c r="H613" t="s">
        <v>21</v>
      </c>
      <c r="I613">
        <v>1333738</v>
      </c>
      <c r="J613">
        <v>346360</v>
      </c>
      <c r="K613">
        <v>987378</v>
      </c>
      <c r="L613">
        <v>658700</v>
      </c>
      <c r="M613">
        <v>76800</v>
      </c>
      <c r="N613">
        <v>581900</v>
      </c>
    </row>
    <row r="614" spans="1:14" ht="14.4">
      <c r="A614">
        <v>13365</v>
      </c>
      <c r="B614">
        <v>13366</v>
      </c>
      <c r="C614">
        <v>4085</v>
      </c>
      <c r="D614" t="s">
        <v>18</v>
      </c>
      <c r="E614" t="s">
        <v>32</v>
      </c>
      <c r="F614">
        <v>10015</v>
      </c>
      <c r="G614" t="s">
        <v>32</v>
      </c>
      <c r="H614" t="s">
        <v>21</v>
      </c>
      <c r="I614">
        <v>35130</v>
      </c>
      <c r="J614">
        <v>12130</v>
      </c>
      <c r="K614">
        <v>23000</v>
      </c>
      <c r="L614">
        <v>0</v>
      </c>
      <c r="M614">
        <v>0</v>
      </c>
      <c r="N614">
        <v>0</v>
      </c>
    </row>
    <row r="615" spans="1:14" ht="14.4">
      <c r="A615">
        <v>13365</v>
      </c>
      <c r="B615">
        <v>13366</v>
      </c>
      <c r="C615">
        <v>4085</v>
      </c>
      <c r="D615" t="s">
        <v>18</v>
      </c>
      <c r="E615" t="s">
        <v>32</v>
      </c>
      <c r="F615">
        <v>10016</v>
      </c>
      <c r="G615" t="s">
        <v>32</v>
      </c>
      <c r="H615" t="s">
        <v>21</v>
      </c>
      <c r="I615">
        <v>41715</v>
      </c>
      <c r="J615">
        <v>0</v>
      </c>
      <c r="K615">
        <v>41715</v>
      </c>
      <c r="L615">
        <v>18800</v>
      </c>
      <c r="M615">
        <v>0</v>
      </c>
      <c r="N615">
        <v>18800</v>
      </c>
    </row>
    <row r="616" spans="1:14" ht="14.4">
      <c r="A616">
        <v>13365</v>
      </c>
      <c r="B616">
        <v>13366</v>
      </c>
      <c r="C616">
        <v>4085</v>
      </c>
      <c r="D616" t="s">
        <v>18</v>
      </c>
      <c r="E616" t="s">
        <v>32</v>
      </c>
      <c r="F616">
        <v>10018</v>
      </c>
      <c r="G616" t="s">
        <v>32</v>
      </c>
      <c r="H616" t="s">
        <v>21</v>
      </c>
      <c r="I616">
        <v>38125</v>
      </c>
      <c r="J616">
        <v>0</v>
      </c>
      <c r="K616">
        <v>38125</v>
      </c>
      <c r="L616">
        <v>30700</v>
      </c>
      <c r="M616">
        <v>0</v>
      </c>
      <c r="N616">
        <v>30700</v>
      </c>
    </row>
    <row r="617" spans="1:14" ht="14.4">
      <c r="A617">
        <v>13365</v>
      </c>
      <c r="B617">
        <v>13366</v>
      </c>
      <c r="C617">
        <v>4085</v>
      </c>
      <c r="D617" t="s">
        <v>18</v>
      </c>
      <c r="E617" t="s">
        <v>32</v>
      </c>
      <c r="F617">
        <v>10019</v>
      </c>
      <c r="G617" t="s">
        <v>32</v>
      </c>
      <c r="H617" t="s">
        <v>21</v>
      </c>
      <c r="I617">
        <v>14500</v>
      </c>
      <c r="J617">
        <v>0</v>
      </c>
      <c r="K617">
        <v>14500</v>
      </c>
      <c r="L617">
        <v>0</v>
      </c>
      <c r="M617">
        <v>0</v>
      </c>
      <c r="N617">
        <v>0</v>
      </c>
    </row>
    <row r="618" spans="1:14" ht="14.4">
      <c r="A618">
        <v>13365</v>
      </c>
      <c r="B618">
        <v>13366</v>
      </c>
      <c r="C618">
        <v>4085</v>
      </c>
      <c r="D618" t="s">
        <v>18</v>
      </c>
      <c r="E618" t="s">
        <v>32</v>
      </c>
      <c r="F618">
        <v>10025</v>
      </c>
      <c r="G618" t="s">
        <v>32</v>
      </c>
      <c r="H618" t="s">
        <v>21</v>
      </c>
      <c r="I618">
        <v>5525</v>
      </c>
      <c r="J618">
        <v>0</v>
      </c>
      <c r="K618">
        <v>5525</v>
      </c>
      <c r="L618">
        <v>5600</v>
      </c>
      <c r="M618">
        <v>0</v>
      </c>
      <c r="N618">
        <v>5600</v>
      </c>
    </row>
    <row r="619" spans="1:14" ht="14.4">
      <c r="A619">
        <v>13365</v>
      </c>
      <c r="B619">
        <v>13366</v>
      </c>
      <c r="C619">
        <v>4085</v>
      </c>
      <c r="D619" t="s">
        <v>18</v>
      </c>
      <c r="E619" t="s">
        <v>32</v>
      </c>
      <c r="F619">
        <v>10027</v>
      </c>
      <c r="G619" t="s">
        <v>32</v>
      </c>
      <c r="H619" t="s">
        <v>21</v>
      </c>
      <c r="I619">
        <v>55685</v>
      </c>
      <c r="J619">
        <v>55685</v>
      </c>
      <c r="K619">
        <v>0</v>
      </c>
      <c r="L619">
        <v>10700</v>
      </c>
      <c r="M619">
        <v>10700</v>
      </c>
      <c r="N619">
        <v>0</v>
      </c>
    </row>
    <row r="620" spans="1:14" ht="14.4">
      <c r="A620">
        <v>13365</v>
      </c>
      <c r="B620">
        <v>13366</v>
      </c>
      <c r="C620">
        <v>4085</v>
      </c>
      <c r="D620" t="s">
        <v>18</v>
      </c>
      <c r="E620" t="s">
        <v>32</v>
      </c>
      <c r="F620">
        <v>10029</v>
      </c>
      <c r="G620" t="s">
        <v>32</v>
      </c>
      <c r="H620" t="s">
        <v>21</v>
      </c>
      <c r="I620">
        <v>62820</v>
      </c>
      <c r="J620">
        <v>0</v>
      </c>
      <c r="K620">
        <v>62820</v>
      </c>
      <c r="L620">
        <v>44300</v>
      </c>
      <c r="M620">
        <v>0</v>
      </c>
      <c r="N620">
        <v>44300</v>
      </c>
    </row>
    <row r="621" spans="1:14" ht="14.4">
      <c r="A621">
        <v>13365</v>
      </c>
      <c r="B621">
        <v>13366</v>
      </c>
      <c r="C621">
        <v>4085</v>
      </c>
      <c r="D621" t="s">
        <v>18</v>
      </c>
      <c r="E621" t="s">
        <v>32</v>
      </c>
      <c r="F621">
        <v>10030</v>
      </c>
      <c r="G621" t="s">
        <v>32</v>
      </c>
      <c r="H621" t="s">
        <v>21</v>
      </c>
      <c r="I621">
        <v>11225</v>
      </c>
      <c r="J621">
        <v>0</v>
      </c>
      <c r="K621">
        <v>11225</v>
      </c>
      <c r="L621">
        <v>3800</v>
      </c>
      <c r="M621">
        <v>0</v>
      </c>
      <c r="N621">
        <v>3800</v>
      </c>
    </row>
    <row r="622" spans="1:14" ht="14.4">
      <c r="A622">
        <v>13365</v>
      </c>
      <c r="B622">
        <v>13366</v>
      </c>
      <c r="C622">
        <v>4085</v>
      </c>
      <c r="D622" t="s">
        <v>18</v>
      </c>
      <c r="E622" t="s">
        <v>32</v>
      </c>
      <c r="F622">
        <v>10033</v>
      </c>
      <c r="G622" t="s">
        <v>32</v>
      </c>
      <c r="H622" t="s">
        <v>21</v>
      </c>
      <c r="I622">
        <v>27800</v>
      </c>
      <c r="J622">
        <v>0</v>
      </c>
      <c r="K622">
        <v>27800</v>
      </c>
      <c r="L622">
        <v>0</v>
      </c>
      <c r="M622">
        <v>0</v>
      </c>
      <c r="N622">
        <v>0</v>
      </c>
    </row>
    <row r="623" spans="1:14" ht="14.4">
      <c r="A623">
        <v>13365</v>
      </c>
      <c r="B623">
        <v>13366</v>
      </c>
      <c r="C623">
        <v>4085</v>
      </c>
      <c r="D623" t="s">
        <v>18</v>
      </c>
      <c r="E623" t="s">
        <v>32</v>
      </c>
      <c r="F623">
        <v>10035</v>
      </c>
      <c r="G623" t="s">
        <v>32</v>
      </c>
      <c r="H623" t="s">
        <v>21</v>
      </c>
      <c r="I623">
        <v>2955</v>
      </c>
      <c r="J623">
        <v>0</v>
      </c>
      <c r="K623">
        <v>2955</v>
      </c>
      <c r="L623">
        <v>0</v>
      </c>
      <c r="M623">
        <v>0</v>
      </c>
      <c r="N623">
        <v>0</v>
      </c>
    </row>
    <row r="624" spans="1:14" ht="14.4">
      <c r="A624">
        <v>13365</v>
      </c>
      <c r="B624">
        <v>13366</v>
      </c>
      <c r="C624">
        <v>4085</v>
      </c>
      <c r="D624" t="s">
        <v>18</v>
      </c>
      <c r="E624" t="s">
        <v>32</v>
      </c>
      <c r="F624">
        <v>10037</v>
      </c>
      <c r="G624" t="s">
        <v>32</v>
      </c>
      <c r="H624" t="s">
        <v>21</v>
      </c>
      <c r="I624">
        <v>109886</v>
      </c>
      <c r="J624">
        <v>0</v>
      </c>
      <c r="K624">
        <v>109886</v>
      </c>
      <c r="L624">
        <v>47700</v>
      </c>
      <c r="M624">
        <v>0</v>
      </c>
      <c r="N624">
        <v>47700</v>
      </c>
    </row>
    <row r="625" spans="1:14" ht="14.4">
      <c r="A625">
        <v>13365</v>
      </c>
      <c r="B625">
        <v>13366</v>
      </c>
      <c r="C625">
        <v>4085</v>
      </c>
      <c r="D625" t="s">
        <v>18</v>
      </c>
      <c r="E625" t="s">
        <v>32</v>
      </c>
      <c r="F625">
        <v>10038</v>
      </c>
      <c r="G625" t="s">
        <v>32</v>
      </c>
      <c r="H625" t="s">
        <v>21</v>
      </c>
      <c r="I625">
        <v>733695</v>
      </c>
      <c r="J625">
        <v>160459</v>
      </c>
      <c r="K625">
        <v>573236</v>
      </c>
      <c r="L625">
        <v>223400</v>
      </c>
      <c r="M625">
        <v>5800</v>
      </c>
      <c r="N625">
        <v>217600</v>
      </c>
    </row>
    <row r="626" spans="1:14" ht="14.4">
      <c r="A626">
        <v>13365</v>
      </c>
      <c r="B626">
        <v>13366</v>
      </c>
      <c r="C626">
        <v>4085</v>
      </c>
      <c r="D626" t="s">
        <v>18</v>
      </c>
      <c r="E626" t="s">
        <v>32</v>
      </c>
      <c r="F626">
        <v>10039</v>
      </c>
      <c r="G626" t="s">
        <v>32</v>
      </c>
      <c r="H626" t="s">
        <v>21</v>
      </c>
      <c r="I626">
        <v>116081</v>
      </c>
      <c r="J626">
        <v>0</v>
      </c>
      <c r="K626">
        <v>116081</v>
      </c>
      <c r="L626">
        <v>33000</v>
      </c>
      <c r="M626">
        <v>0</v>
      </c>
      <c r="N626">
        <v>33000</v>
      </c>
    </row>
    <row r="627" spans="1:14" ht="14.4">
      <c r="A627">
        <v>13365</v>
      </c>
      <c r="B627">
        <v>13366</v>
      </c>
      <c r="C627">
        <v>4085</v>
      </c>
      <c r="D627" t="s">
        <v>18</v>
      </c>
      <c r="E627" t="s">
        <v>32</v>
      </c>
      <c r="F627">
        <v>10040</v>
      </c>
      <c r="G627" t="s">
        <v>32</v>
      </c>
      <c r="H627" t="s">
        <v>21</v>
      </c>
      <c r="I627">
        <v>5300</v>
      </c>
      <c r="J627">
        <v>0</v>
      </c>
      <c r="K627">
        <v>5300</v>
      </c>
      <c r="L627">
        <v>5300</v>
      </c>
      <c r="M627">
        <v>0</v>
      </c>
      <c r="N627">
        <v>5300</v>
      </c>
    </row>
    <row r="628" spans="1:14" ht="14.4">
      <c r="A628">
        <v>13365</v>
      </c>
      <c r="B628">
        <v>13366</v>
      </c>
      <c r="C628">
        <v>4085</v>
      </c>
      <c r="D628" t="s">
        <v>18</v>
      </c>
      <c r="E628" t="s">
        <v>32</v>
      </c>
      <c r="F628">
        <v>10041</v>
      </c>
      <c r="G628" t="s">
        <v>32</v>
      </c>
      <c r="H628" t="s">
        <v>21</v>
      </c>
      <c r="I628">
        <v>24825</v>
      </c>
      <c r="J628">
        <v>0</v>
      </c>
      <c r="K628">
        <v>24825</v>
      </c>
      <c r="L628">
        <v>6300</v>
      </c>
      <c r="M628">
        <v>0</v>
      </c>
      <c r="N628">
        <v>6300</v>
      </c>
    </row>
    <row r="629" spans="1:14" ht="14.4">
      <c r="A629">
        <v>13365</v>
      </c>
      <c r="B629">
        <v>13366</v>
      </c>
      <c r="C629">
        <v>4085</v>
      </c>
      <c r="D629" t="s">
        <v>18</v>
      </c>
      <c r="E629" t="s">
        <v>32</v>
      </c>
      <c r="F629">
        <v>10065</v>
      </c>
      <c r="G629" t="s">
        <v>32</v>
      </c>
      <c r="H629" t="s">
        <v>21</v>
      </c>
      <c r="I629">
        <v>2125</v>
      </c>
      <c r="J629">
        <v>0</v>
      </c>
      <c r="K629">
        <v>2125</v>
      </c>
      <c r="L629">
        <v>0</v>
      </c>
      <c r="M629">
        <v>0</v>
      </c>
      <c r="N629">
        <v>0</v>
      </c>
    </row>
    <row r="630" spans="1:14" ht="14.4">
      <c r="A630">
        <v>13365</v>
      </c>
      <c r="B630">
        <v>13366</v>
      </c>
      <c r="C630">
        <v>4085</v>
      </c>
      <c r="D630" t="s">
        <v>18</v>
      </c>
      <c r="E630" t="s">
        <v>32</v>
      </c>
      <c r="F630">
        <v>10075</v>
      </c>
      <c r="G630" t="s">
        <v>32</v>
      </c>
      <c r="H630" t="s">
        <v>21</v>
      </c>
      <c r="I630">
        <v>88200</v>
      </c>
      <c r="J630">
        <v>0</v>
      </c>
      <c r="K630">
        <v>88200</v>
      </c>
      <c r="L630">
        <v>26000</v>
      </c>
      <c r="M630">
        <v>0</v>
      </c>
      <c r="N630">
        <v>26000</v>
      </c>
    </row>
    <row r="631" spans="1:14" ht="14.4">
      <c r="A631">
        <v>13365</v>
      </c>
      <c r="B631">
        <v>13366</v>
      </c>
      <c r="C631">
        <v>4085</v>
      </c>
      <c r="D631" t="s">
        <v>18</v>
      </c>
      <c r="E631" t="s">
        <v>32</v>
      </c>
      <c r="F631">
        <v>10128</v>
      </c>
      <c r="G631" t="s">
        <v>32</v>
      </c>
      <c r="H631" t="s">
        <v>21</v>
      </c>
      <c r="I631">
        <v>143853</v>
      </c>
      <c r="J631">
        <v>6038</v>
      </c>
      <c r="K631">
        <v>137815</v>
      </c>
      <c r="L631">
        <v>52600</v>
      </c>
      <c r="M631">
        <v>0</v>
      </c>
      <c r="N631">
        <v>52600</v>
      </c>
    </row>
    <row r="632" spans="1:14" ht="14.4">
      <c r="A632">
        <v>13365</v>
      </c>
      <c r="B632">
        <v>13366</v>
      </c>
      <c r="C632">
        <v>4085</v>
      </c>
      <c r="D632" t="s">
        <v>18</v>
      </c>
      <c r="E632" t="s">
        <v>32</v>
      </c>
      <c r="F632">
        <v>10280</v>
      </c>
      <c r="G632" t="s">
        <v>32</v>
      </c>
      <c r="H632" t="s">
        <v>21</v>
      </c>
      <c r="I632">
        <v>29500</v>
      </c>
      <c r="J632">
        <v>0</v>
      </c>
      <c r="K632">
        <v>29500</v>
      </c>
      <c r="L632">
        <v>5500</v>
      </c>
      <c r="M632">
        <v>0</v>
      </c>
      <c r="N632">
        <v>5500</v>
      </c>
    </row>
    <row r="633" spans="1:14" ht="14.4">
      <c r="A633">
        <v>13365</v>
      </c>
      <c r="B633">
        <v>13366</v>
      </c>
      <c r="C633">
        <v>4085</v>
      </c>
      <c r="D633" t="s">
        <v>18</v>
      </c>
      <c r="E633" t="s">
        <v>32</v>
      </c>
      <c r="F633">
        <v>10286</v>
      </c>
      <c r="G633" t="s">
        <v>32</v>
      </c>
      <c r="H633" t="s">
        <v>21</v>
      </c>
      <c r="I633">
        <v>4400</v>
      </c>
      <c r="J633">
        <v>0</v>
      </c>
      <c r="K633">
        <v>4400</v>
      </c>
      <c r="L633">
        <v>4400</v>
      </c>
      <c r="M633">
        <v>0</v>
      </c>
      <c r="N633">
        <v>4400</v>
      </c>
    </row>
    <row r="634" spans="1:14" ht="14.4">
      <c r="A634">
        <v>13365</v>
      </c>
      <c r="B634">
        <v>13366</v>
      </c>
      <c r="C634">
        <v>4085</v>
      </c>
      <c r="D634" t="s">
        <v>18</v>
      </c>
      <c r="E634" t="s">
        <v>32</v>
      </c>
      <c r="F634">
        <v>10306</v>
      </c>
      <c r="G634" t="s">
        <v>71</v>
      </c>
      <c r="H634" t="s">
        <v>21</v>
      </c>
      <c r="I634">
        <v>250613</v>
      </c>
      <c r="J634">
        <v>159533</v>
      </c>
      <c r="K634">
        <v>91080</v>
      </c>
      <c r="L634">
        <v>136600</v>
      </c>
      <c r="M634">
        <v>77200</v>
      </c>
      <c r="N634">
        <v>59400</v>
      </c>
    </row>
    <row r="635" spans="1:14" ht="14.4">
      <c r="A635">
        <v>13365</v>
      </c>
      <c r="B635">
        <v>13366</v>
      </c>
      <c r="C635">
        <v>4085</v>
      </c>
      <c r="D635" t="s">
        <v>18</v>
      </c>
      <c r="E635" t="s">
        <v>32</v>
      </c>
      <c r="F635">
        <v>10464</v>
      </c>
      <c r="G635" t="s">
        <v>61</v>
      </c>
      <c r="H635" t="s">
        <v>21</v>
      </c>
      <c r="I635">
        <v>26700</v>
      </c>
      <c r="J635">
        <v>0</v>
      </c>
      <c r="K635">
        <v>26700</v>
      </c>
      <c r="L635">
        <v>26700</v>
      </c>
      <c r="M635">
        <v>0</v>
      </c>
      <c r="N635">
        <v>26700</v>
      </c>
    </row>
    <row r="636" spans="1:14" ht="14.4">
      <c r="A636">
        <v>13365</v>
      </c>
      <c r="B636">
        <v>13366</v>
      </c>
      <c r="C636">
        <v>4085</v>
      </c>
      <c r="D636" t="s">
        <v>18</v>
      </c>
      <c r="E636" t="s">
        <v>32</v>
      </c>
      <c r="F636">
        <v>10465</v>
      </c>
      <c r="G636" t="s">
        <v>61</v>
      </c>
      <c r="H636" t="s">
        <v>21</v>
      </c>
      <c r="I636">
        <v>82061</v>
      </c>
      <c r="J636">
        <v>64561</v>
      </c>
      <c r="K636">
        <v>17500</v>
      </c>
      <c r="L636">
        <v>52000</v>
      </c>
      <c r="M636">
        <v>36800</v>
      </c>
      <c r="N636">
        <v>15200</v>
      </c>
    </row>
    <row r="637" spans="1:14" ht="14.4">
      <c r="A637">
        <v>13365</v>
      </c>
      <c r="B637">
        <v>13366</v>
      </c>
      <c r="C637">
        <v>4085</v>
      </c>
      <c r="D637" t="s">
        <v>18</v>
      </c>
      <c r="E637" t="s">
        <v>32</v>
      </c>
      <c r="F637">
        <v>11209</v>
      </c>
      <c r="G637" t="s">
        <v>43</v>
      </c>
      <c r="H637" t="s">
        <v>21</v>
      </c>
      <c r="I637">
        <v>2000</v>
      </c>
      <c r="J637">
        <v>0</v>
      </c>
      <c r="K637">
        <v>2000</v>
      </c>
      <c r="L637">
        <v>0</v>
      </c>
      <c r="M637">
        <v>0</v>
      </c>
      <c r="N637">
        <v>0</v>
      </c>
    </row>
    <row r="638" spans="1:14" ht="14.4">
      <c r="A638">
        <v>13365</v>
      </c>
      <c r="B638">
        <v>13366</v>
      </c>
      <c r="C638">
        <v>4085</v>
      </c>
      <c r="D638" t="s">
        <v>18</v>
      </c>
      <c r="E638" t="s">
        <v>32</v>
      </c>
      <c r="F638">
        <v>11224</v>
      </c>
      <c r="G638" t="s">
        <v>43</v>
      </c>
      <c r="H638" t="s">
        <v>21</v>
      </c>
      <c r="I638">
        <v>26850</v>
      </c>
      <c r="J638">
        <v>0</v>
      </c>
      <c r="K638">
        <v>26850</v>
      </c>
      <c r="L638">
        <v>16000</v>
      </c>
      <c r="M638">
        <v>0</v>
      </c>
      <c r="N638">
        <v>16000</v>
      </c>
    </row>
    <row r="639" spans="1:14" ht="14.4">
      <c r="A639">
        <v>13365</v>
      </c>
      <c r="B639">
        <v>13366</v>
      </c>
      <c r="C639">
        <v>4085</v>
      </c>
      <c r="D639" t="s">
        <v>18</v>
      </c>
      <c r="E639" t="s">
        <v>32</v>
      </c>
      <c r="F639">
        <v>11234</v>
      </c>
      <c r="G639" t="s">
        <v>43</v>
      </c>
      <c r="H639" t="s">
        <v>21</v>
      </c>
      <c r="I639">
        <v>22700</v>
      </c>
      <c r="J639">
        <v>0</v>
      </c>
      <c r="K639">
        <v>22700</v>
      </c>
      <c r="L639">
        <v>22700</v>
      </c>
      <c r="M639">
        <v>0</v>
      </c>
      <c r="N639">
        <v>22700</v>
      </c>
    </row>
    <row r="640" spans="1:14" ht="14.4">
      <c r="A640">
        <v>13365</v>
      </c>
      <c r="B640">
        <v>13366</v>
      </c>
      <c r="C640">
        <v>4085</v>
      </c>
      <c r="D640" t="s">
        <v>18</v>
      </c>
      <c r="E640" t="s">
        <v>32</v>
      </c>
      <c r="F640">
        <v>11414</v>
      </c>
      <c r="G640" t="s">
        <v>28</v>
      </c>
      <c r="H640" t="s">
        <v>21</v>
      </c>
      <c r="I640">
        <v>489196</v>
      </c>
      <c r="J640">
        <v>338021</v>
      </c>
      <c r="K640">
        <v>151175</v>
      </c>
      <c r="L640">
        <v>129200</v>
      </c>
      <c r="M640">
        <v>80600</v>
      </c>
      <c r="N640">
        <v>48600</v>
      </c>
    </row>
    <row r="641" spans="1:14" ht="14.4">
      <c r="A641">
        <v>13365</v>
      </c>
      <c r="B641">
        <v>13366</v>
      </c>
      <c r="C641">
        <v>4085</v>
      </c>
      <c r="D641" t="s">
        <v>18</v>
      </c>
      <c r="E641" t="s">
        <v>32</v>
      </c>
      <c r="F641">
        <v>11516</v>
      </c>
      <c r="G641" t="s">
        <v>20</v>
      </c>
      <c r="H641" t="s">
        <v>21</v>
      </c>
      <c r="I641">
        <v>131405</v>
      </c>
      <c r="J641">
        <v>101755</v>
      </c>
      <c r="K641">
        <v>29650</v>
      </c>
      <c r="L641">
        <v>92500</v>
      </c>
      <c r="M641">
        <v>62800</v>
      </c>
      <c r="N641">
        <v>29700</v>
      </c>
    </row>
    <row r="642" spans="1:14" ht="14.4">
      <c r="A642">
        <v>13365</v>
      </c>
      <c r="B642">
        <v>13366</v>
      </c>
      <c r="C642">
        <v>4085</v>
      </c>
      <c r="D642" t="s">
        <v>18</v>
      </c>
      <c r="E642" t="s">
        <v>32</v>
      </c>
      <c r="F642">
        <v>11561</v>
      </c>
      <c r="G642" t="s">
        <v>20</v>
      </c>
      <c r="H642" t="s">
        <v>21</v>
      </c>
      <c r="I642">
        <v>48575</v>
      </c>
      <c r="J642">
        <v>0</v>
      </c>
      <c r="K642">
        <v>48575</v>
      </c>
      <c r="L642">
        <v>22600</v>
      </c>
      <c r="M642">
        <v>0</v>
      </c>
      <c r="N642">
        <v>22600</v>
      </c>
    </row>
    <row r="643" spans="1:14" ht="14.4">
      <c r="A643">
        <v>13365</v>
      </c>
      <c r="B643">
        <v>13366</v>
      </c>
      <c r="C643">
        <v>4085</v>
      </c>
      <c r="D643" t="s">
        <v>18</v>
      </c>
      <c r="E643" t="s">
        <v>32</v>
      </c>
      <c r="F643">
        <v>11691</v>
      </c>
      <c r="G643" t="s">
        <v>28</v>
      </c>
      <c r="H643" t="s">
        <v>21</v>
      </c>
      <c r="I643">
        <v>89891</v>
      </c>
      <c r="J643">
        <v>72516</v>
      </c>
      <c r="K643">
        <v>17375</v>
      </c>
      <c r="L643">
        <v>86600</v>
      </c>
      <c r="M643">
        <v>69300</v>
      </c>
      <c r="N643">
        <v>17300</v>
      </c>
    </row>
    <row r="644" spans="1:14" ht="14.4">
      <c r="A644">
        <v>13365</v>
      </c>
      <c r="B644">
        <v>13366</v>
      </c>
      <c r="C644">
        <v>4085</v>
      </c>
      <c r="D644" t="s">
        <v>18</v>
      </c>
      <c r="E644" t="s">
        <v>32</v>
      </c>
      <c r="F644">
        <v>11693</v>
      </c>
      <c r="G644" t="s">
        <v>43</v>
      </c>
      <c r="H644" t="s">
        <v>21</v>
      </c>
      <c r="I644">
        <v>42170</v>
      </c>
      <c r="J644">
        <v>0</v>
      </c>
      <c r="K644">
        <v>42170</v>
      </c>
      <c r="L644">
        <v>0</v>
      </c>
      <c r="M644">
        <v>0</v>
      </c>
      <c r="N644">
        <v>0</v>
      </c>
    </row>
    <row r="645" spans="1:14" ht="14.4">
      <c r="A645">
        <v>13365</v>
      </c>
      <c r="B645">
        <v>13366</v>
      </c>
      <c r="C645">
        <v>4085</v>
      </c>
      <c r="D645" t="s">
        <v>18</v>
      </c>
      <c r="E645" t="s">
        <v>32</v>
      </c>
      <c r="F645">
        <v>11693</v>
      </c>
      <c r="G645" t="s">
        <v>28</v>
      </c>
      <c r="H645" t="s">
        <v>21</v>
      </c>
      <c r="I645">
        <v>107893</v>
      </c>
      <c r="J645">
        <v>66538</v>
      </c>
      <c r="K645">
        <v>41355</v>
      </c>
      <c r="L645">
        <v>14000</v>
      </c>
      <c r="M645">
        <v>0</v>
      </c>
      <c r="N645">
        <v>14000</v>
      </c>
    </row>
    <row r="646" spans="1:14" ht="14.4">
      <c r="A646">
        <v>13365</v>
      </c>
      <c r="B646">
        <v>13366</v>
      </c>
      <c r="C646">
        <v>4085</v>
      </c>
      <c r="D646" t="s">
        <v>18</v>
      </c>
      <c r="E646" t="s">
        <v>32</v>
      </c>
      <c r="F646">
        <v>11694</v>
      </c>
      <c r="G646" t="s">
        <v>28</v>
      </c>
      <c r="H646" t="s">
        <v>21</v>
      </c>
      <c r="I646">
        <v>108747</v>
      </c>
      <c r="J646">
        <v>19197</v>
      </c>
      <c r="K646">
        <v>89550</v>
      </c>
      <c r="L646">
        <v>89600</v>
      </c>
      <c r="M646">
        <v>400</v>
      </c>
      <c r="N646">
        <v>89200</v>
      </c>
    </row>
    <row r="647" spans="1:14" ht="14.4">
      <c r="A647">
        <v>13365</v>
      </c>
      <c r="B647">
        <v>13366</v>
      </c>
      <c r="C647">
        <v>4085</v>
      </c>
      <c r="D647" t="s">
        <v>18</v>
      </c>
      <c r="E647" t="s">
        <v>32</v>
      </c>
      <c r="F647">
        <v>11697</v>
      </c>
      <c r="G647" t="s">
        <v>28</v>
      </c>
      <c r="H647" t="s">
        <v>21</v>
      </c>
      <c r="I647">
        <v>132674</v>
      </c>
      <c r="J647">
        <v>116499</v>
      </c>
      <c r="K647">
        <v>16175</v>
      </c>
      <c r="L647">
        <v>0</v>
      </c>
      <c r="M647">
        <v>0</v>
      </c>
      <c r="N647">
        <v>0</v>
      </c>
    </row>
    <row r="648" spans="1:14" ht="14.4">
      <c r="A648">
        <v>13365</v>
      </c>
      <c r="B648">
        <v>13366</v>
      </c>
      <c r="C648">
        <v>4085</v>
      </c>
      <c r="D648" t="s">
        <v>18</v>
      </c>
      <c r="E648" t="s">
        <v>247</v>
      </c>
      <c r="F648">
        <v>11693</v>
      </c>
      <c r="G648" t="s">
        <v>28</v>
      </c>
      <c r="H648" t="s">
        <v>21</v>
      </c>
      <c r="I648">
        <v>72154</v>
      </c>
      <c r="J648">
        <v>57704</v>
      </c>
      <c r="K648">
        <v>14450</v>
      </c>
      <c r="L648">
        <v>0</v>
      </c>
      <c r="M648">
        <v>0</v>
      </c>
      <c r="N648">
        <v>0</v>
      </c>
    </row>
    <row r="649" spans="1:14" ht="14.4">
      <c r="A649">
        <v>13365</v>
      </c>
      <c r="B649">
        <v>13366</v>
      </c>
      <c r="C649">
        <v>4085</v>
      </c>
      <c r="D649" t="s">
        <v>18</v>
      </c>
      <c r="E649" t="s">
        <v>247</v>
      </c>
      <c r="F649">
        <v>11694</v>
      </c>
      <c r="G649" t="s">
        <v>28</v>
      </c>
      <c r="H649" t="s">
        <v>21</v>
      </c>
      <c r="I649">
        <v>94214</v>
      </c>
      <c r="J649">
        <v>62639</v>
      </c>
      <c r="K649">
        <v>31575</v>
      </c>
      <c r="L649">
        <v>0</v>
      </c>
      <c r="M649">
        <v>0</v>
      </c>
      <c r="N649">
        <v>0</v>
      </c>
    </row>
    <row r="650" spans="1:14" ht="14.4">
      <c r="A650">
        <v>13365</v>
      </c>
      <c r="B650">
        <v>13366</v>
      </c>
      <c r="C650">
        <v>4085</v>
      </c>
      <c r="D650" t="s">
        <v>18</v>
      </c>
      <c r="E650" t="s">
        <v>248</v>
      </c>
      <c r="F650">
        <v>12550</v>
      </c>
      <c r="G650" t="s">
        <v>51</v>
      </c>
      <c r="H650" t="s">
        <v>21</v>
      </c>
      <c r="I650">
        <v>90708</v>
      </c>
      <c r="J650">
        <v>84533</v>
      </c>
      <c r="K650">
        <v>6175</v>
      </c>
      <c r="L650">
        <v>51400</v>
      </c>
      <c r="M650">
        <v>51400</v>
      </c>
      <c r="N650">
        <v>0</v>
      </c>
    </row>
    <row r="651" spans="1:14" ht="14.4">
      <c r="A651">
        <v>13365</v>
      </c>
      <c r="B651">
        <v>13366</v>
      </c>
      <c r="C651">
        <v>4085</v>
      </c>
      <c r="D651" t="s">
        <v>18</v>
      </c>
      <c r="E651" t="s">
        <v>249</v>
      </c>
      <c r="F651">
        <v>10009</v>
      </c>
      <c r="G651" t="s">
        <v>32</v>
      </c>
      <c r="H651" t="s">
        <v>21</v>
      </c>
      <c r="I651">
        <v>18380</v>
      </c>
      <c r="J651">
        <v>0</v>
      </c>
      <c r="K651">
        <v>18380</v>
      </c>
      <c r="L651">
        <v>0</v>
      </c>
      <c r="M651">
        <v>0</v>
      </c>
      <c r="N651">
        <v>0</v>
      </c>
    </row>
    <row r="652" spans="1:14" ht="14.4">
      <c r="A652">
        <v>13365</v>
      </c>
      <c r="B652">
        <v>13366</v>
      </c>
      <c r="C652">
        <v>4085</v>
      </c>
      <c r="D652" t="s">
        <v>18</v>
      </c>
      <c r="E652" t="s">
        <v>249</v>
      </c>
      <c r="F652">
        <v>11691</v>
      </c>
      <c r="G652" t="s">
        <v>28</v>
      </c>
      <c r="H652" t="s">
        <v>21</v>
      </c>
      <c r="I652">
        <v>90906</v>
      </c>
      <c r="J652">
        <v>30706</v>
      </c>
      <c r="K652">
        <v>60200</v>
      </c>
      <c r="L652">
        <v>0</v>
      </c>
      <c r="M652">
        <v>0</v>
      </c>
      <c r="N652">
        <v>0</v>
      </c>
    </row>
    <row r="653" spans="1:14" ht="14.4">
      <c r="A653">
        <v>13365</v>
      </c>
      <c r="B653">
        <v>13366</v>
      </c>
      <c r="C653">
        <v>4085</v>
      </c>
      <c r="D653" t="s">
        <v>18</v>
      </c>
      <c r="E653" t="s">
        <v>249</v>
      </c>
      <c r="F653">
        <v>11693</v>
      </c>
      <c r="G653" t="s">
        <v>28</v>
      </c>
      <c r="H653" t="s">
        <v>21</v>
      </c>
      <c r="I653">
        <v>28787</v>
      </c>
      <c r="J653">
        <v>0</v>
      </c>
      <c r="K653">
        <v>28787</v>
      </c>
      <c r="L653">
        <v>17400</v>
      </c>
      <c r="M653">
        <v>0</v>
      </c>
      <c r="N653">
        <v>17400</v>
      </c>
    </row>
    <row r="654" spans="1:14" ht="14.4">
      <c r="A654">
        <v>13365</v>
      </c>
      <c r="B654">
        <v>13366</v>
      </c>
      <c r="C654">
        <v>4085</v>
      </c>
      <c r="D654" t="s">
        <v>18</v>
      </c>
      <c r="E654" t="s">
        <v>250</v>
      </c>
      <c r="F654">
        <v>11703</v>
      </c>
      <c r="G654" t="s">
        <v>23</v>
      </c>
      <c r="H654" t="s">
        <v>21</v>
      </c>
      <c r="I654">
        <v>253960</v>
      </c>
      <c r="J654">
        <v>247205</v>
      </c>
      <c r="K654">
        <v>6755</v>
      </c>
      <c r="L654">
        <v>120200</v>
      </c>
      <c r="M654">
        <v>119300</v>
      </c>
      <c r="N654">
        <v>900</v>
      </c>
    </row>
    <row r="655" spans="1:14" ht="14.4">
      <c r="A655">
        <v>13365</v>
      </c>
      <c r="B655">
        <v>13366</v>
      </c>
      <c r="C655">
        <v>4085</v>
      </c>
      <c r="D655" t="s">
        <v>18</v>
      </c>
      <c r="E655" t="s">
        <v>250</v>
      </c>
      <c r="F655">
        <v>11704</v>
      </c>
      <c r="G655" t="s">
        <v>23</v>
      </c>
      <c r="H655" t="s">
        <v>21</v>
      </c>
      <c r="I655">
        <v>23779</v>
      </c>
      <c r="J655">
        <v>23779</v>
      </c>
      <c r="K655">
        <v>0</v>
      </c>
      <c r="L655">
        <v>9400</v>
      </c>
      <c r="M655">
        <v>9400</v>
      </c>
      <c r="N655">
        <v>0</v>
      </c>
    </row>
    <row r="656" spans="1:14" ht="14.4">
      <c r="A656">
        <v>13365</v>
      </c>
      <c r="B656">
        <v>13366</v>
      </c>
      <c r="C656">
        <v>4085</v>
      </c>
      <c r="D656" t="s">
        <v>18</v>
      </c>
      <c r="E656" t="s">
        <v>251</v>
      </c>
      <c r="F656">
        <v>11510</v>
      </c>
      <c r="G656" t="s">
        <v>20</v>
      </c>
      <c r="H656" t="s">
        <v>21</v>
      </c>
      <c r="I656">
        <v>367128</v>
      </c>
      <c r="J656">
        <v>313878</v>
      </c>
      <c r="K656">
        <v>53250</v>
      </c>
      <c r="L656">
        <v>170800</v>
      </c>
      <c r="M656">
        <v>149000</v>
      </c>
      <c r="N656">
        <v>21800</v>
      </c>
    </row>
    <row r="657" spans="1:14" ht="14.4">
      <c r="A657">
        <v>13365</v>
      </c>
      <c r="B657">
        <v>13366</v>
      </c>
      <c r="C657">
        <v>4085</v>
      </c>
      <c r="D657" t="s">
        <v>18</v>
      </c>
      <c r="E657" t="s">
        <v>252</v>
      </c>
      <c r="F657">
        <v>11710</v>
      </c>
      <c r="G657" t="s">
        <v>20</v>
      </c>
      <c r="H657" t="s">
        <v>21</v>
      </c>
      <c r="I657">
        <v>120239</v>
      </c>
      <c r="J657">
        <v>114989</v>
      </c>
      <c r="K657">
        <v>5250</v>
      </c>
      <c r="L657">
        <v>0</v>
      </c>
      <c r="M657">
        <v>0</v>
      </c>
      <c r="N657">
        <v>0</v>
      </c>
    </row>
    <row r="658" spans="1:14" ht="14.4">
      <c r="A658">
        <v>13365</v>
      </c>
      <c r="B658">
        <v>13366</v>
      </c>
      <c r="C658">
        <v>4085</v>
      </c>
      <c r="D658" t="s">
        <v>18</v>
      </c>
      <c r="E658" t="s">
        <v>1302</v>
      </c>
      <c r="F658">
        <v>11758</v>
      </c>
      <c r="G658" t="s">
        <v>20</v>
      </c>
      <c r="H658" t="s">
        <v>21</v>
      </c>
      <c r="I658">
        <v>104359</v>
      </c>
      <c r="J658">
        <v>90569</v>
      </c>
      <c r="K658">
        <v>13790</v>
      </c>
      <c r="L658">
        <v>72300</v>
      </c>
      <c r="M658">
        <v>58500</v>
      </c>
      <c r="N658">
        <v>13800</v>
      </c>
    </row>
    <row r="659" spans="1:14" ht="14.4">
      <c r="A659">
        <v>13365</v>
      </c>
      <c r="B659">
        <v>13366</v>
      </c>
      <c r="C659">
        <v>4085</v>
      </c>
      <c r="D659" t="s">
        <v>18</v>
      </c>
      <c r="E659" t="s">
        <v>253</v>
      </c>
      <c r="F659">
        <v>11566</v>
      </c>
      <c r="G659" t="s">
        <v>20</v>
      </c>
      <c r="H659" t="s">
        <v>21</v>
      </c>
      <c r="I659">
        <v>21173</v>
      </c>
      <c r="J659">
        <v>21173</v>
      </c>
      <c r="K659">
        <v>0</v>
      </c>
      <c r="L659">
        <v>21100</v>
      </c>
      <c r="M659">
        <v>21100</v>
      </c>
      <c r="N659">
        <v>0</v>
      </c>
    </row>
    <row r="660" spans="1:14" ht="14.4">
      <c r="A660">
        <v>13365</v>
      </c>
      <c r="B660">
        <v>13366</v>
      </c>
      <c r="C660">
        <v>4085</v>
      </c>
      <c r="D660" t="s">
        <v>18</v>
      </c>
      <c r="E660" t="s">
        <v>254</v>
      </c>
      <c r="F660">
        <v>10560</v>
      </c>
      <c r="G660" t="s">
        <v>64</v>
      </c>
      <c r="H660" t="s">
        <v>21</v>
      </c>
      <c r="I660">
        <v>127544</v>
      </c>
      <c r="J660">
        <v>121294</v>
      </c>
      <c r="K660">
        <v>6250</v>
      </c>
      <c r="L660">
        <v>0</v>
      </c>
      <c r="M660">
        <v>0</v>
      </c>
      <c r="N660">
        <v>0</v>
      </c>
    </row>
    <row r="661" spans="1:14" ht="14.4">
      <c r="A661">
        <v>13365</v>
      </c>
      <c r="B661">
        <v>13366</v>
      </c>
      <c r="C661">
        <v>4085</v>
      </c>
      <c r="D661" t="s">
        <v>18</v>
      </c>
      <c r="E661" t="s">
        <v>255</v>
      </c>
      <c r="F661">
        <v>11581</v>
      </c>
      <c r="G661" t="s">
        <v>20</v>
      </c>
      <c r="H661" t="s">
        <v>21</v>
      </c>
      <c r="I661">
        <v>1848233</v>
      </c>
      <c r="J661">
        <v>1275021</v>
      </c>
      <c r="K661">
        <v>573212</v>
      </c>
      <c r="L661">
        <v>536100</v>
      </c>
      <c r="M661">
        <v>365500</v>
      </c>
      <c r="N661">
        <v>170600</v>
      </c>
    </row>
    <row r="662" spans="1:14" ht="14.4">
      <c r="A662">
        <v>13365</v>
      </c>
      <c r="B662">
        <v>13366</v>
      </c>
      <c r="C662">
        <v>4085</v>
      </c>
      <c r="D662" t="s">
        <v>18</v>
      </c>
      <c r="E662" t="s">
        <v>256</v>
      </c>
      <c r="F662">
        <v>11768</v>
      </c>
      <c r="G662" t="s">
        <v>23</v>
      </c>
      <c r="H662" t="s">
        <v>21</v>
      </c>
      <c r="I662">
        <v>3856635</v>
      </c>
      <c r="J662">
        <v>3038511</v>
      </c>
      <c r="K662">
        <v>818124</v>
      </c>
      <c r="L662">
        <v>1492100</v>
      </c>
      <c r="M662">
        <v>1265200</v>
      </c>
      <c r="N662">
        <v>226900</v>
      </c>
    </row>
    <row r="663" spans="1:14" ht="14.4">
      <c r="A663">
        <v>13365</v>
      </c>
      <c r="B663">
        <v>13366</v>
      </c>
      <c r="C663">
        <v>4085</v>
      </c>
      <c r="D663" t="s">
        <v>18</v>
      </c>
      <c r="E663" t="s">
        <v>21</v>
      </c>
      <c r="F663">
        <v>10002</v>
      </c>
      <c r="G663" t="s">
        <v>32</v>
      </c>
      <c r="H663" t="s">
        <v>21</v>
      </c>
      <c r="I663">
        <v>2880</v>
      </c>
      <c r="J663">
        <v>0</v>
      </c>
      <c r="K663">
        <v>2880</v>
      </c>
      <c r="L663">
        <v>0</v>
      </c>
      <c r="M663">
        <v>0</v>
      </c>
      <c r="N663">
        <v>0</v>
      </c>
    </row>
    <row r="664" spans="1:14" ht="14.4">
      <c r="A664">
        <v>13365</v>
      </c>
      <c r="B664">
        <v>13366</v>
      </c>
      <c r="C664">
        <v>4085</v>
      </c>
      <c r="D664" t="s">
        <v>18</v>
      </c>
      <c r="E664" t="s">
        <v>21</v>
      </c>
      <c r="F664">
        <v>10009</v>
      </c>
      <c r="G664" t="s">
        <v>32</v>
      </c>
      <c r="H664" t="s">
        <v>21</v>
      </c>
      <c r="I664">
        <v>20000</v>
      </c>
      <c r="J664">
        <v>0</v>
      </c>
      <c r="K664">
        <v>20000</v>
      </c>
      <c r="L664">
        <v>0</v>
      </c>
      <c r="M664">
        <v>0</v>
      </c>
      <c r="N664">
        <v>0</v>
      </c>
    </row>
    <row r="665" spans="1:14" ht="14.4">
      <c r="A665">
        <v>13365</v>
      </c>
      <c r="B665">
        <v>13366</v>
      </c>
      <c r="C665">
        <v>4085</v>
      </c>
      <c r="D665" t="s">
        <v>18</v>
      </c>
      <c r="E665" t="s">
        <v>21</v>
      </c>
      <c r="F665">
        <v>10011</v>
      </c>
      <c r="G665" t="s">
        <v>32</v>
      </c>
      <c r="H665" t="s">
        <v>21</v>
      </c>
      <c r="I665">
        <v>500</v>
      </c>
      <c r="J665">
        <v>0</v>
      </c>
      <c r="K665">
        <v>500</v>
      </c>
      <c r="L665">
        <v>0</v>
      </c>
      <c r="M665">
        <v>0</v>
      </c>
      <c r="N665">
        <v>0</v>
      </c>
    </row>
    <row r="666" spans="1:14" ht="14.4">
      <c r="A666">
        <v>13365</v>
      </c>
      <c r="B666">
        <v>13366</v>
      </c>
      <c r="C666">
        <v>4085</v>
      </c>
      <c r="D666" t="s">
        <v>18</v>
      </c>
      <c r="E666" t="s">
        <v>21</v>
      </c>
      <c r="F666">
        <v>10018</v>
      </c>
      <c r="G666" t="s">
        <v>32</v>
      </c>
      <c r="H666" t="s">
        <v>21</v>
      </c>
      <c r="I666">
        <v>3700</v>
      </c>
      <c r="J666">
        <v>0</v>
      </c>
      <c r="K666">
        <v>3700</v>
      </c>
      <c r="L666">
        <v>0</v>
      </c>
      <c r="M666">
        <v>0</v>
      </c>
      <c r="N666">
        <v>0</v>
      </c>
    </row>
    <row r="667" spans="1:14" ht="14.4">
      <c r="A667">
        <v>13365</v>
      </c>
      <c r="B667">
        <v>13366</v>
      </c>
      <c r="C667">
        <v>4085</v>
      </c>
      <c r="D667" t="s">
        <v>18</v>
      </c>
      <c r="E667" t="s">
        <v>21</v>
      </c>
      <c r="F667">
        <v>10029</v>
      </c>
      <c r="G667" t="s">
        <v>32</v>
      </c>
      <c r="H667" t="s">
        <v>21</v>
      </c>
      <c r="I667">
        <v>5225</v>
      </c>
      <c r="J667">
        <v>0</v>
      </c>
      <c r="K667">
        <v>5225</v>
      </c>
      <c r="L667">
        <v>0</v>
      </c>
      <c r="M667">
        <v>0</v>
      </c>
      <c r="N667">
        <v>0</v>
      </c>
    </row>
    <row r="668" spans="1:14" ht="14.4">
      <c r="A668">
        <v>13365</v>
      </c>
      <c r="B668">
        <v>13366</v>
      </c>
      <c r="C668">
        <v>4085</v>
      </c>
      <c r="D668" t="s">
        <v>18</v>
      </c>
      <c r="E668" t="s">
        <v>21</v>
      </c>
      <c r="F668">
        <v>10038</v>
      </c>
      <c r="G668" t="s">
        <v>32</v>
      </c>
      <c r="H668" t="s">
        <v>21</v>
      </c>
      <c r="I668">
        <v>12750</v>
      </c>
      <c r="J668">
        <v>0</v>
      </c>
      <c r="K668">
        <v>12750</v>
      </c>
      <c r="L668">
        <v>8500</v>
      </c>
      <c r="M668">
        <v>0</v>
      </c>
      <c r="N668">
        <v>8500</v>
      </c>
    </row>
    <row r="669" spans="1:14" ht="14.4">
      <c r="A669">
        <v>13365</v>
      </c>
      <c r="B669">
        <v>13366</v>
      </c>
      <c r="C669">
        <v>4085</v>
      </c>
      <c r="D669" t="s">
        <v>18</v>
      </c>
      <c r="E669" t="s">
        <v>21</v>
      </c>
      <c r="F669">
        <v>10041</v>
      </c>
      <c r="G669" t="s">
        <v>32</v>
      </c>
      <c r="H669" t="s">
        <v>21</v>
      </c>
      <c r="I669">
        <v>24825</v>
      </c>
      <c r="J669">
        <v>0</v>
      </c>
      <c r="K669">
        <v>24825</v>
      </c>
      <c r="L669">
        <v>2000</v>
      </c>
      <c r="M669">
        <v>0</v>
      </c>
      <c r="N669">
        <v>2000</v>
      </c>
    </row>
    <row r="670" spans="1:14" ht="14.4">
      <c r="A670">
        <v>13365</v>
      </c>
      <c r="B670">
        <v>13366</v>
      </c>
      <c r="C670">
        <v>4085</v>
      </c>
      <c r="D670" t="s">
        <v>18</v>
      </c>
      <c r="E670" t="s">
        <v>21</v>
      </c>
      <c r="F670">
        <v>10075</v>
      </c>
      <c r="G670" t="s">
        <v>32</v>
      </c>
      <c r="H670" t="s">
        <v>21</v>
      </c>
      <c r="I670">
        <v>32175</v>
      </c>
      <c r="J670">
        <v>0</v>
      </c>
      <c r="K670">
        <v>32175</v>
      </c>
      <c r="L670">
        <v>32200</v>
      </c>
      <c r="M670">
        <v>0</v>
      </c>
      <c r="N670">
        <v>32200</v>
      </c>
    </row>
    <row r="671" spans="1:14" ht="14.4">
      <c r="A671">
        <v>13365</v>
      </c>
      <c r="B671">
        <v>13366</v>
      </c>
      <c r="C671">
        <v>4085</v>
      </c>
      <c r="D671" t="s">
        <v>18</v>
      </c>
      <c r="E671" t="s">
        <v>21</v>
      </c>
      <c r="F671">
        <v>10469</v>
      </c>
      <c r="G671" t="s">
        <v>61</v>
      </c>
      <c r="H671" t="s">
        <v>21</v>
      </c>
      <c r="I671">
        <v>22651</v>
      </c>
      <c r="J671">
        <v>21301</v>
      </c>
      <c r="K671">
        <v>1350</v>
      </c>
      <c r="L671">
        <v>0</v>
      </c>
      <c r="M671">
        <v>0</v>
      </c>
      <c r="N671">
        <v>0</v>
      </c>
    </row>
    <row r="672" spans="1:14" ht="14.4">
      <c r="A672">
        <v>13365</v>
      </c>
      <c r="B672">
        <v>13366</v>
      </c>
      <c r="C672">
        <v>4085</v>
      </c>
      <c r="D672" t="s">
        <v>18</v>
      </c>
      <c r="E672" t="s">
        <v>257</v>
      </c>
      <c r="F672">
        <v>10960</v>
      </c>
      <c r="G672" t="s">
        <v>85</v>
      </c>
      <c r="H672" t="s">
        <v>21</v>
      </c>
      <c r="I672">
        <v>1695813</v>
      </c>
      <c r="J672">
        <v>1330718</v>
      </c>
      <c r="K672">
        <v>365095</v>
      </c>
      <c r="L672">
        <v>814400</v>
      </c>
      <c r="M672">
        <v>646500</v>
      </c>
      <c r="N672">
        <v>167900</v>
      </c>
    </row>
    <row r="673" spans="1:14" ht="14.4">
      <c r="A673">
        <v>13365</v>
      </c>
      <c r="B673">
        <v>13366</v>
      </c>
      <c r="C673">
        <v>4085</v>
      </c>
      <c r="D673" t="s">
        <v>18</v>
      </c>
      <c r="E673" t="s">
        <v>258</v>
      </c>
      <c r="F673">
        <v>10001</v>
      </c>
      <c r="G673" t="s">
        <v>32</v>
      </c>
      <c r="H673" t="s">
        <v>21</v>
      </c>
      <c r="I673">
        <v>11175</v>
      </c>
      <c r="J673">
        <v>0</v>
      </c>
      <c r="K673">
        <v>11175</v>
      </c>
      <c r="L673">
        <v>11200</v>
      </c>
      <c r="M673">
        <v>0</v>
      </c>
      <c r="N673">
        <v>11200</v>
      </c>
    </row>
    <row r="674" spans="1:14" ht="14.4">
      <c r="A674">
        <v>13365</v>
      </c>
      <c r="B674">
        <v>13366</v>
      </c>
      <c r="C674">
        <v>4085</v>
      </c>
      <c r="D674" t="s">
        <v>18</v>
      </c>
      <c r="E674" t="s">
        <v>258</v>
      </c>
      <c r="F674">
        <v>10002</v>
      </c>
      <c r="G674" t="s">
        <v>32</v>
      </c>
      <c r="H674" t="s">
        <v>21</v>
      </c>
      <c r="I674">
        <v>7100</v>
      </c>
      <c r="J674">
        <v>0</v>
      </c>
      <c r="K674">
        <v>7100</v>
      </c>
      <c r="L674">
        <v>7100</v>
      </c>
      <c r="M674">
        <v>0</v>
      </c>
      <c r="N674">
        <v>7100</v>
      </c>
    </row>
    <row r="675" spans="1:14" ht="14.4">
      <c r="A675">
        <v>13365</v>
      </c>
      <c r="B675">
        <v>13366</v>
      </c>
      <c r="C675">
        <v>4085</v>
      </c>
      <c r="D675" t="s">
        <v>18</v>
      </c>
      <c r="E675" t="s">
        <v>258</v>
      </c>
      <c r="F675">
        <v>10016</v>
      </c>
      <c r="G675" t="s">
        <v>32</v>
      </c>
      <c r="H675" t="s">
        <v>21</v>
      </c>
      <c r="I675">
        <v>35200</v>
      </c>
      <c r="J675">
        <v>0</v>
      </c>
      <c r="K675">
        <v>35200</v>
      </c>
      <c r="L675">
        <v>0</v>
      </c>
      <c r="M675">
        <v>0</v>
      </c>
      <c r="N675">
        <v>0</v>
      </c>
    </row>
    <row r="676" spans="1:14" ht="14.4">
      <c r="A676">
        <v>13365</v>
      </c>
      <c r="B676">
        <v>13366</v>
      </c>
      <c r="C676">
        <v>4085</v>
      </c>
      <c r="D676" t="s">
        <v>18</v>
      </c>
      <c r="E676" t="s">
        <v>258</v>
      </c>
      <c r="F676">
        <v>10029</v>
      </c>
      <c r="G676" t="s">
        <v>32</v>
      </c>
      <c r="H676" t="s">
        <v>21</v>
      </c>
      <c r="I676">
        <v>16875</v>
      </c>
      <c r="J676">
        <v>0</v>
      </c>
      <c r="K676">
        <v>16875</v>
      </c>
      <c r="L676">
        <v>0</v>
      </c>
      <c r="M676">
        <v>0</v>
      </c>
      <c r="N676">
        <v>0</v>
      </c>
    </row>
    <row r="677" spans="1:14" ht="14.4">
      <c r="A677">
        <v>13365</v>
      </c>
      <c r="B677">
        <v>13366</v>
      </c>
      <c r="C677">
        <v>4085</v>
      </c>
      <c r="D677" t="s">
        <v>18</v>
      </c>
      <c r="E677" t="s">
        <v>258</v>
      </c>
      <c r="F677">
        <v>11229</v>
      </c>
      <c r="G677" t="s">
        <v>32</v>
      </c>
      <c r="H677" t="s">
        <v>21</v>
      </c>
      <c r="I677">
        <v>162556</v>
      </c>
      <c r="J677">
        <v>125756</v>
      </c>
      <c r="K677">
        <v>36800</v>
      </c>
      <c r="L677">
        <v>114200</v>
      </c>
      <c r="M677">
        <v>79400</v>
      </c>
      <c r="N677">
        <v>34800</v>
      </c>
    </row>
    <row r="678" spans="1:14" ht="14.4">
      <c r="A678">
        <v>13365</v>
      </c>
      <c r="B678">
        <v>13366</v>
      </c>
      <c r="C678">
        <v>4085</v>
      </c>
      <c r="D678" t="s">
        <v>18</v>
      </c>
      <c r="E678" t="s">
        <v>259</v>
      </c>
      <c r="F678">
        <v>11702</v>
      </c>
      <c r="G678" t="s">
        <v>23</v>
      </c>
      <c r="H678" t="s">
        <v>21</v>
      </c>
      <c r="I678">
        <v>2122002</v>
      </c>
      <c r="J678">
        <v>1700973</v>
      </c>
      <c r="K678">
        <v>421029</v>
      </c>
      <c r="L678">
        <v>514800</v>
      </c>
      <c r="M678">
        <v>362700</v>
      </c>
      <c r="N678">
        <v>152100</v>
      </c>
    </row>
    <row r="679" spans="1:14" ht="14.4">
      <c r="A679">
        <v>13365</v>
      </c>
      <c r="B679">
        <v>13366</v>
      </c>
      <c r="C679">
        <v>4085</v>
      </c>
      <c r="D679" t="s">
        <v>18</v>
      </c>
      <c r="E679" t="s">
        <v>259</v>
      </c>
      <c r="F679">
        <v>11718</v>
      </c>
      <c r="G679" t="s">
        <v>23</v>
      </c>
      <c r="H679" t="s">
        <v>21</v>
      </c>
      <c r="I679">
        <v>17876</v>
      </c>
      <c r="J679">
        <v>14451</v>
      </c>
      <c r="K679">
        <v>3425</v>
      </c>
      <c r="L679">
        <v>0</v>
      </c>
      <c r="M679">
        <v>0</v>
      </c>
      <c r="N679">
        <v>0</v>
      </c>
    </row>
    <row r="680" spans="1:14" ht="14.4">
      <c r="A680">
        <v>13365</v>
      </c>
      <c r="B680">
        <v>13366</v>
      </c>
      <c r="C680">
        <v>4085</v>
      </c>
      <c r="D680" t="s">
        <v>18</v>
      </c>
      <c r="E680" t="s">
        <v>1303</v>
      </c>
      <c r="F680">
        <v>11702</v>
      </c>
      <c r="G680" t="s">
        <v>23</v>
      </c>
      <c r="H680" t="s">
        <v>21</v>
      </c>
      <c r="I680">
        <v>34796</v>
      </c>
      <c r="J680">
        <v>24596</v>
      </c>
      <c r="K680">
        <v>10200</v>
      </c>
      <c r="L680">
        <v>28100</v>
      </c>
      <c r="M680">
        <v>17900</v>
      </c>
      <c r="N680">
        <v>10200</v>
      </c>
    </row>
    <row r="681" spans="1:14" ht="14.4">
      <c r="A681">
        <v>13365</v>
      </c>
      <c r="B681">
        <v>13366</v>
      </c>
      <c r="C681">
        <v>4085</v>
      </c>
      <c r="D681" t="s">
        <v>18</v>
      </c>
      <c r="E681" t="s">
        <v>260</v>
      </c>
      <c r="F681">
        <v>11757</v>
      </c>
      <c r="G681" t="s">
        <v>23</v>
      </c>
      <c r="H681" t="s">
        <v>21</v>
      </c>
      <c r="I681">
        <v>112947</v>
      </c>
      <c r="J681">
        <v>107747</v>
      </c>
      <c r="K681">
        <v>5200</v>
      </c>
      <c r="L681">
        <v>0</v>
      </c>
      <c r="M681">
        <v>0</v>
      </c>
      <c r="N681">
        <v>0</v>
      </c>
    </row>
    <row r="682" spans="1:14" ht="14.4">
      <c r="A682">
        <v>13365</v>
      </c>
      <c r="B682">
        <v>13366</v>
      </c>
      <c r="C682">
        <v>4085</v>
      </c>
      <c r="D682" t="s">
        <v>18</v>
      </c>
      <c r="E682" t="s">
        <v>260</v>
      </c>
      <c r="F682">
        <v>11769</v>
      </c>
      <c r="G682" t="s">
        <v>23</v>
      </c>
      <c r="H682" t="s">
        <v>21</v>
      </c>
      <c r="I682">
        <v>19330232</v>
      </c>
      <c r="J682">
        <v>15210057</v>
      </c>
      <c r="K682">
        <v>4120175</v>
      </c>
      <c r="L682">
        <v>8302300</v>
      </c>
      <c r="M682">
        <v>6424200</v>
      </c>
      <c r="N682">
        <v>1878100</v>
      </c>
    </row>
    <row r="683" spans="1:14" ht="14.4">
      <c r="A683">
        <v>13365</v>
      </c>
      <c r="B683">
        <v>13366</v>
      </c>
      <c r="C683">
        <v>4085</v>
      </c>
      <c r="D683" t="s">
        <v>18</v>
      </c>
      <c r="E683" t="s">
        <v>261</v>
      </c>
      <c r="F683">
        <v>11364</v>
      </c>
      <c r="G683" t="s">
        <v>28</v>
      </c>
      <c r="H683" t="s">
        <v>21</v>
      </c>
      <c r="I683">
        <v>15180</v>
      </c>
      <c r="J683">
        <v>15180</v>
      </c>
      <c r="K683">
        <v>0</v>
      </c>
      <c r="L683">
        <v>10700</v>
      </c>
      <c r="M683">
        <v>10700</v>
      </c>
      <c r="N683">
        <v>0</v>
      </c>
    </row>
    <row r="684" spans="1:14" ht="14.4">
      <c r="A684">
        <v>13365</v>
      </c>
      <c r="B684">
        <v>13366</v>
      </c>
      <c r="C684">
        <v>4085</v>
      </c>
      <c r="D684" t="s">
        <v>18</v>
      </c>
      <c r="E684" t="s">
        <v>1304</v>
      </c>
      <c r="F684">
        <v>11364</v>
      </c>
      <c r="G684" t="s">
        <v>28</v>
      </c>
      <c r="H684" t="s">
        <v>21</v>
      </c>
      <c r="I684">
        <v>9627</v>
      </c>
      <c r="J684">
        <v>9627</v>
      </c>
      <c r="K684">
        <v>0</v>
      </c>
      <c r="L684">
        <v>0</v>
      </c>
      <c r="M684">
        <v>0</v>
      </c>
      <c r="N684">
        <v>0</v>
      </c>
    </row>
    <row r="685" spans="1:14" ht="14.4">
      <c r="A685">
        <v>13365</v>
      </c>
      <c r="B685">
        <v>13366</v>
      </c>
      <c r="C685">
        <v>4085</v>
      </c>
      <c r="D685" t="s">
        <v>18</v>
      </c>
      <c r="E685" t="s">
        <v>262</v>
      </c>
      <c r="F685">
        <v>11770</v>
      </c>
      <c r="G685" t="s">
        <v>23</v>
      </c>
      <c r="H685" t="s">
        <v>21</v>
      </c>
      <c r="I685">
        <v>415603</v>
      </c>
      <c r="J685">
        <v>372328</v>
      </c>
      <c r="K685">
        <v>43275</v>
      </c>
      <c r="L685">
        <v>0</v>
      </c>
      <c r="M685">
        <v>0</v>
      </c>
      <c r="N685">
        <v>0</v>
      </c>
    </row>
    <row r="686" spans="1:14" ht="14.4">
      <c r="A686">
        <v>13365</v>
      </c>
      <c r="B686">
        <v>13366</v>
      </c>
      <c r="C686">
        <v>4085</v>
      </c>
      <c r="D686" t="s">
        <v>18</v>
      </c>
      <c r="E686" t="s">
        <v>264</v>
      </c>
      <c r="F686">
        <v>11770</v>
      </c>
      <c r="G686" t="s">
        <v>23</v>
      </c>
      <c r="H686" t="s">
        <v>21</v>
      </c>
      <c r="I686">
        <v>2677019</v>
      </c>
      <c r="J686">
        <v>2223519</v>
      </c>
      <c r="K686">
        <v>453500</v>
      </c>
      <c r="L686">
        <v>687000</v>
      </c>
      <c r="M686">
        <v>557400</v>
      </c>
      <c r="N686">
        <v>129600</v>
      </c>
    </row>
    <row r="687" spans="1:14" ht="14.4">
      <c r="A687">
        <v>13365</v>
      </c>
      <c r="B687">
        <v>13366</v>
      </c>
      <c r="C687">
        <v>4085</v>
      </c>
      <c r="D687" t="s">
        <v>18</v>
      </c>
      <c r="E687" t="s">
        <v>265</v>
      </c>
      <c r="F687">
        <v>11572</v>
      </c>
      <c r="G687" t="s">
        <v>20</v>
      </c>
      <c r="H687" t="s">
        <v>21</v>
      </c>
      <c r="I687">
        <v>117083</v>
      </c>
      <c r="J687">
        <v>64188</v>
      </c>
      <c r="K687">
        <v>52895</v>
      </c>
      <c r="L687">
        <v>9500</v>
      </c>
      <c r="M687">
        <v>9500</v>
      </c>
      <c r="N687">
        <v>0</v>
      </c>
    </row>
    <row r="688" spans="1:14" ht="14.4">
      <c r="A688">
        <v>13365</v>
      </c>
      <c r="B688">
        <v>13366</v>
      </c>
      <c r="C688">
        <v>4085</v>
      </c>
      <c r="D688" t="s">
        <v>18</v>
      </c>
      <c r="E688" t="s">
        <v>1305</v>
      </c>
      <c r="F688">
        <v>11770</v>
      </c>
      <c r="G688" t="s">
        <v>23</v>
      </c>
      <c r="H688" t="s">
        <v>21</v>
      </c>
      <c r="I688">
        <v>12950</v>
      </c>
      <c r="J688">
        <v>0</v>
      </c>
      <c r="K688">
        <v>12950</v>
      </c>
      <c r="L688">
        <v>8500</v>
      </c>
      <c r="M688">
        <v>0</v>
      </c>
      <c r="N688">
        <v>8500</v>
      </c>
    </row>
    <row r="689" spans="1:14" ht="14.4">
      <c r="A689">
        <v>13365</v>
      </c>
      <c r="B689">
        <v>13366</v>
      </c>
      <c r="C689">
        <v>4085</v>
      </c>
      <c r="D689" t="s">
        <v>18</v>
      </c>
      <c r="E689" t="s">
        <v>1306</v>
      </c>
      <c r="F689">
        <v>11572</v>
      </c>
      <c r="G689" t="s">
        <v>20</v>
      </c>
      <c r="H689" t="s">
        <v>21</v>
      </c>
      <c r="I689">
        <v>151781</v>
      </c>
      <c r="J689">
        <v>108911</v>
      </c>
      <c r="K689">
        <v>42870</v>
      </c>
      <c r="L689">
        <v>79900</v>
      </c>
      <c r="M689">
        <v>39900</v>
      </c>
      <c r="N689">
        <v>40000</v>
      </c>
    </row>
    <row r="690" spans="1:14" ht="14.4">
      <c r="A690">
        <v>13365</v>
      </c>
      <c r="B690">
        <v>13366</v>
      </c>
      <c r="C690">
        <v>4085</v>
      </c>
      <c r="D690" t="s">
        <v>18</v>
      </c>
      <c r="E690" t="s">
        <v>1307</v>
      </c>
      <c r="F690">
        <v>11572</v>
      </c>
      <c r="G690" t="s">
        <v>20</v>
      </c>
      <c r="H690" t="s">
        <v>21</v>
      </c>
      <c r="I690">
        <v>74594</v>
      </c>
      <c r="J690">
        <v>49544</v>
      </c>
      <c r="K690">
        <v>25050</v>
      </c>
      <c r="L690">
        <v>0</v>
      </c>
      <c r="M690">
        <v>0</v>
      </c>
      <c r="N690">
        <v>0</v>
      </c>
    </row>
    <row r="691" spans="1:14" ht="14.4">
      <c r="A691">
        <v>13365</v>
      </c>
      <c r="B691">
        <v>13366</v>
      </c>
      <c r="C691">
        <v>4085</v>
      </c>
      <c r="D691" t="s">
        <v>18</v>
      </c>
      <c r="E691" t="s">
        <v>267</v>
      </c>
      <c r="F691">
        <v>1572</v>
      </c>
      <c r="G691" t="s">
        <v>20</v>
      </c>
      <c r="H691" t="s">
        <v>21</v>
      </c>
      <c r="I691">
        <v>210984</v>
      </c>
      <c r="J691">
        <v>152884</v>
      </c>
      <c r="K691">
        <v>58100</v>
      </c>
      <c r="L691">
        <v>0</v>
      </c>
      <c r="M691">
        <v>0</v>
      </c>
      <c r="N691">
        <v>0</v>
      </c>
    </row>
    <row r="692" spans="1:14" ht="14.4">
      <c r="A692">
        <v>13365</v>
      </c>
      <c r="B692">
        <v>13366</v>
      </c>
      <c r="C692">
        <v>4085</v>
      </c>
      <c r="D692" t="s">
        <v>18</v>
      </c>
      <c r="E692" t="s">
        <v>267</v>
      </c>
      <c r="F692">
        <v>11518</v>
      </c>
      <c r="G692" t="s">
        <v>20</v>
      </c>
      <c r="H692" t="s">
        <v>21</v>
      </c>
      <c r="I692">
        <v>86585</v>
      </c>
      <c r="J692">
        <v>50975</v>
      </c>
      <c r="K692">
        <v>35610</v>
      </c>
      <c r="L692">
        <v>14000</v>
      </c>
      <c r="M692">
        <v>14000</v>
      </c>
      <c r="N692">
        <v>0</v>
      </c>
    </row>
    <row r="693" spans="1:14" ht="14.4">
      <c r="A693">
        <v>13365</v>
      </c>
      <c r="B693">
        <v>13366</v>
      </c>
      <c r="C693">
        <v>4085</v>
      </c>
      <c r="D693" t="s">
        <v>18</v>
      </c>
      <c r="E693" t="s">
        <v>267</v>
      </c>
      <c r="F693">
        <v>11558</v>
      </c>
      <c r="G693" t="s">
        <v>20</v>
      </c>
      <c r="H693" t="s">
        <v>21</v>
      </c>
      <c r="I693">
        <v>4975</v>
      </c>
      <c r="J693">
        <v>0</v>
      </c>
      <c r="K693">
        <v>4975</v>
      </c>
      <c r="L693">
        <v>0</v>
      </c>
      <c r="M693">
        <v>0</v>
      </c>
      <c r="N693">
        <v>0</v>
      </c>
    </row>
    <row r="694" spans="1:14" ht="14.4">
      <c r="A694">
        <v>13365</v>
      </c>
      <c r="B694">
        <v>13366</v>
      </c>
      <c r="C694">
        <v>4085</v>
      </c>
      <c r="D694" t="s">
        <v>18</v>
      </c>
      <c r="E694" t="s">
        <v>267</v>
      </c>
      <c r="F694">
        <v>11561</v>
      </c>
      <c r="G694" t="s">
        <v>20</v>
      </c>
      <c r="H694" t="s">
        <v>21</v>
      </c>
      <c r="I694">
        <v>39500</v>
      </c>
      <c r="J694">
        <v>0</v>
      </c>
      <c r="K694">
        <v>39500</v>
      </c>
      <c r="L694">
        <v>0</v>
      </c>
      <c r="M694">
        <v>0</v>
      </c>
      <c r="N694">
        <v>0</v>
      </c>
    </row>
    <row r="695" spans="1:14" ht="14.4">
      <c r="A695">
        <v>13365</v>
      </c>
      <c r="B695">
        <v>13366</v>
      </c>
      <c r="C695">
        <v>4085</v>
      </c>
      <c r="D695" t="s">
        <v>18</v>
      </c>
      <c r="E695" t="s">
        <v>267</v>
      </c>
      <c r="F695">
        <v>11572</v>
      </c>
      <c r="G695" t="s">
        <v>20</v>
      </c>
      <c r="H695" t="s">
        <v>21</v>
      </c>
      <c r="I695">
        <v>169728605</v>
      </c>
      <c r="J695">
        <v>107537378</v>
      </c>
      <c r="K695">
        <v>62191227</v>
      </c>
      <c r="L695">
        <v>68861100</v>
      </c>
      <c r="M695">
        <v>46022300</v>
      </c>
      <c r="N695">
        <v>22838800</v>
      </c>
    </row>
    <row r="696" spans="1:14" ht="14.4">
      <c r="A696">
        <v>13365</v>
      </c>
      <c r="B696">
        <v>13366</v>
      </c>
      <c r="C696">
        <v>4085</v>
      </c>
      <c r="D696" t="s">
        <v>18</v>
      </c>
      <c r="E696" t="s">
        <v>267</v>
      </c>
      <c r="F696">
        <v>11572</v>
      </c>
      <c r="G696" t="s">
        <v>32</v>
      </c>
      <c r="H696" t="s">
        <v>21</v>
      </c>
      <c r="I696">
        <v>28810</v>
      </c>
      <c r="J696">
        <v>0</v>
      </c>
      <c r="K696">
        <v>28810</v>
      </c>
      <c r="L696">
        <v>0</v>
      </c>
      <c r="M696">
        <v>0</v>
      </c>
      <c r="N696">
        <v>0</v>
      </c>
    </row>
    <row r="697" spans="1:14" ht="14.4">
      <c r="A697">
        <v>13365</v>
      </c>
      <c r="B697">
        <v>13366</v>
      </c>
      <c r="C697">
        <v>4085</v>
      </c>
      <c r="D697" t="s">
        <v>18</v>
      </c>
      <c r="E697" t="s">
        <v>1308</v>
      </c>
      <c r="F697">
        <v>11572</v>
      </c>
      <c r="G697" t="s">
        <v>20</v>
      </c>
      <c r="H697" t="s">
        <v>21</v>
      </c>
      <c r="I697">
        <v>5220</v>
      </c>
      <c r="J697">
        <v>0</v>
      </c>
      <c r="K697">
        <v>5220</v>
      </c>
      <c r="L697">
        <v>0</v>
      </c>
      <c r="M697">
        <v>0</v>
      </c>
      <c r="N697">
        <v>0</v>
      </c>
    </row>
    <row r="698" spans="1:14" ht="14.4">
      <c r="A698">
        <v>13365</v>
      </c>
      <c r="B698">
        <v>13366</v>
      </c>
      <c r="C698">
        <v>4085</v>
      </c>
      <c r="D698" t="s">
        <v>18</v>
      </c>
      <c r="E698" t="s">
        <v>1309</v>
      </c>
      <c r="F698">
        <v>11572</v>
      </c>
      <c r="G698" t="s">
        <v>20</v>
      </c>
      <c r="H698" t="s">
        <v>21</v>
      </c>
      <c r="I698">
        <v>166302</v>
      </c>
      <c r="J698">
        <v>108102</v>
      </c>
      <c r="K698">
        <v>58200</v>
      </c>
      <c r="L698">
        <v>0</v>
      </c>
      <c r="M698">
        <v>0</v>
      </c>
      <c r="N698">
        <v>0</v>
      </c>
    </row>
    <row r="699" spans="1:14" ht="14.4">
      <c r="A699">
        <v>13365</v>
      </c>
      <c r="B699">
        <v>13366</v>
      </c>
      <c r="C699">
        <v>4085</v>
      </c>
      <c r="D699" t="s">
        <v>18</v>
      </c>
      <c r="E699" t="s">
        <v>1310</v>
      </c>
      <c r="F699">
        <v>11572</v>
      </c>
      <c r="G699" t="s">
        <v>20</v>
      </c>
      <c r="H699" t="s">
        <v>21</v>
      </c>
      <c r="I699">
        <v>40111</v>
      </c>
      <c r="J699">
        <v>856</v>
      </c>
      <c r="K699">
        <v>39255</v>
      </c>
      <c r="L699">
        <v>18200</v>
      </c>
      <c r="M699">
        <v>0</v>
      </c>
      <c r="N699">
        <v>18200</v>
      </c>
    </row>
    <row r="700" spans="1:14" ht="14.4">
      <c r="A700">
        <v>13365</v>
      </c>
      <c r="B700">
        <v>13366</v>
      </c>
      <c r="C700">
        <v>4085</v>
      </c>
      <c r="D700" t="s">
        <v>18</v>
      </c>
      <c r="E700" t="s">
        <v>1311</v>
      </c>
      <c r="F700">
        <v>11572</v>
      </c>
      <c r="G700" t="s">
        <v>20</v>
      </c>
      <c r="H700" t="s">
        <v>21</v>
      </c>
      <c r="I700">
        <v>97802</v>
      </c>
      <c r="J700">
        <v>76457</v>
      </c>
      <c r="K700">
        <v>21345</v>
      </c>
      <c r="L700">
        <v>87800</v>
      </c>
      <c r="M700">
        <v>66400</v>
      </c>
      <c r="N700">
        <v>21400</v>
      </c>
    </row>
    <row r="701" spans="1:14" ht="14.4">
      <c r="A701">
        <v>13365</v>
      </c>
      <c r="B701">
        <v>13366</v>
      </c>
      <c r="C701">
        <v>4085</v>
      </c>
      <c r="D701" t="s">
        <v>18</v>
      </c>
      <c r="E701" t="s">
        <v>269</v>
      </c>
      <c r="F701">
        <v>11804</v>
      </c>
      <c r="G701" t="s">
        <v>20</v>
      </c>
      <c r="H701" t="s">
        <v>21</v>
      </c>
      <c r="I701">
        <v>82161</v>
      </c>
      <c r="J701">
        <v>81161</v>
      </c>
      <c r="K701">
        <v>1000</v>
      </c>
      <c r="L701">
        <v>35700</v>
      </c>
      <c r="M701">
        <v>35200</v>
      </c>
      <c r="N701">
        <v>500</v>
      </c>
    </row>
    <row r="702" spans="1:14" ht="14.4">
      <c r="A702">
        <v>13365</v>
      </c>
      <c r="B702">
        <v>13366</v>
      </c>
      <c r="C702">
        <v>4085</v>
      </c>
      <c r="D702" t="s">
        <v>18</v>
      </c>
      <c r="E702" t="s">
        <v>1312</v>
      </c>
      <c r="F702">
        <v>11568</v>
      </c>
      <c r="G702" t="s">
        <v>20</v>
      </c>
      <c r="H702" t="s">
        <v>21</v>
      </c>
      <c r="I702">
        <v>296056</v>
      </c>
      <c r="J702">
        <v>285656</v>
      </c>
      <c r="K702">
        <v>10400</v>
      </c>
      <c r="L702">
        <v>44200</v>
      </c>
      <c r="M702">
        <v>44200</v>
      </c>
      <c r="N702">
        <v>0</v>
      </c>
    </row>
    <row r="703" spans="1:14" ht="14.4">
      <c r="A703">
        <v>13365</v>
      </c>
      <c r="B703">
        <v>13366</v>
      </c>
      <c r="C703">
        <v>4085</v>
      </c>
      <c r="D703" t="s">
        <v>18</v>
      </c>
      <c r="E703" t="s">
        <v>1313</v>
      </c>
      <c r="F703">
        <v>10962</v>
      </c>
      <c r="G703" t="s">
        <v>85</v>
      </c>
      <c r="H703" t="s">
        <v>21</v>
      </c>
      <c r="I703">
        <v>5510</v>
      </c>
      <c r="J703">
        <v>5510</v>
      </c>
      <c r="K703">
        <v>0</v>
      </c>
      <c r="L703">
        <v>0</v>
      </c>
      <c r="M703">
        <v>0</v>
      </c>
      <c r="N703">
        <v>0</v>
      </c>
    </row>
    <row r="704" spans="1:14" ht="14.4">
      <c r="A704">
        <v>13365</v>
      </c>
      <c r="B704">
        <v>13366</v>
      </c>
      <c r="C704">
        <v>4085</v>
      </c>
      <c r="D704" t="s">
        <v>18</v>
      </c>
      <c r="E704" t="s">
        <v>270</v>
      </c>
      <c r="F704">
        <v>11957</v>
      </c>
      <c r="G704" t="s">
        <v>23</v>
      </c>
      <c r="H704" t="s">
        <v>21</v>
      </c>
      <c r="I704">
        <v>77152</v>
      </c>
      <c r="J704">
        <v>69977</v>
      </c>
      <c r="K704">
        <v>7175</v>
      </c>
      <c r="L704">
        <v>0</v>
      </c>
      <c r="M704">
        <v>0</v>
      </c>
      <c r="N704">
        <v>0</v>
      </c>
    </row>
    <row r="705" spans="1:14" ht="14.4">
      <c r="A705">
        <v>13365</v>
      </c>
      <c r="B705">
        <v>13366</v>
      </c>
      <c r="C705">
        <v>4085</v>
      </c>
      <c r="D705" t="s">
        <v>18</v>
      </c>
      <c r="E705" t="s">
        <v>271</v>
      </c>
      <c r="F705">
        <v>10562</v>
      </c>
      <c r="G705" t="s">
        <v>64</v>
      </c>
      <c r="H705" t="s">
        <v>21</v>
      </c>
      <c r="I705">
        <v>35144</v>
      </c>
      <c r="J705">
        <v>35144</v>
      </c>
      <c r="K705">
        <v>0</v>
      </c>
      <c r="L705">
        <v>26600</v>
      </c>
      <c r="M705">
        <v>26600</v>
      </c>
      <c r="N705">
        <v>0</v>
      </c>
    </row>
    <row r="706" spans="1:14" ht="14.4">
      <c r="A706">
        <v>13365</v>
      </c>
      <c r="B706">
        <v>13366</v>
      </c>
      <c r="C706">
        <v>4085</v>
      </c>
      <c r="D706" t="s">
        <v>18</v>
      </c>
      <c r="E706" t="s">
        <v>272</v>
      </c>
      <c r="F706">
        <v>11771</v>
      </c>
      <c r="G706" t="s">
        <v>20</v>
      </c>
      <c r="H706" t="s">
        <v>21</v>
      </c>
      <c r="I706">
        <v>840057</v>
      </c>
      <c r="J706">
        <v>684832</v>
      </c>
      <c r="K706">
        <v>155225</v>
      </c>
      <c r="L706">
        <v>265500</v>
      </c>
      <c r="M706">
        <v>221200</v>
      </c>
      <c r="N706">
        <v>44300</v>
      </c>
    </row>
    <row r="707" spans="1:14" ht="14.4">
      <c r="A707">
        <v>13365</v>
      </c>
      <c r="B707">
        <v>13366</v>
      </c>
      <c r="C707">
        <v>4085</v>
      </c>
      <c r="D707" t="s">
        <v>18</v>
      </c>
      <c r="E707" t="s">
        <v>274</v>
      </c>
      <c r="F707">
        <v>11368</v>
      </c>
      <c r="G707" t="s">
        <v>28</v>
      </c>
      <c r="H707" t="s">
        <v>21</v>
      </c>
      <c r="I707">
        <v>45016</v>
      </c>
      <c r="J707">
        <v>36816</v>
      </c>
      <c r="K707">
        <v>8200</v>
      </c>
      <c r="L707">
        <v>0</v>
      </c>
      <c r="M707">
        <v>0</v>
      </c>
      <c r="N707">
        <v>0</v>
      </c>
    </row>
    <row r="708" spans="1:14" ht="14.4">
      <c r="A708">
        <v>13365</v>
      </c>
      <c r="B708">
        <v>13366</v>
      </c>
      <c r="C708">
        <v>4085</v>
      </c>
      <c r="D708" t="s">
        <v>18</v>
      </c>
      <c r="E708" t="s">
        <v>274</v>
      </c>
      <c r="F708">
        <v>11416</v>
      </c>
      <c r="G708" t="s">
        <v>28</v>
      </c>
      <c r="H708" t="s">
        <v>21</v>
      </c>
      <c r="I708">
        <v>173259</v>
      </c>
      <c r="J708">
        <v>150772</v>
      </c>
      <c r="K708">
        <v>22487</v>
      </c>
      <c r="L708">
        <v>31100</v>
      </c>
      <c r="M708">
        <v>30600</v>
      </c>
      <c r="N708">
        <v>500</v>
      </c>
    </row>
    <row r="709" spans="1:14" ht="14.4">
      <c r="A709">
        <v>13365</v>
      </c>
      <c r="B709">
        <v>13366</v>
      </c>
      <c r="C709">
        <v>4085</v>
      </c>
      <c r="D709" t="s">
        <v>18</v>
      </c>
      <c r="E709" t="s">
        <v>274</v>
      </c>
      <c r="F709">
        <v>11417</v>
      </c>
      <c r="G709" t="s">
        <v>28</v>
      </c>
      <c r="H709" t="s">
        <v>21</v>
      </c>
      <c r="I709">
        <v>214754</v>
      </c>
      <c r="J709">
        <v>148554</v>
      </c>
      <c r="K709">
        <v>66200</v>
      </c>
      <c r="L709">
        <v>57200</v>
      </c>
      <c r="M709">
        <v>21100</v>
      </c>
      <c r="N709">
        <v>36100</v>
      </c>
    </row>
    <row r="710" spans="1:14" ht="14.4">
      <c r="A710">
        <v>13365</v>
      </c>
      <c r="B710">
        <v>13366</v>
      </c>
      <c r="C710">
        <v>4085</v>
      </c>
      <c r="D710" t="s">
        <v>18</v>
      </c>
      <c r="E710" t="s">
        <v>1314</v>
      </c>
      <c r="F710">
        <v>10964</v>
      </c>
      <c r="G710" t="s">
        <v>85</v>
      </c>
      <c r="H710" t="s">
        <v>21</v>
      </c>
      <c r="I710">
        <v>12050</v>
      </c>
      <c r="J710">
        <v>12050</v>
      </c>
      <c r="K710">
        <v>0</v>
      </c>
      <c r="L710">
        <v>12100</v>
      </c>
      <c r="M710">
        <v>12100</v>
      </c>
      <c r="N710">
        <v>0</v>
      </c>
    </row>
    <row r="711" spans="1:14" ht="14.4">
      <c r="A711">
        <v>13365</v>
      </c>
      <c r="B711">
        <v>13366</v>
      </c>
      <c r="C711">
        <v>4085</v>
      </c>
      <c r="D711" t="s">
        <v>18</v>
      </c>
      <c r="E711" t="s">
        <v>275</v>
      </c>
      <c r="F711">
        <v>11772</v>
      </c>
      <c r="G711" t="s">
        <v>23</v>
      </c>
      <c r="H711" t="s">
        <v>21</v>
      </c>
      <c r="I711">
        <v>6433926</v>
      </c>
      <c r="J711">
        <v>4945737</v>
      </c>
      <c r="K711">
        <v>1488189</v>
      </c>
      <c r="L711">
        <v>2883400</v>
      </c>
      <c r="M711">
        <v>2084600</v>
      </c>
      <c r="N711">
        <v>798800</v>
      </c>
    </row>
    <row r="712" spans="1:14" ht="14.4">
      <c r="A712">
        <v>13365</v>
      </c>
      <c r="B712">
        <v>13366</v>
      </c>
      <c r="C712">
        <v>4085</v>
      </c>
      <c r="D712" t="s">
        <v>18</v>
      </c>
      <c r="E712" t="s">
        <v>277</v>
      </c>
      <c r="F712">
        <v>10965</v>
      </c>
      <c r="G712" t="s">
        <v>85</v>
      </c>
      <c r="H712" t="s">
        <v>21</v>
      </c>
      <c r="I712">
        <v>356455</v>
      </c>
      <c r="J712">
        <v>332595</v>
      </c>
      <c r="K712">
        <v>23860</v>
      </c>
      <c r="L712">
        <v>130100</v>
      </c>
      <c r="M712">
        <v>113500</v>
      </c>
      <c r="N712">
        <v>16600</v>
      </c>
    </row>
    <row r="713" spans="1:14" ht="14.4">
      <c r="A713">
        <v>13365</v>
      </c>
      <c r="B713">
        <v>13366</v>
      </c>
      <c r="C713">
        <v>4085</v>
      </c>
      <c r="D713" t="s">
        <v>18</v>
      </c>
      <c r="E713" t="s">
        <v>1315</v>
      </c>
      <c r="F713">
        <v>11958</v>
      </c>
      <c r="G713" t="s">
        <v>23</v>
      </c>
      <c r="H713" t="s">
        <v>21</v>
      </c>
      <c r="I713">
        <v>20266</v>
      </c>
      <c r="J713">
        <v>15566</v>
      </c>
      <c r="K713">
        <v>4700</v>
      </c>
      <c r="L713">
        <v>4700</v>
      </c>
      <c r="M713">
        <v>0</v>
      </c>
      <c r="N713">
        <v>4700</v>
      </c>
    </row>
    <row r="714" spans="1:14" ht="14.4">
      <c r="A714">
        <v>13365</v>
      </c>
      <c r="B714">
        <v>13366</v>
      </c>
      <c r="C714">
        <v>4085</v>
      </c>
      <c r="D714" t="s">
        <v>18</v>
      </c>
      <c r="E714" t="s">
        <v>278</v>
      </c>
      <c r="F714">
        <v>10566</v>
      </c>
      <c r="G714" t="s">
        <v>64</v>
      </c>
      <c r="H714" t="s">
        <v>21</v>
      </c>
      <c r="I714">
        <v>40340</v>
      </c>
      <c r="J714">
        <v>33865</v>
      </c>
      <c r="K714">
        <v>6475</v>
      </c>
      <c r="L714">
        <v>14000</v>
      </c>
      <c r="M714">
        <v>8000</v>
      </c>
      <c r="N714">
        <v>6000</v>
      </c>
    </row>
    <row r="715" spans="1:14" ht="14.4">
      <c r="A715">
        <v>13365</v>
      </c>
      <c r="B715">
        <v>13366</v>
      </c>
      <c r="C715">
        <v>4085</v>
      </c>
      <c r="D715" t="s">
        <v>18</v>
      </c>
      <c r="E715" t="s">
        <v>279</v>
      </c>
      <c r="F715">
        <v>10968</v>
      </c>
      <c r="G715" t="s">
        <v>85</v>
      </c>
      <c r="H715" t="s">
        <v>21</v>
      </c>
      <c r="I715">
        <v>2515431</v>
      </c>
      <c r="J715">
        <v>2001952</v>
      </c>
      <c r="K715">
        <v>513479</v>
      </c>
      <c r="L715">
        <v>1269000</v>
      </c>
      <c r="M715">
        <v>914600</v>
      </c>
      <c r="N715">
        <v>354400</v>
      </c>
    </row>
    <row r="716" spans="1:14" ht="14.4">
      <c r="A716">
        <v>13365</v>
      </c>
      <c r="B716">
        <v>13366</v>
      </c>
      <c r="C716">
        <v>4085</v>
      </c>
      <c r="D716" t="s">
        <v>18</v>
      </c>
      <c r="E716" t="s">
        <v>280</v>
      </c>
      <c r="F716">
        <v>12566</v>
      </c>
      <c r="G716" t="s">
        <v>186</v>
      </c>
      <c r="H716" t="s">
        <v>21</v>
      </c>
      <c r="I716">
        <v>47438</v>
      </c>
      <c r="J716">
        <v>47438</v>
      </c>
      <c r="K716">
        <v>0</v>
      </c>
      <c r="L716">
        <v>0</v>
      </c>
      <c r="M716">
        <v>0</v>
      </c>
      <c r="N716">
        <v>0</v>
      </c>
    </row>
    <row r="717" spans="1:14" ht="14.4">
      <c r="A717">
        <v>13365</v>
      </c>
      <c r="B717">
        <v>13366</v>
      </c>
      <c r="C717">
        <v>4085</v>
      </c>
      <c r="D717" t="s">
        <v>18</v>
      </c>
      <c r="E717" t="s">
        <v>1316</v>
      </c>
      <c r="F717">
        <v>10969</v>
      </c>
      <c r="G717" t="s">
        <v>51</v>
      </c>
      <c r="H717" t="s">
        <v>21</v>
      </c>
      <c r="I717">
        <v>65798</v>
      </c>
      <c r="J717">
        <v>63118</v>
      </c>
      <c r="K717">
        <v>2680</v>
      </c>
      <c r="L717">
        <v>14000</v>
      </c>
      <c r="M717">
        <v>12000</v>
      </c>
      <c r="N717">
        <v>2000</v>
      </c>
    </row>
    <row r="718" spans="1:14" ht="14.4">
      <c r="A718">
        <v>13365</v>
      </c>
      <c r="B718">
        <v>13366</v>
      </c>
      <c r="C718">
        <v>4085</v>
      </c>
      <c r="D718" t="s">
        <v>18</v>
      </c>
      <c r="E718" t="s">
        <v>281</v>
      </c>
      <c r="F718">
        <v>11803</v>
      </c>
      <c r="G718" t="s">
        <v>20</v>
      </c>
      <c r="H718" t="s">
        <v>21</v>
      </c>
      <c r="I718">
        <v>454869</v>
      </c>
      <c r="J718">
        <v>408419</v>
      </c>
      <c r="K718">
        <v>46450</v>
      </c>
      <c r="L718">
        <v>67600</v>
      </c>
      <c r="M718">
        <v>48100</v>
      </c>
      <c r="N718">
        <v>19500</v>
      </c>
    </row>
    <row r="719" spans="1:14" ht="14.4">
      <c r="A719">
        <v>13365</v>
      </c>
      <c r="B719">
        <v>13366</v>
      </c>
      <c r="C719">
        <v>4085</v>
      </c>
      <c r="D719" t="s">
        <v>18</v>
      </c>
      <c r="E719" t="s">
        <v>1317</v>
      </c>
      <c r="F719">
        <v>11569</v>
      </c>
      <c r="G719" t="s">
        <v>20</v>
      </c>
      <c r="H719" t="s">
        <v>21</v>
      </c>
      <c r="I719">
        <v>57047</v>
      </c>
      <c r="J719">
        <v>24497</v>
      </c>
      <c r="K719">
        <v>32550</v>
      </c>
      <c r="L719">
        <v>14000</v>
      </c>
      <c r="M719">
        <v>14000</v>
      </c>
      <c r="N719">
        <v>0</v>
      </c>
    </row>
    <row r="720" spans="1:14" ht="14.4">
      <c r="A720">
        <v>13365</v>
      </c>
      <c r="B720">
        <v>13366</v>
      </c>
      <c r="C720">
        <v>4085</v>
      </c>
      <c r="D720" t="s">
        <v>18</v>
      </c>
      <c r="E720" t="s">
        <v>283</v>
      </c>
      <c r="F720">
        <v>11568</v>
      </c>
      <c r="G720" t="s">
        <v>20</v>
      </c>
      <c r="H720" t="s">
        <v>21</v>
      </c>
      <c r="I720">
        <v>109156</v>
      </c>
      <c r="J720">
        <v>77006</v>
      </c>
      <c r="K720">
        <v>32150</v>
      </c>
      <c r="L720">
        <v>14000</v>
      </c>
      <c r="M720">
        <v>2000</v>
      </c>
      <c r="N720">
        <v>12000</v>
      </c>
    </row>
    <row r="721" spans="1:14" ht="14.4">
      <c r="A721">
        <v>13365</v>
      </c>
      <c r="B721">
        <v>13366</v>
      </c>
      <c r="C721">
        <v>4085</v>
      </c>
      <c r="D721" t="s">
        <v>18</v>
      </c>
      <c r="E721" t="s">
        <v>283</v>
      </c>
      <c r="F721">
        <v>11569</v>
      </c>
      <c r="G721" t="s">
        <v>20</v>
      </c>
      <c r="H721" t="s">
        <v>21</v>
      </c>
      <c r="I721">
        <v>3317103</v>
      </c>
      <c r="J721">
        <v>2220424</v>
      </c>
      <c r="K721">
        <v>1096679</v>
      </c>
      <c r="L721">
        <v>1404800</v>
      </c>
      <c r="M721">
        <v>890900</v>
      </c>
      <c r="N721">
        <v>513900</v>
      </c>
    </row>
    <row r="722" spans="1:14" ht="14.4">
      <c r="A722">
        <v>13365</v>
      </c>
      <c r="B722">
        <v>13366</v>
      </c>
      <c r="C722">
        <v>4085</v>
      </c>
      <c r="D722" t="s">
        <v>18</v>
      </c>
      <c r="E722" t="s">
        <v>286</v>
      </c>
      <c r="F722">
        <v>10970</v>
      </c>
      <c r="G722" t="s">
        <v>85</v>
      </c>
      <c r="H722" t="s">
        <v>21</v>
      </c>
      <c r="I722">
        <v>272210</v>
      </c>
      <c r="J722">
        <v>246635</v>
      </c>
      <c r="K722">
        <v>25575</v>
      </c>
      <c r="L722">
        <v>144500</v>
      </c>
      <c r="M722">
        <v>124000</v>
      </c>
      <c r="N722">
        <v>20500</v>
      </c>
    </row>
    <row r="723" spans="1:14" ht="14.4">
      <c r="A723">
        <v>13365</v>
      </c>
      <c r="B723">
        <v>13366</v>
      </c>
      <c r="C723">
        <v>4085</v>
      </c>
      <c r="D723" t="s">
        <v>18</v>
      </c>
      <c r="E723" t="s">
        <v>287</v>
      </c>
      <c r="F723">
        <v>10573</v>
      </c>
      <c r="G723" t="s">
        <v>64</v>
      </c>
      <c r="H723" t="s">
        <v>21</v>
      </c>
      <c r="I723">
        <v>118328</v>
      </c>
      <c r="J723">
        <v>105903</v>
      </c>
      <c r="K723">
        <v>12425</v>
      </c>
      <c r="L723">
        <v>5100</v>
      </c>
      <c r="M723">
        <v>4800</v>
      </c>
      <c r="N723">
        <v>300</v>
      </c>
    </row>
    <row r="724" spans="1:14" ht="14.4">
      <c r="A724">
        <v>13365</v>
      </c>
      <c r="B724">
        <v>13366</v>
      </c>
      <c r="C724">
        <v>4085</v>
      </c>
      <c r="D724" t="s">
        <v>18</v>
      </c>
      <c r="E724" t="s">
        <v>288</v>
      </c>
      <c r="F724">
        <v>11777</v>
      </c>
      <c r="G724" t="s">
        <v>32</v>
      </c>
      <c r="H724" t="s">
        <v>21</v>
      </c>
      <c r="I724">
        <v>21876</v>
      </c>
      <c r="J724">
        <v>21876</v>
      </c>
      <c r="K724">
        <v>0</v>
      </c>
      <c r="L724">
        <v>10800</v>
      </c>
      <c r="M724">
        <v>10800</v>
      </c>
      <c r="N724">
        <v>0</v>
      </c>
    </row>
    <row r="725" spans="1:14" ht="14.4">
      <c r="A725">
        <v>13365</v>
      </c>
      <c r="B725">
        <v>13366</v>
      </c>
      <c r="C725">
        <v>4085</v>
      </c>
      <c r="D725" t="s">
        <v>18</v>
      </c>
      <c r="E725" t="s">
        <v>288</v>
      </c>
      <c r="F725">
        <v>11777</v>
      </c>
      <c r="G725" t="s">
        <v>23</v>
      </c>
      <c r="H725" t="s">
        <v>21</v>
      </c>
      <c r="I725">
        <v>52604</v>
      </c>
      <c r="J725">
        <v>24579</v>
      </c>
      <c r="K725">
        <v>28025</v>
      </c>
      <c r="L725">
        <v>10000</v>
      </c>
      <c r="M725">
        <v>10000</v>
      </c>
      <c r="N725">
        <v>0</v>
      </c>
    </row>
    <row r="726" spans="1:14" ht="14.4">
      <c r="A726">
        <v>13365</v>
      </c>
      <c r="B726">
        <v>13366</v>
      </c>
      <c r="C726">
        <v>4085</v>
      </c>
      <c r="D726" t="s">
        <v>18</v>
      </c>
      <c r="E726" t="s">
        <v>289</v>
      </c>
      <c r="F726">
        <v>11776</v>
      </c>
      <c r="G726" t="s">
        <v>23</v>
      </c>
      <c r="H726" t="s">
        <v>21</v>
      </c>
      <c r="I726">
        <v>193167</v>
      </c>
      <c r="J726">
        <v>187542</v>
      </c>
      <c r="K726">
        <v>5625</v>
      </c>
      <c r="L726">
        <v>63900</v>
      </c>
      <c r="M726">
        <v>63100</v>
      </c>
      <c r="N726">
        <v>800</v>
      </c>
    </row>
    <row r="727" spans="1:14" ht="14.4">
      <c r="A727">
        <v>13365</v>
      </c>
      <c r="B727">
        <v>13366</v>
      </c>
      <c r="C727">
        <v>4085</v>
      </c>
      <c r="D727" t="s">
        <v>18</v>
      </c>
      <c r="E727" t="s">
        <v>1318</v>
      </c>
      <c r="F727">
        <v>12771</v>
      </c>
      <c r="G727" t="s">
        <v>51</v>
      </c>
      <c r="H727" t="s">
        <v>21</v>
      </c>
      <c r="I727">
        <v>38354</v>
      </c>
      <c r="J727">
        <v>36984</v>
      </c>
      <c r="K727">
        <v>1370</v>
      </c>
      <c r="L727">
        <v>10100</v>
      </c>
      <c r="M727">
        <v>10100</v>
      </c>
      <c r="N727">
        <v>0</v>
      </c>
    </row>
    <row r="728" spans="1:14" ht="14.4">
      <c r="A728">
        <v>13365</v>
      </c>
      <c r="B728">
        <v>13366</v>
      </c>
      <c r="C728">
        <v>4085</v>
      </c>
      <c r="D728" t="s">
        <v>18</v>
      </c>
      <c r="E728" t="s">
        <v>290</v>
      </c>
      <c r="F728">
        <v>11050</v>
      </c>
      <c r="G728" t="s">
        <v>20</v>
      </c>
      <c r="H728" t="s">
        <v>21</v>
      </c>
      <c r="I728">
        <v>541624</v>
      </c>
      <c r="J728">
        <v>479669</v>
      </c>
      <c r="K728">
        <v>61955</v>
      </c>
      <c r="L728">
        <v>230000</v>
      </c>
      <c r="M728">
        <v>223400</v>
      </c>
      <c r="N728">
        <v>6600</v>
      </c>
    </row>
    <row r="729" spans="1:14" ht="14.4">
      <c r="A729">
        <v>13365</v>
      </c>
      <c r="B729">
        <v>13366</v>
      </c>
      <c r="C729">
        <v>4085</v>
      </c>
      <c r="D729" t="s">
        <v>18</v>
      </c>
      <c r="E729" t="s">
        <v>291</v>
      </c>
      <c r="F729">
        <v>10576</v>
      </c>
      <c r="G729" t="s">
        <v>64</v>
      </c>
      <c r="H729" t="s">
        <v>21</v>
      </c>
      <c r="I729">
        <v>74949</v>
      </c>
      <c r="J729">
        <v>72499</v>
      </c>
      <c r="K729">
        <v>2450</v>
      </c>
      <c r="L729">
        <v>46200</v>
      </c>
      <c r="M729">
        <v>44700</v>
      </c>
      <c r="N729">
        <v>1500</v>
      </c>
    </row>
    <row r="730" spans="1:14" ht="14.4">
      <c r="A730">
        <v>13365</v>
      </c>
      <c r="B730">
        <v>13366</v>
      </c>
      <c r="C730">
        <v>4085</v>
      </c>
      <c r="D730" t="s">
        <v>18</v>
      </c>
      <c r="E730" t="s">
        <v>1319</v>
      </c>
      <c r="F730">
        <v>11569</v>
      </c>
      <c r="G730" t="s">
        <v>20</v>
      </c>
      <c r="H730" t="s">
        <v>21</v>
      </c>
      <c r="I730">
        <v>10925</v>
      </c>
      <c r="J730">
        <v>0</v>
      </c>
      <c r="K730">
        <v>10925</v>
      </c>
      <c r="L730">
        <v>0</v>
      </c>
      <c r="M730">
        <v>0</v>
      </c>
      <c r="N730">
        <v>0</v>
      </c>
    </row>
    <row r="731" spans="1:14" ht="14.4">
      <c r="A731">
        <v>13365</v>
      </c>
      <c r="B731">
        <v>13366</v>
      </c>
      <c r="C731">
        <v>4085</v>
      </c>
      <c r="D731" t="s">
        <v>18</v>
      </c>
      <c r="E731" t="s">
        <v>1320</v>
      </c>
      <c r="F731">
        <v>10578</v>
      </c>
      <c r="G731" t="s">
        <v>64</v>
      </c>
      <c r="H731" t="s">
        <v>21</v>
      </c>
      <c r="I731">
        <v>226366</v>
      </c>
      <c r="J731">
        <v>212166</v>
      </c>
      <c r="K731">
        <v>14200</v>
      </c>
      <c r="L731">
        <v>79800</v>
      </c>
      <c r="M731">
        <v>66100</v>
      </c>
      <c r="N731">
        <v>13700</v>
      </c>
    </row>
    <row r="732" spans="1:14" ht="14.4">
      <c r="A732">
        <v>13365</v>
      </c>
      <c r="B732">
        <v>13366</v>
      </c>
      <c r="C732">
        <v>4085</v>
      </c>
      <c r="D732" t="s">
        <v>18</v>
      </c>
      <c r="E732" t="s">
        <v>28</v>
      </c>
      <c r="F732">
        <v>11101</v>
      </c>
      <c r="G732" t="s">
        <v>28</v>
      </c>
      <c r="H732" t="s">
        <v>21</v>
      </c>
      <c r="I732">
        <v>4289</v>
      </c>
      <c r="J732">
        <v>0</v>
      </c>
      <c r="K732">
        <v>4289</v>
      </c>
      <c r="L732">
        <v>0</v>
      </c>
      <c r="M732">
        <v>0</v>
      </c>
      <c r="N732">
        <v>0</v>
      </c>
    </row>
    <row r="733" spans="1:14" ht="14.4">
      <c r="A733">
        <v>13365</v>
      </c>
      <c r="B733">
        <v>13366</v>
      </c>
      <c r="C733">
        <v>4085</v>
      </c>
      <c r="D733" t="s">
        <v>18</v>
      </c>
      <c r="E733" t="s">
        <v>28</v>
      </c>
      <c r="F733">
        <v>11412</v>
      </c>
      <c r="G733" t="s">
        <v>28</v>
      </c>
      <c r="H733" t="s">
        <v>21</v>
      </c>
      <c r="I733">
        <v>10553</v>
      </c>
      <c r="J733">
        <v>10553</v>
      </c>
      <c r="K733">
        <v>0</v>
      </c>
      <c r="L733">
        <v>0</v>
      </c>
      <c r="M733">
        <v>0</v>
      </c>
      <c r="N733">
        <v>0</v>
      </c>
    </row>
    <row r="734" spans="1:14" ht="14.4">
      <c r="A734">
        <v>13365</v>
      </c>
      <c r="B734">
        <v>13366</v>
      </c>
      <c r="C734">
        <v>4085</v>
      </c>
      <c r="D734" t="s">
        <v>18</v>
      </c>
      <c r="E734" t="s">
        <v>28</v>
      </c>
      <c r="F734">
        <v>11413</v>
      </c>
      <c r="G734" t="s">
        <v>28</v>
      </c>
      <c r="H734" t="s">
        <v>21</v>
      </c>
      <c r="I734">
        <v>28855</v>
      </c>
      <c r="J734">
        <v>26755</v>
      </c>
      <c r="K734">
        <v>2100</v>
      </c>
      <c r="L734">
        <v>20700</v>
      </c>
      <c r="M734">
        <v>19100</v>
      </c>
      <c r="N734">
        <v>1600</v>
      </c>
    </row>
    <row r="735" spans="1:14" ht="14.4">
      <c r="A735">
        <v>13365</v>
      </c>
      <c r="B735">
        <v>13366</v>
      </c>
      <c r="C735">
        <v>4085</v>
      </c>
      <c r="D735" t="s">
        <v>18</v>
      </c>
      <c r="E735" t="s">
        <v>28</v>
      </c>
      <c r="F735">
        <v>11414</v>
      </c>
      <c r="G735" t="s">
        <v>28</v>
      </c>
      <c r="H735" t="s">
        <v>21</v>
      </c>
      <c r="I735">
        <v>381062</v>
      </c>
      <c r="J735">
        <v>274578</v>
      </c>
      <c r="K735">
        <v>106484</v>
      </c>
      <c r="L735">
        <v>122300</v>
      </c>
      <c r="M735">
        <v>86300</v>
      </c>
      <c r="N735">
        <v>36000</v>
      </c>
    </row>
    <row r="736" spans="1:14" ht="14.4">
      <c r="A736">
        <v>13365</v>
      </c>
      <c r="B736">
        <v>13366</v>
      </c>
      <c r="C736">
        <v>4085</v>
      </c>
      <c r="D736" t="s">
        <v>18</v>
      </c>
      <c r="E736" t="s">
        <v>28</v>
      </c>
      <c r="F736">
        <v>11420</v>
      </c>
      <c r="G736" t="s">
        <v>28</v>
      </c>
      <c r="H736" t="s">
        <v>21</v>
      </c>
      <c r="I736">
        <v>12800</v>
      </c>
      <c r="J736">
        <v>12800</v>
      </c>
      <c r="K736">
        <v>0</v>
      </c>
      <c r="L736">
        <v>0</v>
      </c>
      <c r="M736">
        <v>0</v>
      </c>
      <c r="N736">
        <v>0</v>
      </c>
    </row>
    <row r="737" spans="1:14" ht="14.4">
      <c r="A737">
        <v>13365</v>
      </c>
      <c r="B737">
        <v>13366</v>
      </c>
      <c r="C737">
        <v>4085</v>
      </c>
      <c r="D737" t="s">
        <v>18</v>
      </c>
      <c r="E737" t="s">
        <v>28</v>
      </c>
      <c r="F737">
        <v>11422</v>
      </c>
      <c r="G737" t="s">
        <v>28</v>
      </c>
      <c r="H737" t="s">
        <v>21</v>
      </c>
      <c r="I737">
        <v>29200</v>
      </c>
      <c r="J737">
        <v>0</v>
      </c>
      <c r="K737">
        <v>29200</v>
      </c>
      <c r="L737">
        <v>29300</v>
      </c>
      <c r="M737">
        <v>0</v>
      </c>
      <c r="N737">
        <v>29300</v>
      </c>
    </row>
    <row r="738" spans="1:14" ht="14.4">
      <c r="A738">
        <v>13365</v>
      </c>
      <c r="B738">
        <v>13366</v>
      </c>
      <c r="C738">
        <v>4085</v>
      </c>
      <c r="D738" t="s">
        <v>18</v>
      </c>
      <c r="E738" t="s">
        <v>28</v>
      </c>
      <c r="F738">
        <v>11429</v>
      </c>
      <c r="G738" t="s">
        <v>28</v>
      </c>
      <c r="H738" t="s">
        <v>21</v>
      </c>
      <c r="I738">
        <v>85667</v>
      </c>
      <c r="J738">
        <v>57242</v>
      </c>
      <c r="K738">
        <v>28425</v>
      </c>
      <c r="L738">
        <v>0</v>
      </c>
      <c r="M738">
        <v>0</v>
      </c>
      <c r="N738">
        <v>0</v>
      </c>
    </row>
    <row r="739" spans="1:14" ht="14.4">
      <c r="A739">
        <v>13365</v>
      </c>
      <c r="B739">
        <v>13366</v>
      </c>
      <c r="C739">
        <v>4085</v>
      </c>
      <c r="D739" t="s">
        <v>18</v>
      </c>
      <c r="E739" t="s">
        <v>28</v>
      </c>
      <c r="F739">
        <v>11691</v>
      </c>
      <c r="G739" t="s">
        <v>28</v>
      </c>
      <c r="H739" t="s">
        <v>21</v>
      </c>
      <c r="I739">
        <v>60015</v>
      </c>
      <c r="J739">
        <v>43315</v>
      </c>
      <c r="K739">
        <v>16700</v>
      </c>
      <c r="L739">
        <v>0</v>
      </c>
      <c r="M739">
        <v>0</v>
      </c>
      <c r="N739">
        <v>0</v>
      </c>
    </row>
    <row r="740" spans="1:14" ht="14.4">
      <c r="A740">
        <v>13365</v>
      </c>
      <c r="B740">
        <v>13366</v>
      </c>
      <c r="C740">
        <v>4085</v>
      </c>
      <c r="D740" t="s">
        <v>18</v>
      </c>
      <c r="E740" t="s">
        <v>28</v>
      </c>
      <c r="F740">
        <v>11693</v>
      </c>
      <c r="G740" t="s">
        <v>28</v>
      </c>
      <c r="H740" t="s">
        <v>21</v>
      </c>
      <c r="I740">
        <v>99235</v>
      </c>
      <c r="J740">
        <v>58725</v>
      </c>
      <c r="K740">
        <v>40510</v>
      </c>
      <c r="L740">
        <v>67500</v>
      </c>
      <c r="M740">
        <v>50200</v>
      </c>
      <c r="N740">
        <v>17300</v>
      </c>
    </row>
    <row r="741" spans="1:14" ht="14.4">
      <c r="A741">
        <v>13365</v>
      </c>
      <c r="B741">
        <v>13366</v>
      </c>
      <c r="C741">
        <v>4085</v>
      </c>
      <c r="D741" t="s">
        <v>18</v>
      </c>
      <c r="E741" t="s">
        <v>28</v>
      </c>
      <c r="F741">
        <v>11694</v>
      </c>
      <c r="G741" t="s">
        <v>28</v>
      </c>
      <c r="H741" t="s">
        <v>21</v>
      </c>
      <c r="I741">
        <v>635460</v>
      </c>
      <c r="J741">
        <v>488660</v>
      </c>
      <c r="K741">
        <v>146800</v>
      </c>
      <c r="L741">
        <v>147800</v>
      </c>
      <c r="M741">
        <v>101200</v>
      </c>
      <c r="N741">
        <v>46600</v>
      </c>
    </row>
    <row r="742" spans="1:14" ht="14.4">
      <c r="A742">
        <v>13365</v>
      </c>
      <c r="B742">
        <v>13366</v>
      </c>
      <c r="C742">
        <v>4085</v>
      </c>
      <c r="D742" t="s">
        <v>18</v>
      </c>
      <c r="E742" t="s">
        <v>28</v>
      </c>
      <c r="F742">
        <v>11697</v>
      </c>
      <c r="G742" t="s">
        <v>32</v>
      </c>
      <c r="H742" t="s">
        <v>21</v>
      </c>
      <c r="I742">
        <v>32200</v>
      </c>
      <c r="J742">
        <v>0</v>
      </c>
      <c r="K742">
        <v>32200</v>
      </c>
      <c r="L742">
        <v>0</v>
      </c>
      <c r="M742">
        <v>0</v>
      </c>
      <c r="N742">
        <v>0</v>
      </c>
    </row>
    <row r="743" spans="1:14" ht="14.4">
      <c r="A743">
        <v>13365</v>
      </c>
      <c r="B743">
        <v>13366</v>
      </c>
      <c r="C743">
        <v>4085</v>
      </c>
      <c r="D743" t="s">
        <v>18</v>
      </c>
      <c r="E743" t="s">
        <v>28</v>
      </c>
      <c r="F743">
        <v>11697</v>
      </c>
      <c r="G743" t="s">
        <v>28</v>
      </c>
      <c r="H743" t="s">
        <v>21</v>
      </c>
      <c r="I743">
        <v>465674</v>
      </c>
      <c r="J743">
        <v>358084</v>
      </c>
      <c r="K743">
        <v>107590</v>
      </c>
      <c r="L743">
        <v>0</v>
      </c>
      <c r="M743">
        <v>0</v>
      </c>
      <c r="N743">
        <v>0</v>
      </c>
    </row>
    <row r="744" spans="1:14" ht="14.4">
      <c r="A744">
        <v>13365</v>
      </c>
      <c r="B744">
        <v>13366</v>
      </c>
      <c r="C744">
        <v>4085</v>
      </c>
      <c r="D744" t="s">
        <v>18</v>
      </c>
      <c r="E744" t="s">
        <v>293</v>
      </c>
      <c r="F744">
        <v>11427</v>
      </c>
      <c r="G744" t="s">
        <v>28</v>
      </c>
      <c r="H744" t="s">
        <v>21</v>
      </c>
      <c r="I744">
        <v>16231</v>
      </c>
      <c r="J744">
        <v>7606</v>
      </c>
      <c r="K744">
        <v>8625</v>
      </c>
      <c r="L744">
        <v>12400</v>
      </c>
      <c r="M744">
        <v>7700</v>
      </c>
      <c r="N744">
        <v>4700</v>
      </c>
    </row>
    <row r="745" spans="1:14" ht="14.4">
      <c r="A745">
        <v>13365</v>
      </c>
      <c r="B745">
        <v>13366</v>
      </c>
      <c r="C745">
        <v>4085</v>
      </c>
      <c r="D745" t="s">
        <v>18</v>
      </c>
      <c r="E745" t="s">
        <v>293</v>
      </c>
      <c r="F745">
        <v>11428</v>
      </c>
      <c r="G745" t="s">
        <v>28</v>
      </c>
      <c r="H745" t="s">
        <v>21</v>
      </c>
      <c r="I745">
        <v>277872</v>
      </c>
      <c r="J745">
        <v>249007</v>
      </c>
      <c r="K745">
        <v>28865</v>
      </c>
      <c r="L745">
        <v>82400</v>
      </c>
      <c r="M745">
        <v>75800</v>
      </c>
      <c r="N745">
        <v>6600</v>
      </c>
    </row>
    <row r="746" spans="1:14" ht="14.4">
      <c r="A746">
        <v>13365</v>
      </c>
      <c r="B746">
        <v>13366</v>
      </c>
      <c r="C746">
        <v>4085</v>
      </c>
      <c r="D746" t="s">
        <v>18</v>
      </c>
      <c r="E746" t="s">
        <v>293</v>
      </c>
      <c r="F746">
        <v>11429</v>
      </c>
      <c r="G746" t="s">
        <v>28</v>
      </c>
      <c r="H746" t="s">
        <v>21</v>
      </c>
      <c r="I746">
        <v>540013</v>
      </c>
      <c r="J746">
        <v>476958</v>
      </c>
      <c r="K746">
        <v>63055</v>
      </c>
      <c r="L746">
        <v>76300</v>
      </c>
      <c r="M746">
        <v>65900</v>
      </c>
      <c r="N746">
        <v>10400</v>
      </c>
    </row>
    <row r="747" spans="1:14" ht="14.4">
      <c r="A747">
        <v>13365</v>
      </c>
      <c r="B747">
        <v>13366</v>
      </c>
      <c r="C747">
        <v>4085</v>
      </c>
      <c r="D747" t="s">
        <v>18</v>
      </c>
      <c r="E747" t="s">
        <v>1321</v>
      </c>
      <c r="F747">
        <v>11429</v>
      </c>
      <c r="G747" t="s">
        <v>28</v>
      </c>
      <c r="H747" t="s">
        <v>21</v>
      </c>
      <c r="I747">
        <v>33423</v>
      </c>
      <c r="J747">
        <v>33423</v>
      </c>
      <c r="K747">
        <v>0</v>
      </c>
      <c r="L747">
        <v>0</v>
      </c>
      <c r="M747">
        <v>0</v>
      </c>
      <c r="N747">
        <v>0</v>
      </c>
    </row>
    <row r="748" spans="1:14" ht="14.4">
      <c r="A748">
        <v>13365</v>
      </c>
      <c r="B748">
        <v>13366</v>
      </c>
      <c r="C748">
        <v>4085</v>
      </c>
      <c r="D748" t="s">
        <v>18</v>
      </c>
      <c r="E748" t="s">
        <v>294</v>
      </c>
      <c r="F748">
        <v>11959</v>
      </c>
      <c r="G748" t="s">
        <v>23</v>
      </c>
      <c r="H748" t="s">
        <v>21</v>
      </c>
      <c r="I748">
        <v>590757</v>
      </c>
      <c r="J748">
        <v>538957</v>
      </c>
      <c r="K748">
        <v>51800</v>
      </c>
      <c r="L748">
        <v>0</v>
      </c>
      <c r="M748">
        <v>0</v>
      </c>
      <c r="N748">
        <v>0</v>
      </c>
    </row>
    <row r="749" spans="1:14" ht="14.4">
      <c r="A749">
        <v>13365</v>
      </c>
      <c r="B749">
        <v>13366</v>
      </c>
      <c r="C749">
        <v>4085</v>
      </c>
      <c r="D749" t="s">
        <v>18</v>
      </c>
      <c r="E749" t="s">
        <v>295</v>
      </c>
      <c r="F749">
        <v>11374</v>
      </c>
      <c r="G749" t="s">
        <v>28</v>
      </c>
      <c r="H749" t="s">
        <v>21</v>
      </c>
      <c r="I749">
        <v>13847</v>
      </c>
      <c r="J749">
        <v>10272</v>
      </c>
      <c r="K749">
        <v>3575</v>
      </c>
      <c r="L749">
        <v>0</v>
      </c>
      <c r="M749">
        <v>0</v>
      </c>
      <c r="N749">
        <v>0</v>
      </c>
    </row>
    <row r="750" spans="1:14" ht="14.4">
      <c r="A750">
        <v>13365</v>
      </c>
      <c r="B750">
        <v>13366</v>
      </c>
      <c r="C750">
        <v>4085</v>
      </c>
      <c r="D750" t="s">
        <v>18</v>
      </c>
      <c r="E750" t="s">
        <v>296</v>
      </c>
      <c r="F750">
        <v>11960</v>
      </c>
      <c r="G750" t="s">
        <v>23</v>
      </c>
      <c r="H750" t="s">
        <v>21</v>
      </c>
      <c r="I750">
        <v>1166806</v>
      </c>
      <c r="J750">
        <v>993924</v>
      </c>
      <c r="K750">
        <v>172882</v>
      </c>
      <c r="L750">
        <v>651200</v>
      </c>
      <c r="M750">
        <v>564200</v>
      </c>
      <c r="N750">
        <v>87000</v>
      </c>
    </row>
    <row r="751" spans="1:14" ht="14.4">
      <c r="A751">
        <v>13365</v>
      </c>
      <c r="B751">
        <v>13366</v>
      </c>
      <c r="C751">
        <v>4085</v>
      </c>
      <c r="D751" t="s">
        <v>18</v>
      </c>
      <c r="E751" t="s">
        <v>297</v>
      </c>
      <c r="F751">
        <v>11418</v>
      </c>
      <c r="G751" t="s">
        <v>28</v>
      </c>
      <c r="H751" t="s">
        <v>21</v>
      </c>
      <c r="I751">
        <v>105193</v>
      </c>
      <c r="J751">
        <v>75961</v>
      </c>
      <c r="K751">
        <v>29232</v>
      </c>
      <c r="L751">
        <v>0</v>
      </c>
      <c r="M751">
        <v>0</v>
      </c>
      <c r="N751">
        <v>0</v>
      </c>
    </row>
    <row r="752" spans="1:14" ht="14.4">
      <c r="A752">
        <v>13365</v>
      </c>
      <c r="B752">
        <v>13366</v>
      </c>
      <c r="C752">
        <v>4085</v>
      </c>
      <c r="D752" t="s">
        <v>18</v>
      </c>
      <c r="E752" t="s">
        <v>297</v>
      </c>
      <c r="F752">
        <v>11419</v>
      </c>
      <c r="G752" t="s">
        <v>28</v>
      </c>
      <c r="H752" t="s">
        <v>21</v>
      </c>
      <c r="I752">
        <v>3045</v>
      </c>
      <c r="J752">
        <v>3045</v>
      </c>
      <c r="K752">
        <v>0</v>
      </c>
      <c r="L752">
        <v>0</v>
      </c>
      <c r="M752">
        <v>0</v>
      </c>
      <c r="N752">
        <v>0</v>
      </c>
    </row>
    <row r="753" spans="1:14" ht="14.4">
      <c r="A753">
        <v>13365</v>
      </c>
      <c r="B753">
        <v>13366</v>
      </c>
      <c r="C753">
        <v>4085</v>
      </c>
      <c r="D753" t="s">
        <v>18</v>
      </c>
      <c r="E753" t="s">
        <v>298</v>
      </c>
      <c r="F753">
        <v>11961</v>
      </c>
      <c r="G753" t="s">
        <v>23</v>
      </c>
      <c r="H753" t="s">
        <v>21</v>
      </c>
      <c r="I753">
        <v>8075</v>
      </c>
      <c r="J753">
        <v>8075</v>
      </c>
      <c r="K753">
        <v>0</v>
      </c>
      <c r="L753">
        <v>0</v>
      </c>
      <c r="M753">
        <v>0</v>
      </c>
      <c r="N753">
        <v>0</v>
      </c>
    </row>
    <row r="754" spans="1:14" ht="14.4">
      <c r="A754">
        <v>13365</v>
      </c>
      <c r="B754">
        <v>13366</v>
      </c>
      <c r="C754">
        <v>4085</v>
      </c>
      <c r="D754" t="s">
        <v>18</v>
      </c>
      <c r="E754" t="s">
        <v>299</v>
      </c>
      <c r="F754">
        <v>11385</v>
      </c>
      <c r="G754" t="s">
        <v>28</v>
      </c>
      <c r="H754" t="s">
        <v>21</v>
      </c>
      <c r="I754">
        <v>81436</v>
      </c>
      <c r="J754">
        <v>68938</v>
      </c>
      <c r="K754">
        <v>12498</v>
      </c>
      <c r="L754">
        <v>6000</v>
      </c>
      <c r="M754">
        <v>0</v>
      </c>
      <c r="N754">
        <v>6000</v>
      </c>
    </row>
    <row r="755" spans="1:14" ht="14.4">
      <c r="A755">
        <v>13365</v>
      </c>
      <c r="B755">
        <v>13366</v>
      </c>
      <c r="C755">
        <v>4085</v>
      </c>
      <c r="D755" t="s">
        <v>18</v>
      </c>
      <c r="E755" t="s">
        <v>985</v>
      </c>
      <c r="F755">
        <v>10471</v>
      </c>
      <c r="G755" t="s">
        <v>61</v>
      </c>
      <c r="H755" t="s">
        <v>21</v>
      </c>
      <c r="I755">
        <v>225344</v>
      </c>
      <c r="J755">
        <v>222344</v>
      </c>
      <c r="K755">
        <v>3000</v>
      </c>
      <c r="L755">
        <v>0</v>
      </c>
      <c r="M755">
        <v>0</v>
      </c>
      <c r="N755">
        <v>0</v>
      </c>
    </row>
    <row r="756" spans="1:14" ht="14.4">
      <c r="A756">
        <v>13365</v>
      </c>
      <c r="B756">
        <v>13366</v>
      </c>
      <c r="C756">
        <v>4085</v>
      </c>
      <c r="D756" t="s">
        <v>18</v>
      </c>
      <c r="E756" t="s">
        <v>300</v>
      </c>
      <c r="F756">
        <v>11901</v>
      </c>
      <c r="G756" t="s">
        <v>23</v>
      </c>
      <c r="H756" t="s">
        <v>21</v>
      </c>
      <c r="I756">
        <v>1178130</v>
      </c>
      <c r="J756">
        <v>1034219</v>
      </c>
      <c r="K756">
        <v>143911</v>
      </c>
      <c r="L756">
        <v>62400</v>
      </c>
      <c r="M756">
        <v>48100</v>
      </c>
      <c r="N756">
        <v>14300</v>
      </c>
    </row>
    <row r="757" spans="1:14" ht="14.4">
      <c r="A757">
        <v>13365</v>
      </c>
      <c r="B757">
        <v>13366</v>
      </c>
      <c r="C757">
        <v>4085</v>
      </c>
      <c r="D757" t="s">
        <v>18</v>
      </c>
      <c r="E757" t="s">
        <v>1322</v>
      </c>
      <c r="F757">
        <v>11694</v>
      </c>
      <c r="G757" t="s">
        <v>28</v>
      </c>
      <c r="H757" t="s">
        <v>21</v>
      </c>
      <c r="I757">
        <v>12825</v>
      </c>
      <c r="J757">
        <v>0</v>
      </c>
      <c r="K757">
        <v>12825</v>
      </c>
      <c r="L757">
        <v>12900</v>
      </c>
      <c r="M757">
        <v>0</v>
      </c>
      <c r="N757">
        <v>12900</v>
      </c>
    </row>
    <row r="758" spans="1:14" ht="14.4">
      <c r="A758">
        <v>13365</v>
      </c>
      <c r="B758">
        <v>13366</v>
      </c>
      <c r="C758">
        <v>4085</v>
      </c>
      <c r="D758" t="s">
        <v>18</v>
      </c>
      <c r="E758" t="s">
        <v>1323</v>
      </c>
      <c r="F758">
        <v>11693</v>
      </c>
      <c r="G758" t="s">
        <v>28</v>
      </c>
      <c r="H758" t="s">
        <v>21</v>
      </c>
      <c r="I758">
        <v>94035</v>
      </c>
      <c r="J758">
        <v>70035</v>
      </c>
      <c r="K758">
        <v>24000</v>
      </c>
      <c r="L758">
        <v>71400</v>
      </c>
      <c r="M758">
        <v>53900</v>
      </c>
      <c r="N758">
        <v>17500</v>
      </c>
    </row>
    <row r="759" spans="1:14" ht="14.4">
      <c r="A759">
        <v>13365</v>
      </c>
      <c r="B759">
        <v>13366</v>
      </c>
      <c r="C759">
        <v>4085</v>
      </c>
      <c r="D759" t="s">
        <v>18</v>
      </c>
      <c r="E759" t="s">
        <v>1324</v>
      </c>
      <c r="F759">
        <v>11694</v>
      </c>
      <c r="G759" t="s">
        <v>28</v>
      </c>
      <c r="H759" t="s">
        <v>21</v>
      </c>
      <c r="I759">
        <v>19455</v>
      </c>
      <c r="J759">
        <v>0</v>
      </c>
      <c r="K759">
        <v>19455</v>
      </c>
      <c r="L759">
        <v>14000</v>
      </c>
      <c r="M759">
        <v>0</v>
      </c>
      <c r="N759">
        <v>14000</v>
      </c>
    </row>
    <row r="760" spans="1:14" ht="14.4">
      <c r="A760">
        <v>13365</v>
      </c>
      <c r="B760">
        <v>13366</v>
      </c>
      <c r="C760">
        <v>4085</v>
      </c>
      <c r="D760" t="s">
        <v>18</v>
      </c>
      <c r="E760" t="s">
        <v>1325</v>
      </c>
      <c r="F760">
        <v>12775</v>
      </c>
      <c r="G760" t="s">
        <v>189</v>
      </c>
      <c r="H760" t="s">
        <v>21</v>
      </c>
      <c r="I760">
        <v>79708</v>
      </c>
      <c r="J760">
        <v>78408</v>
      </c>
      <c r="K760">
        <v>1300</v>
      </c>
      <c r="L760">
        <v>0</v>
      </c>
      <c r="M760">
        <v>0</v>
      </c>
      <c r="N760">
        <v>0</v>
      </c>
    </row>
    <row r="761" spans="1:14" ht="14.4">
      <c r="A761">
        <v>13365</v>
      </c>
      <c r="B761">
        <v>13366</v>
      </c>
      <c r="C761">
        <v>4085</v>
      </c>
      <c r="D761" t="s">
        <v>18</v>
      </c>
      <c r="E761" t="s">
        <v>1326</v>
      </c>
      <c r="F761">
        <v>11694</v>
      </c>
      <c r="G761" t="s">
        <v>28</v>
      </c>
      <c r="H761" t="s">
        <v>21</v>
      </c>
      <c r="I761">
        <v>11275</v>
      </c>
      <c r="J761">
        <v>0</v>
      </c>
      <c r="K761">
        <v>11275</v>
      </c>
      <c r="L761">
        <v>0</v>
      </c>
      <c r="M761">
        <v>0</v>
      </c>
      <c r="N761">
        <v>0</v>
      </c>
    </row>
    <row r="762" spans="1:14" ht="14.4">
      <c r="A762">
        <v>13365</v>
      </c>
      <c r="B762">
        <v>13366</v>
      </c>
      <c r="C762">
        <v>4085</v>
      </c>
      <c r="D762" t="s">
        <v>18</v>
      </c>
      <c r="E762" t="s">
        <v>1327</v>
      </c>
      <c r="F762">
        <v>11694</v>
      </c>
      <c r="G762" t="s">
        <v>28</v>
      </c>
      <c r="H762" t="s">
        <v>21</v>
      </c>
      <c r="I762">
        <v>2150</v>
      </c>
      <c r="J762">
        <v>0</v>
      </c>
      <c r="K762">
        <v>2150</v>
      </c>
      <c r="L762">
        <v>0</v>
      </c>
      <c r="M762">
        <v>0</v>
      </c>
      <c r="N762">
        <v>0</v>
      </c>
    </row>
    <row r="763" spans="1:14" ht="14.4">
      <c r="A763">
        <v>13365</v>
      </c>
      <c r="B763">
        <v>13366</v>
      </c>
      <c r="C763">
        <v>4085</v>
      </c>
      <c r="D763" t="s">
        <v>18</v>
      </c>
      <c r="E763" t="s">
        <v>303</v>
      </c>
      <c r="F763">
        <v>11692</v>
      </c>
      <c r="G763" t="s">
        <v>28</v>
      </c>
      <c r="H763" t="s">
        <v>21</v>
      </c>
      <c r="I763">
        <v>117654</v>
      </c>
      <c r="J763">
        <v>87209</v>
      </c>
      <c r="K763">
        <v>30445</v>
      </c>
      <c r="L763">
        <v>88500</v>
      </c>
      <c r="M763">
        <v>72300</v>
      </c>
      <c r="N763">
        <v>16200</v>
      </c>
    </row>
    <row r="764" spans="1:14" ht="14.4">
      <c r="A764">
        <v>13365</v>
      </c>
      <c r="B764">
        <v>13366</v>
      </c>
      <c r="C764">
        <v>4085</v>
      </c>
      <c r="D764" t="s">
        <v>18</v>
      </c>
      <c r="E764" t="s">
        <v>303</v>
      </c>
      <c r="F764">
        <v>11693</v>
      </c>
      <c r="G764" t="s">
        <v>32</v>
      </c>
      <c r="H764" t="s">
        <v>21</v>
      </c>
      <c r="I764">
        <v>23829</v>
      </c>
      <c r="J764">
        <v>14204</v>
      </c>
      <c r="K764">
        <v>9625</v>
      </c>
      <c r="L764">
        <v>0</v>
      </c>
      <c r="M764">
        <v>0</v>
      </c>
      <c r="N764">
        <v>0</v>
      </c>
    </row>
    <row r="765" spans="1:14" ht="14.4">
      <c r="A765">
        <v>13365</v>
      </c>
      <c r="B765">
        <v>13366</v>
      </c>
      <c r="C765">
        <v>4085</v>
      </c>
      <c r="D765" t="s">
        <v>18</v>
      </c>
      <c r="E765" t="s">
        <v>303</v>
      </c>
      <c r="F765">
        <v>11693</v>
      </c>
      <c r="G765" t="s">
        <v>28</v>
      </c>
      <c r="H765" t="s">
        <v>21</v>
      </c>
      <c r="I765">
        <v>482396</v>
      </c>
      <c r="J765">
        <v>172082</v>
      </c>
      <c r="K765">
        <v>310314</v>
      </c>
      <c r="L765">
        <v>14100</v>
      </c>
      <c r="M765">
        <v>0</v>
      </c>
      <c r="N765">
        <v>14100</v>
      </c>
    </row>
    <row r="766" spans="1:14" ht="14.4">
      <c r="A766">
        <v>13365</v>
      </c>
      <c r="B766">
        <v>13366</v>
      </c>
      <c r="C766">
        <v>4085</v>
      </c>
      <c r="D766" t="s">
        <v>18</v>
      </c>
      <c r="E766" t="s">
        <v>303</v>
      </c>
      <c r="F766">
        <v>11694</v>
      </c>
      <c r="G766" t="s">
        <v>28</v>
      </c>
      <c r="H766" t="s">
        <v>21</v>
      </c>
      <c r="I766">
        <v>3678335</v>
      </c>
      <c r="J766">
        <v>2443638</v>
      </c>
      <c r="K766">
        <v>1234697</v>
      </c>
      <c r="L766">
        <v>1526100</v>
      </c>
      <c r="M766">
        <v>1095500</v>
      </c>
      <c r="N766">
        <v>430600</v>
      </c>
    </row>
    <row r="767" spans="1:14" ht="14.4">
      <c r="A767">
        <v>13365</v>
      </c>
      <c r="B767">
        <v>13366</v>
      </c>
      <c r="C767">
        <v>4085</v>
      </c>
      <c r="D767" t="s">
        <v>18</v>
      </c>
      <c r="E767" t="s">
        <v>303</v>
      </c>
      <c r="F767">
        <v>11697</v>
      </c>
      <c r="G767" t="s">
        <v>28</v>
      </c>
      <c r="H767" t="s">
        <v>21</v>
      </c>
      <c r="I767">
        <v>440455</v>
      </c>
      <c r="J767">
        <v>299585</v>
      </c>
      <c r="K767">
        <v>140870</v>
      </c>
      <c r="L767">
        <v>320200</v>
      </c>
      <c r="M767">
        <v>192600</v>
      </c>
      <c r="N767">
        <v>127600</v>
      </c>
    </row>
    <row r="768" spans="1:14" ht="14.4">
      <c r="A768">
        <v>13365</v>
      </c>
      <c r="B768">
        <v>13366</v>
      </c>
      <c r="C768">
        <v>4085</v>
      </c>
      <c r="D768" t="s">
        <v>18</v>
      </c>
      <c r="E768" t="s">
        <v>1328</v>
      </c>
      <c r="F768">
        <v>11693</v>
      </c>
      <c r="G768" t="s">
        <v>28</v>
      </c>
      <c r="H768" t="s">
        <v>21</v>
      </c>
      <c r="I768">
        <v>9675</v>
      </c>
      <c r="J768">
        <v>3383</v>
      </c>
      <c r="K768">
        <v>6292</v>
      </c>
      <c r="L768">
        <v>9600</v>
      </c>
      <c r="M768">
        <v>3300</v>
      </c>
      <c r="N768">
        <v>6300</v>
      </c>
    </row>
    <row r="769" spans="1:14" ht="14.4">
      <c r="A769">
        <v>13365</v>
      </c>
      <c r="B769">
        <v>13366</v>
      </c>
      <c r="C769">
        <v>4085</v>
      </c>
      <c r="D769" t="s">
        <v>18</v>
      </c>
      <c r="E769" t="s">
        <v>1328</v>
      </c>
      <c r="F769">
        <v>11694</v>
      </c>
      <c r="G769" t="s">
        <v>28</v>
      </c>
      <c r="H769" t="s">
        <v>21</v>
      </c>
      <c r="I769">
        <v>44952</v>
      </c>
      <c r="J769">
        <v>0</v>
      </c>
      <c r="K769">
        <v>44952</v>
      </c>
      <c r="L769">
        <v>0</v>
      </c>
      <c r="M769">
        <v>0</v>
      </c>
      <c r="N769">
        <v>0</v>
      </c>
    </row>
    <row r="770" spans="1:14" ht="14.4">
      <c r="A770">
        <v>13365</v>
      </c>
      <c r="B770">
        <v>13366</v>
      </c>
      <c r="C770">
        <v>4085</v>
      </c>
      <c r="D770" t="s">
        <v>18</v>
      </c>
      <c r="E770" t="s">
        <v>304</v>
      </c>
      <c r="F770">
        <v>11693</v>
      </c>
      <c r="G770" t="s">
        <v>28</v>
      </c>
      <c r="H770" t="s">
        <v>21</v>
      </c>
      <c r="I770">
        <v>341438</v>
      </c>
      <c r="J770">
        <v>251558</v>
      </c>
      <c r="K770">
        <v>89880</v>
      </c>
      <c r="L770">
        <v>72000</v>
      </c>
      <c r="M770">
        <v>48200</v>
      </c>
      <c r="N770">
        <v>23800</v>
      </c>
    </row>
    <row r="771" spans="1:14" ht="14.4">
      <c r="A771">
        <v>13365</v>
      </c>
      <c r="B771">
        <v>13366</v>
      </c>
      <c r="C771">
        <v>4085</v>
      </c>
      <c r="D771" t="s">
        <v>18</v>
      </c>
      <c r="E771" t="s">
        <v>305</v>
      </c>
      <c r="F771">
        <v>11639</v>
      </c>
      <c r="G771" t="s">
        <v>28</v>
      </c>
      <c r="H771" t="s">
        <v>21</v>
      </c>
      <c r="I771">
        <v>13800</v>
      </c>
      <c r="J771">
        <v>0</v>
      </c>
      <c r="K771">
        <v>13800</v>
      </c>
      <c r="L771">
        <v>0</v>
      </c>
      <c r="M771">
        <v>0</v>
      </c>
      <c r="N771">
        <v>0</v>
      </c>
    </row>
    <row r="772" spans="1:14" ht="14.4">
      <c r="A772">
        <v>13365</v>
      </c>
      <c r="B772">
        <v>13366</v>
      </c>
      <c r="C772">
        <v>4085</v>
      </c>
      <c r="D772" t="s">
        <v>18</v>
      </c>
      <c r="E772" t="s">
        <v>305</v>
      </c>
      <c r="F772">
        <v>11692</v>
      </c>
      <c r="G772" t="s">
        <v>28</v>
      </c>
      <c r="H772" t="s">
        <v>21</v>
      </c>
      <c r="I772">
        <v>119970</v>
      </c>
      <c r="J772">
        <v>0</v>
      </c>
      <c r="K772">
        <v>119970</v>
      </c>
      <c r="L772">
        <v>20900</v>
      </c>
      <c r="M772">
        <v>0</v>
      </c>
      <c r="N772">
        <v>20900</v>
      </c>
    </row>
    <row r="773" spans="1:14" ht="14.4">
      <c r="A773">
        <v>13365</v>
      </c>
      <c r="B773">
        <v>13366</v>
      </c>
      <c r="C773">
        <v>4085</v>
      </c>
      <c r="D773" t="s">
        <v>18</v>
      </c>
      <c r="E773" t="s">
        <v>305</v>
      </c>
      <c r="F773">
        <v>11693</v>
      </c>
      <c r="G773" t="s">
        <v>43</v>
      </c>
      <c r="H773" t="s">
        <v>21</v>
      </c>
      <c r="I773">
        <v>10350</v>
      </c>
      <c r="J773">
        <v>0</v>
      </c>
      <c r="K773">
        <v>10350</v>
      </c>
      <c r="L773">
        <v>10400</v>
      </c>
      <c r="M773">
        <v>0</v>
      </c>
      <c r="N773">
        <v>10400</v>
      </c>
    </row>
    <row r="774" spans="1:14" ht="14.4">
      <c r="A774">
        <v>13365</v>
      </c>
      <c r="B774">
        <v>13366</v>
      </c>
      <c r="C774">
        <v>4085</v>
      </c>
      <c r="D774" t="s">
        <v>18</v>
      </c>
      <c r="E774" t="s">
        <v>305</v>
      </c>
      <c r="F774">
        <v>11693</v>
      </c>
      <c r="G774" t="s">
        <v>32</v>
      </c>
      <c r="H774" t="s">
        <v>21</v>
      </c>
      <c r="I774">
        <v>48730</v>
      </c>
      <c r="J774">
        <v>18255</v>
      </c>
      <c r="K774">
        <v>30475</v>
      </c>
      <c r="L774">
        <v>12500</v>
      </c>
      <c r="M774">
        <v>0</v>
      </c>
      <c r="N774">
        <v>12500</v>
      </c>
    </row>
    <row r="775" spans="1:14" ht="14.4">
      <c r="A775">
        <v>13365</v>
      </c>
      <c r="B775">
        <v>13366</v>
      </c>
      <c r="C775">
        <v>4085</v>
      </c>
      <c r="D775" t="s">
        <v>18</v>
      </c>
      <c r="E775" t="s">
        <v>305</v>
      </c>
      <c r="F775">
        <v>11693</v>
      </c>
      <c r="G775" t="s">
        <v>28</v>
      </c>
      <c r="H775" t="s">
        <v>21</v>
      </c>
      <c r="I775">
        <v>15814755</v>
      </c>
      <c r="J775">
        <v>8541847</v>
      </c>
      <c r="K775">
        <v>7272908</v>
      </c>
      <c r="L775">
        <v>5408400</v>
      </c>
      <c r="M775">
        <v>2679200</v>
      </c>
      <c r="N775">
        <v>2729200</v>
      </c>
    </row>
    <row r="776" spans="1:14" ht="14.4">
      <c r="A776">
        <v>13365</v>
      </c>
      <c r="B776">
        <v>13366</v>
      </c>
      <c r="C776">
        <v>4085</v>
      </c>
      <c r="D776" t="s">
        <v>18</v>
      </c>
      <c r="E776" t="s">
        <v>305</v>
      </c>
      <c r="F776">
        <v>11694</v>
      </c>
      <c r="G776" t="s">
        <v>28</v>
      </c>
      <c r="H776" t="s">
        <v>21</v>
      </c>
      <c r="I776">
        <v>1207783</v>
      </c>
      <c r="J776">
        <v>688162</v>
      </c>
      <c r="K776">
        <v>519621</v>
      </c>
      <c r="L776">
        <v>511000</v>
      </c>
      <c r="M776">
        <v>331000</v>
      </c>
      <c r="N776">
        <v>180000</v>
      </c>
    </row>
    <row r="777" spans="1:14" ht="14.4">
      <c r="A777">
        <v>13365</v>
      </c>
      <c r="B777">
        <v>13366</v>
      </c>
      <c r="C777">
        <v>4085</v>
      </c>
      <c r="D777" t="s">
        <v>18</v>
      </c>
      <c r="E777" t="s">
        <v>305</v>
      </c>
      <c r="F777">
        <v>11963</v>
      </c>
      <c r="G777" t="s">
        <v>28</v>
      </c>
      <c r="H777" t="s">
        <v>21</v>
      </c>
      <c r="I777">
        <v>10662</v>
      </c>
      <c r="J777">
        <v>0</v>
      </c>
      <c r="K777">
        <v>10662</v>
      </c>
      <c r="L777">
        <v>0</v>
      </c>
      <c r="M777">
        <v>0</v>
      </c>
      <c r="N777">
        <v>0</v>
      </c>
    </row>
    <row r="778" spans="1:14" ht="14.4">
      <c r="A778">
        <v>13365</v>
      </c>
      <c r="B778">
        <v>13366</v>
      </c>
      <c r="C778">
        <v>4085</v>
      </c>
      <c r="D778" t="s">
        <v>18</v>
      </c>
      <c r="E778" t="s">
        <v>1329</v>
      </c>
      <c r="F778">
        <v>11693</v>
      </c>
      <c r="G778" t="s">
        <v>28</v>
      </c>
      <c r="H778" t="s">
        <v>21</v>
      </c>
      <c r="I778">
        <v>109731</v>
      </c>
      <c r="J778">
        <v>95481</v>
      </c>
      <c r="K778">
        <v>14250</v>
      </c>
      <c r="L778">
        <v>0</v>
      </c>
      <c r="M778">
        <v>0</v>
      </c>
      <c r="N778">
        <v>0</v>
      </c>
    </row>
    <row r="779" spans="1:14" ht="14.4">
      <c r="A779">
        <v>13365</v>
      </c>
      <c r="B779">
        <v>13366</v>
      </c>
      <c r="C779">
        <v>4085</v>
      </c>
      <c r="D779" t="s">
        <v>18</v>
      </c>
      <c r="E779" t="s">
        <v>306</v>
      </c>
      <c r="F779">
        <v>11692</v>
      </c>
      <c r="G779" t="s">
        <v>28</v>
      </c>
      <c r="H779" t="s">
        <v>21</v>
      </c>
      <c r="I779">
        <v>3512</v>
      </c>
      <c r="J779">
        <v>0</v>
      </c>
      <c r="K779">
        <v>3512</v>
      </c>
      <c r="L779">
        <v>0</v>
      </c>
      <c r="M779">
        <v>0</v>
      </c>
      <c r="N779">
        <v>0</v>
      </c>
    </row>
    <row r="780" spans="1:14" ht="14.4">
      <c r="A780">
        <v>13365</v>
      </c>
      <c r="B780">
        <v>13366</v>
      </c>
      <c r="C780">
        <v>4085</v>
      </c>
      <c r="D780" t="s">
        <v>18</v>
      </c>
      <c r="E780" t="s">
        <v>306</v>
      </c>
      <c r="F780">
        <v>11693</v>
      </c>
      <c r="G780" t="s">
        <v>28</v>
      </c>
      <c r="H780" t="s">
        <v>21</v>
      </c>
      <c r="I780">
        <v>32750</v>
      </c>
      <c r="J780">
        <v>0</v>
      </c>
      <c r="K780">
        <v>32750</v>
      </c>
      <c r="L780">
        <v>0</v>
      </c>
      <c r="M780">
        <v>0</v>
      </c>
      <c r="N780">
        <v>0</v>
      </c>
    </row>
    <row r="781" spans="1:14" ht="14.4">
      <c r="A781">
        <v>13365</v>
      </c>
      <c r="B781">
        <v>13366</v>
      </c>
      <c r="C781">
        <v>4085</v>
      </c>
      <c r="D781" t="s">
        <v>18</v>
      </c>
      <c r="E781" t="s">
        <v>306</v>
      </c>
      <c r="F781">
        <v>11694</v>
      </c>
      <c r="G781" t="s">
        <v>43</v>
      </c>
      <c r="H781" t="s">
        <v>21</v>
      </c>
      <c r="I781">
        <v>160594</v>
      </c>
      <c r="J781">
        <v>121194</v>
      </c>
      <c r="K781">
        <v>39400</v>
      </c>
      <c r="L781">
        <v>0</v>
      </c>
      <c r="M781">
        <v>0</v>
      </c>
      <c r="N781">
        <v>0</v>
      </c>
    </row>
    <row r="782" spans="1:14" ht="14.4">
      <c r="A782">
        <v>13365</v>
      </c>
      <c r="B782">
        <v>13366</v>
      </c>
      <c r="C782">
        <v>4085</v>
      </c>
      <c r="D782" t="s">
        <v>18</v>
      </c>
      <c r="E782" t="s">
        <v>306</v>
      </c>
      <c r="F782">
        <v>11694</v>
      </c>
      <c r="G782" t="s">
        <v>20</v>
      </c>
      <c r="H782" t="s">
        <v>21</v>
      </c>
      <c r="I782">
        <v>22600</v>
      </c>
      <c r="J782">
        <v>0</v>
      </c>
      <c r="K782">
        <v>22600</v>
      </c>
      <c r="L782">
        <v>0</v>
      </c>
      <c r="M782">
        <v>0</v>
      </c>
      <c r="N782">
        <v>0</v>
      </c>
    </row>
    <row r="783" spans="1:14" ht="14.4">
      <c r="A783">
        <v>13365</v>
      </c>
      <c r="B783">
        <v>13366</v>
      </c>
      <c r="C783">
        <v>4085</v>
      </c>
      <c r="D783" t="s">
        <v>18</v>
      </c>
      <c r="E783" t="s">
        <v>306</v>
      </c>
      <c r="F783">
        <v>11694</v>
      </c>
      <c r="G783" t="s">
        <v>32</v>
      </c>
      <c r="H783" t="s">
        <v>21</v>
      </c>
      <c r="I783">
        <v>383041</v>
      </c>
      <c r="J783">
        <v>256876</v>
      </c>
      <c r="K783">
        <v>126165</v>
      </c>
      <c r="L783">
        <v>24100</v>
      </c>
      <c r="M783">
        <v>0</v>
      </c>
      <c r="N783">
        <v>24100</v>
      </c>
    </row>
    <row r="784" spans="1:14" ht="14.4">
      <c r="A784">
        <v>13365</v>
      </c>
      <c r="B784">
        <v>13366</v>
      </c>
      <c r="C784">
        <v>4085</v>
      </c>
      <c r="D784" t="s">
        <v>18</v>
      </c>
      <c r="E784" t="s">
        <v>306</v>
      </c>
      <c r="F784">
        <v>11694</v>
      </c>
      <c r="G784" t="s">
        <v>28</v>
      </c>
      <c r="H784" t="s">
        <v>21</v>
      </c>
      <c r="I784">
        <v>82476437</v>
      </c>
      <c r="J784">
        <v>53267310</v>
      </c>
      <c r="K784">
        <v>29209127</v>
      </c>
      <c r="L784">
        <v>38451800</v>
      </c>
      <c r="M784">
        <v>24788000</v>
      </c>
      <c r="N784">
        <v>13663800</v>
      </c>
    </row>
    <row r="785" spans="1:14" ht="14.4">
      <c r="A785">
        <v>13365</v>
      </c>
      <c r="B785">
        <v>13366</v>
      </c>
      <c r="C785">
        <v>4085</v>
      </c>
      <c r="D785" t="s">
        <v>18</v>
      </c>
      <c r="E785" t="s">
        <v>306</v>
      </c>
      <c r="F785">
        <v>11964</v>
      </c>
      <c r="G785" t="s">
        <v>28</v>
      </c>
      <c r="H785" t="s">
        <v>21</v>
      </c>
      <c r="I785">
        <v>98176</v>
      </c>
      <c r="J785">
        <v>56526</v>
      </c>
      <c r="K785">
        <v>41650</v>
      </c>
      <c r="L785">
        <v>0</v>
      </c>
      <c r="M785">
        <v>0</v>
      </c>
      <c r="N785">
        <v>0</v>
      </c>
    </row>
    <row r="786" spans="1:14" ht="14.4">
      <c r="A786">
        <v>13365</v>
      </c>
      <c r="B786">
        <v>13366</v>
      </c>
      <c r="C786">
        <v>4085</v>
      </c>
      <c r="D786" t="s">
        <v>18</v>
      </c>
      <c r="E786" t="s">
        <v>1330</v>
      </c>
      <c r="F786">
        <v>11694</v>
      </c>
      <c r="G786" t="s">
        <v>28</v>
      </c>
      <c r="H786" t="s">
        <v>21</v>
      </c>
      <c r="I786">
        <v>35475</v>
      </c>
      <c r="J786">
        <v>0</v>
      </c>
      <c r="K786">
        <v>35475</v>
      </c>
      <c r="L786">
        <v>0</v>
      </c>
      <c r="M786">
        <v>0</v>
      </c>
      <c r="N786">
        <v>0</v>
      </c>
    </row>
    <row r="787" spans="1:14" ht="14.4">
      <c r="A787">
        <v>13365</v>
      </c>
      <c r="B787">
        <v>13366</v>
      </c>
      <c r="C787">
        <v>4085</v>
      </c>
      <c r="D787" t="s">
        <v>18</v>
      </c>
      <c r="E787" t="s">
        <v>307</v>
      </c>
      <c r="F787">
        <v>11693</v>
      </c>
      <c r="G787" t="s">
        <v>28</v>
      </c>
      <c r="H787" t="s">
        <v>21</v>
      </c>
      <c r="I787">
        <v>16460</v>
      </c>
      <c r="J787">
        <v>0</v>
      </c>
      <c r="K787">
        <v>16460</v>
      </c>
      <c r="L787">
        <v>0</v>
      </c>
      <c r="M787">
        <v>0</v>
      </c>
      <c r="N787">
        <v>0</v>
      </c>
    </row>
    <row r="788" spans="1:14" ht="14.4">
      <c r="A788">
        <v>13365</v>
      </c>
      <c r="B788">
        <v>13366</v>
      </c>
      <c r="C788">
        <v>4085</v>
      </c>
      <c r="D788" t="s">
        <v>18</v>
      </c>
      <c r="E788" t="s">
        <v>308</v>
      </c>
      <c r="F788">
        <v>11691</v>
      </c>
      <c r="G788" t="s">
        <v>28</v>
      </c>
      <c r="H788" t="s">
        <v>21</v>
      </c>
      <c r="I788">
        <v>155573</v>
      </c>
      <c r="J788">
        <v>125023</v>
      </c>
      <c r="K788">
        <v>30550</v>
      </c>
      <c r="L788">
        <v>0</v>
      </c>
      <c r="M788">
        <v>0</v>
      </c>
      <c r="N788">
        <v>0</v>
      </c>
    </row>
    <row r="789" spans="1:14" ht="14.4">
      <c r="A789">
        <v>13365</v>
      </c>
      <c r="B789">
        <v>13366</v>
      </c>
      <c r="C789">
        <v>4085</v>
      </c>
      <c r="D789" t="s">
        <v>18</v>
      </c>
      <c r="E789" t="s">
        <v>308</v>
      </c>
      <c r="F789">
        <v>11694</v>
      </c>
      <c r="G789" t="s">
        <v>28</v>
      </c>
      <c r="H789" t="s">
        <v>21</v>
      </c>
      <c r="I789">
        <v>65084</v>
      </c>
      <c r="J789">
        <v>49584</v>
      </c>
      <c r="K789">
        <v>15500</v>
      </c>
      <c r="L789">
        <v>57100</v>
      </c>
      <c r="M789">
        <v>41600</v>
      </c>
      <c r="N789">
        <v>15500</v>
      </c>
    </row>
    <row r="790" spans="1:14" ht="14.4">
      <c r="A790">
        <v>13365</v>
      </c>
      <c r="B790">
        <v>13366</v>
      </c>
      <c r="C790">
        <v>4085</v>
      </c>
      <c r="D790" t="s">
        <v>18</v>
      </c>
      <c r="E790" t="s">
        <v>308</v>
      </c>
      <c r="F790">
        <v>11697</v>
      </c>
      <c r="G790" t="s">
        <v>32</v>
      </c>
      <c r="H790" t="s">
        <v>21</v>
      </c>
      <c r="I790">
        <v>173639</v>
      </c>
      <c r="J790">
        <v>131014</v>
      </c>
      <c r="K790">
        <v>42625</v>
      </c>
      <c r="L790">
        <v>102100</v>
      </c>
      <c r="M790">
        <v>76600</v>
      </c>
      <c r="N790">
        <v>25500</v>
      </c>
    </row>
    <row r="791" spans="1:14" ht="14.4">
      <c r="A791">
        <v>13365</v>
      </c>
      <c r="B791">
        <v>13366</v>
      </c>
      <c r="C791">
        <v>4085</v>
      </c>
      <c r="D791" t="s">
        <v>18</v>
      </c>
      <c r="E791" t="s">
        <v>308</v>
      </c>
      <c r="F791">
        <v>11697</v>
      </c>
      <c r="G791" t="s">
        <v>28</v>
      </c>
      <c r="H791" t="s">
        <v>21</v>
      </c>
      <c r="I791">
        <v>34612512</v>
      </c>
      <c r="J791">
        <v>25678931</v>
      </c>
      <c r="K791">
        <v>8933581</v>
      </c>
      <c r="L791">
        <v>15861700</v>
      </c>
      <c r="M791">
        <v>10486800</v>
      </c>
      <c r="N791">
        <v>5374900</v>
      </c>
    </row>
    <row r="792" spans="1:14" ht="14.4">
      <c r="A792">
        <v>13365</v>
      </c>
      <c r="B792">
        <v>13366</v>
      </c>
      <c r="C792">
        <v>4085</v>
      </c>
      <c r="D792" t="s">
        <v>18</v>
      </c>
      <c r="E792" t="s">
        <v>308</v>
      </c>
      <c r="F792">
        <v>11934</v>
      </c>
      <c r="G792" t="s">
        <v>28</v>
      </c>
      <c r="H792" t="s">
        <v>21</v>
      </c>
      <c r="I792">
        <v>178012</v>
      </c>
      <c r="J792">
        <v>138112</v>
      </c>
      <c r="K792">
        <v>39900</v>
      </c>
      <c r="L792">
        <v>0</v>
      </c>
      <c r="M792">
        <v>0</v>
      </c>
      <c r="N792">
        <v>0</v>
      </c>
    </row>
    <row r="793" spans="1:14" ht="14.4">
      <c r="A793">
        <v>13365</v>
      </c>
      <c r="B793">
        <v>13366</v>
      </c>
      <c r="C793">
        <v>4085</v>
      </c>
      <c r="D793" t="s">
        <v>18</v>
      </c>
      <c r="E793" t="s">
        <v>1331</v>
      </c>
      <c r="F793">
        <v>11697</v>
      </c>
      <c r="G793" t="s">
        <v>28</v>
      </c>
      <c r="H793" t="s">
        <v>21</v>
      </c>
      <c r="I793">
        <v>1690601</v>
      </c>
      <c r="J793">
        <v>1218086</v>
      </c>
      <c r="K793">
        <v>472515</v>
      </c>
      <c r="L793">
        <v>942600</v>
      </c>
      <c r="M793">
        <v>643400</v>
      </c>
      <c r="N793">
        <v>299200</v>
      </c>
    </row>
    <row r="794" spans="1:14" ht="14.4">
      <c r="A794">
        <v>13365</v>
      </c>
      <c r="B794">
        <v>13366</v>
      </c>
      <c r="C794">
        <v>4085</v>
      </c>
      <c r="D794" t="s">
        <v>18</v>
      </c>
      <c r="E794" t="s">
        <v>1332</v>
      </c>
      <c r="F794">
        <v>11693</v>
      </c>
      <c r="G794" t="s">
        <v>28</v>
      </c>
      <c r="H794" t="s">
        <v>21</v>
      </c>
      <c r="I794">
        <v>88199</v>
      </c>
      <c r="J794">
        <v>62499</v>
      </c>
      <c r="K794">
        <v>25700</v>
      </c>
      <c r="L794">
        <v>49900</v>
      </c>
      <c r="M794">
        <v>24200</v>
      </c>
      <c r="N794">
        <v>25700</v>
      </c>
    </row>
    <row r="795" spans="1:14" ht="14.4">
      <c r="A795">
        <v>13365</v>
      </c>
      <c r="B795">
        <v>13366</v>
      </c>
      <c r="C795">
        <v>4085</v>
      </c>
      <c r="D795" t="s">
        <v>18</v>
      </c>
      <c r="E795" t="s">
        <v>1333</v>
      </c>
      <c r="F795">
        <v>11694</v>
      </c>
      <c r="G795" t="s">
        <v>28</v>
      </c>
      <c r="H795" t="s">
        <v>21</v>
      </c>
      <c r="I795">
        <v>12050</v>
      </c>
      <c r="J795">
        <v>0</v>
      </c>
      <c r="K795">
        <v>12050</v>
      </c>
      <c r="L795">
        <v>12100</v>
      </c>
      <c r="M795">
        <v>0</v>
      </c>
      <c r="N795">
        <v>12100</v>
      </c>
    </row>
    <row r="796" spans="1:14" ht="14.4">
      <c r="A796">
        <v>13365</v>
      </c>
      <c r="B796">
        <v>13366</v>
      </c>
      <c r="C796">
        <v>4085</v>
      </c>
      <c r="D796" t="s">
        <v>18</v>
      </c>
      <c r="E796" t="s">
        <v>1334</v>
      </c>
      <c r="F796">
        <v>11693</v>
      </c>
      <c r="G796" t="s">
        <v>28</v>
      </c>
      <c r="H796" t="s">
        <v>21</v>
      </c>
      <c r="I796">
        <v>3000</v>
      </c>
      <c r="J796">
        <v>0</v>
      </c>
      <c r="K796">
        <v>3000</v>
      </c>
      <c r="L796">
        <v>0</v>
      </c>
      <c r="M796">
        <v>0</v>
      </c>
      <c r="N796">
        <v>0</v>
      </c>
    </row>
    <row r="797" spans="1:14" ht="14.4">
      <c r="A797">
        <v>13365</v>
      </c>
      <c r="B797">
        <v>13366</v>
      </c>
      <c r="C797">
        <v>4085</v>
      </c>
      <c r="D797" t="s">
        <v>18</v>
      </c>
      <c r="E797" t="s">
        <v>1335</v>
      </c>
      <c r="F797">
        <v>11695</v>
      </c>
      <c r="G797" t="s">
        <v>28</v>
      </c>
      <c r="H797" t="s">
        <v>21</v>
      </c>
      <c r="I797">
        <v>5625</v>
      </c>
      <c r="J797">
        <v>0</v>
      </c>
      <c r="K797">
        <v>5625</v>
      </c>
      <c r="L797">
        <v>0</v>
      </c>
      <c r="M797">
        <v>0</v>
      </c>
      <c r="N797">
        <v>0</v>
      </c>
    </row>
    <row r="798" spans="1:14" ht="14.4">
      <c r="A798">
        <v>13365</v>
      </c>
      <c r="B798">
        <v>13366</v>
      </c>
      <c r="C798">
        <v>4085</v>
      </c>
      <c r="D798" t="s">
        <v>18</v>
      </c>
      <c r="E798" t="s">
        <v>1336</v>
      </c>
      <c r="F798">
        <v>11570</v>
      </c>
      <c r="G798" t="s">
        <v>20</v>
      </c>
      <c r="H798" t="s">
        <v>21</v>
      </c>
      <c r="I798">
        <v>25906</v>
      </c>
      <c r="J798">
        <v>16994</v>
      </c>
      <c r="K798">
        <v>8912</v>
      </c>
      <c r="L798">
        <v>0</v>
      </c>
      <c r="M798">
        <v>0</v>
      </c>
      <c r="N798">
        <v>0</v>
      </c>
    </row>
    <row r="799" spans="1:14" ht="14.4">
      <c r="A799">
        <v>13365</v>
      </c>
      <c r="B799">
        <v>13366</v>
      </c>
      <c r="C799">
        <v>4085</v>
      </c>
      <c r="D799" t="s">
        <v>18</v>
      </c>
      <c r="E799" t="s">
        <v>309</v>
      </c>
      <c r="F799">
        <v>11570</v>
      </c>
      <c r="G799" t="s">
        <v>20</v>
      </c>
      <c r="H799" t="s">
        <v>21</v>
      </c>
      <c r="I799">
        <v>886675</v>
      </c>
      <c r="J799">
        <v>719242</v>
      </c>
      <c r="K799">
        <v>167433</v>
      </c>
      <c r="L799">
        <v>385200</v>
      </c>
      <c r="M799">
        <v>320200</v>
      </c>
      <c r="N799">
        <v>65000</v>
      </c>
    </row>
    <row r="800" spans="1:14" ht="14.4">
      <c r="A800">
        <v>13365</v>
      </c>
      <c r="B800">
        <v>13366</v>
      </c>
      <c r="C800">
        <v>4085</v>
      </c>
      <c r="D800" t="s">
        <v>18</v>
      </c>
      <c r="E800" t="s">
        <v>1337</v>
      </c>
      <c r="F800">
        <v>11570</v>
      </c>
      <c r="G800" t="s">
        <v>20</v>
      </c>
      <c r="H800" t="s">
        <v>21</v>
      </c>
      <c r="I800">
        <v>106586</v>
      </c>
      <c r="J800">
        <v>81526</v>
      </c>
      <c r="K800">
        <v>25060</v>
      </c>
      <c r="L800">
        <v>0</v>
      </c>
      <c r="M800">
        <v>0</v>
      </c>
      <c r="N800">
        <v>0</v>
      </c>
    </row>
    <row r="801" spans="1:14" ht="14.4">
      <c r="A801">
        <v>13365</v>
      </c>
      <c r="B801">
        <v>13366</v>
      </c>
      <c r="C801">
        <v>4085</v>
      </c>
      <c r="D801" t="s">
        <v>18</v>
      </c>
      <c r="E801" t="s">
        <v>1338</v>
      </c>
      <c r="F801">
        <v>11694</v>
      </c>
      <c r="G801" t="s">
        <v>28</v>
      </c>
      <c r="H801" t="s">
        <v>21</v>
      </c>
      <c r="I801">
        <v>17955</v>
      </c>
      <c r="J801">
        <v>0</v>
      </c>
      <c r="K801">
        <v>17955</v>
      </c>
      <c r="L801">
        <v>18000</v>
      </c>
      <c r="M801">
        <v>0</v>
      </c>
      <c r="N801">
        <v>18000</v>
      </c>
    </row>
    <row r="802" spans="1:14" ht="14.4">
      <c r="A802">
        <v>13365</v>
      </c>
      <c r="B802">
        <v>13366</v>
      </c>
      <c r="C802">
        <v>4085</v>
      </c>
      <c r="D802" t="s">
        <v>18</v>
      </c>
      <c r="E802" t="s">
        <v>310</v>
      </c>
      <c r="F802">
        <v>11693</v>
      </c>
      <c r="G802" t="s">
        <v>28</v>
      </c>
      <c r="H802" t="s">
        <v>21</v>
      </c>
      <c r="I802">
        <v>62200</v>
      </c>
      <c r="J802">
        <v>0</v>
      </c>
      <c r="K802">
        <v>62200</v>
      </c>
      <c r="L802">
        <v>13500</v>
      </c>
      <c r="M802">
        <v>0</v>
      </c>
      <c r="N802">
        <v>13500</v>
      </c>
    </row>
    <row r="803" spans="1:14" ht="14.4">
      <c r="A803">
        <v>13365</v>
      </c>
      <c r="B803">
        <v>13366</v>
      </c>
      <c r="C803">
        <v>4085</v>
      </c>
      <c r="D803" t="s">
        <v>18</v>
      </c>
      <c r="E803" t="s">
        <v>1339</v>
      </c>
      <c r="F803">
        <v>11694</v>
      </c>
      <c r="G803" t="s">
        <v>28</v>
      </c>
      <c r="H803" t="s">
        <v>21</v>
      </c>
      <c r="I803">
        <v>162252</v>
      </c>
      <c r="J803">
        <v>57827</v>
      </c>
      <c r="K803">
        <v>104425</v>
      </c>
      <c r="L803">
        <v>55900</v>
      </c>
      <c r="M803">
        <v>15900</v>
      </c>
      <c r="N803">
        <v>40000</v>
      </c>
    </row>
    <row r="804" spans="1:14" ht="14.4">
      <c r="A804">
        <v>13365</v>
      </c>
      <c r="B804">
        <v>13366</v>
      </c>
      <c r="C804">
        <v>4085</v>
      </c>
      <c r="D804" t="s">
        <v>18</v>
      </c>
      <c r="E804" t="s">
        <v>1340</v>
      </c>
      <c r="F804">
        <v>11697</v>
      </c>
      <c r="G804" t="s">
        <v>28</v>
      </c>
      <c r="H804" t="s">
        <v>21</v>
      </c>
      <c r="I804">
        <v>170906</v>
      </c>
      <c r="J804">
        <v>113581</v>
      </c>
      <c r="K804">
        <v>57325</v>
      </c>
      <c r="L804">
        <v>76800</v>
      </c>
      <c r="M804">
        <v>36800</v>
      </c>
      <c r="N804">
        <v>40000</v>
      </c>
    </row>
    <row r="805" spans="1:14" ht="14.4">
      <c r="A805">
        <v>13365</v>
      </c>
      <c r="B805">
        <v>13366</v>
      </c>
      <c r="C805">
        <v>4085</v>
      </c>
      <c r="D805" t="s">
        <v>18</v>
      </c>
      <c r="E805" t="s">
        <v>311</v>
      </c>
      <c r="F805">
        <v>11778</v>
      </c>
      <c r="G805" t="s">
        <v>23</v>
      </c>
      <c r="H805" t="s">
        <v>21</v>
      </c>
      <c r="I805">
        <v>700511</v>
      </c>
      <c r="J805">
        <v>679486</v>
      </c>
      <c r="K805">
        <v>21025</v>
      </c>
      <c r="L805">
        <v>356700</v>
      </c>
      <c r="M805">
        <v>355500</v>
      </c>
      <c r="N805">
        <v>1200</v>
      </c>
    </row>
    <row r="806" spans="1:14" ht="14.4">
      <c r="A806">
        <v>13365</v>
      </c>
      <c r="B806">
        <v>13366</v>
      </c>
      <c r="C806">
        <v>4085</v>
      </c>
      <c r="D806" t="s">
        <v>18</v>
      </c>
      <c r="E806" t="s">
        <v>312</v>
      </c>
      <c r="F806">
        <v>11779</v>
      </c>
      <c r="G806" t="s">
        <v>23</v>
      </c>
      <c r="H806" t="s">
        <v>21</v>
      </c>
      <c r="I806">
        <v>365027</v>
      </c>
      <c r="J806">
        <v>325847</v>
      </c>
      <c r="K806">
        <v>39180</v>
      </c>
      <c r="L806">
        <v>130600</v>
      </c>
      <c r="M806">
        <v>122900</v>
      </c>
      <c r="N806">
        <v>7700</v>
      </c>
    </row>
    <row r="807" spans="1:14" ht="14.4">
      <c r="A807">
        <v>13365</v>
      </c>
      <c r="B807">
        <v>13366</v>
      </c>
      <c r="C807">
        <v>4085</v>
      </c>
      <c r="D807" t="s">
        <v>18</v>
      </c>
      <c r="E807" t="s">
        <v>312</v>
      </c>
      <c r="F807">
        <v>11799</v>
      </c>
      <c r="G807" t="s">
        <v>23</v>
      </c>
      <c r="H807" t="s">
        <v>21</v>
      </c>
      <c r="I807">
        <v>6670</v>
      </c>
      <c r="J807">
        <v>6670</v>
      </c>
      <c r="K807">
        <v>0</v>
      </c>
      <c r="L807">
        <v>0</v>
      </c>
      <c r="M807">
        <v>0</v>
      </c>
      <c r="N807">
        <v>0</v>
      </c>
    </row>
    <row r="808" spans="1:14" ht="14.4">
      <c r="A808">
        <v>13365</v>
      </c>
      <c r="B808">
        <v>13366</v>
      </c>
      <c r="C808">
        <v>4085</v>
      </c>
      <c r="D808" t="s">
        <v>18</v>
      </c>
      <c r="E808" t="s">
        <v>1341</v>
      </c>
      <c r="F808">
        <v>10471</v>
      </c>
      <c r="G808" t="s">
        <v>61</v>
      </c>
      <c r="H808" t="s">
        <v>21</v>
      </c>
      <c r="I808">
        <v>9103</v>
      </c>
      <c r="J808">
        <v>8803</v>
      </c>
      <c r="K808">
        <v>300</v>
      </c>
      <c r="L808">
        <v>0</v>
      </c>
      <c r="M808">
        <v>0</v>
      </c>
      <c r="N808">
        <v>0</v>
      </c>
    </row>
    <row r="809" spans="1:14" ht="14.4">
      <c r="A809">
        <v>13365</v>
      </c>
      <c r="B809">
        <v>13366</v>
      </c>
      <c r="C809">
        <v>4085</v>
      </c>
      <c r="D809" t="s">
        <v>18</v>
      </c>
      <c r="E809" t="s">
        <v>313</v>
      </c>
      <c r="F809">
        <v>11575</v>
      </c>
      <c r="G809" t="s">
        <v>20</v>
      </c>
      <c r="H809" t="s">
        <v>21</v>
      </c>
      <c r="I809">
        <v>484544</v>
      </c>
      <c r="J809">
        <v>397484</v>
      </c>
      <c r="K809">
        <v>87060</v>
      </c>
      <c r="L809">
        <v>87400</v>
      </c>
      <c r="M809">
        <v>57500</v>
      </c>
      <c r="N809">
        <v>29900</v>
      </c>
    </row>
    <row r="810" spans="1:14" ht="14.4">
      <c r="A810">
        <v>13365</v>
      </c>
      <c r="B810">
        <v>13366</v>
      </c>
      <c r="C810">
        <v>4085</v>
      </c>
      <c r="D810" t="s">
        <v>18</v>
      </c>
      <c r="E810" t="s">
        <v>313</v>
      </c>
      <c r="F810">
        <v>11575</v>
      </c>
      <c r="G810" t="s">
        <v>32</v>
      </c>
      <c r="H810" t="s">
        <v>21</v>
      </c>
      <c r="I810">
        <v>24558</v>
      </c>
      <c r="J810">
        <v>22558</v>
      </c>
      <c r="K810">
        <v>2000</v>
      </c>
      <c r="L810">
        <v>0</v>
      </c>
      <c r="M810">
        <v>0</v>
      </c>
      <c r="N810">
        <v>0</v>
      </c>
    </row>
    <row r="811" spans="1:14" ht="14.4">
      <c r="A811">
        <v>13365</v>
      </c>
      <c r="B811">
        <v>13366</v>
      </c>
      <c r="C811">
        <v>4085</v>
      </c>
      <c r="D811" t="s">
        <v>18</v>
      </c>
      <c r="E811" t="s">
        <v>1342</v>
      </c>
      <c r="F811">
        <v>11422</v>
      </c>
      <c r="G811" t="s">
        <v>28</v>
      </c>
      <c r="H811" t="s">
        <v>21</v>
      </c>
      <c r="I811">
        <v>55243</v>
      </c>
      <c r="J811">
        <v>39481</v>
      </c>
      <c r="K811">
        <v>15762</v>
      </c>
      <c r="L811">
        <v>41400</v>
      </c>
      <c r="M811">
        <v>30100</v>
      </c>
      <c r="N811">
        <v>11300</v>
      </c>
    </row>
    <row r="812" spans="1:14" ht="14.4">
      <c r="A812">
        <v>13365</v>
      </c>
      <c r="B812">
        <v>13366</v>
      </c>
      <c r="C812">
        <v>4085</v>
      </c>
      <c r="D812" t="s">
        <v>18</v>
      </c>
      <c r="E812" t="s">
        <v>315</v>
      </c>
      <c r="F812">
        <v>11413</v>
      </c>
      <c r="G812" t="s">
        <v>28</v>
      </c>
      <c r="H812" t="s">
        <v>21</v>
      </c>
      <c r="I812">
        <v>26300</v>
      </c>
      <c r="J812">
        <v>0</v>
      </c>
      <c r="K812">
        <v>26300</v>
      </c>
      <c r="L812">
        <v>9500</v>
      </c>
      <c r="M812">
        <v>0</v>
      </c>
      <c r="N812">
        <v>9500</v>
      </c>
    </row>
    <row r="813" spans="1:14" ht="14.4">
      <c r="A813">
        <v>13365</v>
      </c>
      <c r="B813">
        <v>13366</v>
      </c>
      <c r="C813">
        <v>4085</v>
      </c>
      <c r="D813" t="s">
        <v>18</v>
      </c>
      <c r="E813" t="s">
        <v>315</v>
      </c>
      <c r="F813">
        <v>11422</v>
      </c>
      <c r="G813" t="s">
        <v>20</v>
      </c>
      <c r="H813" t="s">
        <v>21</v>
      </c>
      <c r="I813">
        <v>31600</v>
      </c>
      <c r="J813">
        <v>0</v>
      </c>
      <c r="K813">
        <v>31600</v>
      </c>
      <c r="L813">
        <v>0</v>
      </c>
      <c r="M813">
        <v>0</v>
      </c>
      <c r="N813">
        <v>0</v>
      </c>
    </row>
    <row r="814" spans="1:14" ht="14.4">
      <c r="A814">
        <v>13365</v>
      </c>
      <c r="B814">
        <v>13366</v>
      </c>
      <c r="C814">
        <v>4085</v>
      </c>
      <c r="D814" t="s">
        <v>18</v>
      </c>
      <c r="E814" t="s">
        <v>315</v>
      </c>
      <c r="F814">
        <v>11422</v>
      </c>
      <c r="G814" t="s">
        <v>28</v>
      </c>
      <c r="H814" t="s">
        <v>21</v>
      </c>
      <c r="I814">
        <v>8801505</v>
      </c>
      <c r="J814">
        <v>5179130</v>
      </c>
      <c r="K814">
        <v>3622375</v>
      </c>
      <c r="L814">
        <v>2860200</v>
      </c>
      <c r="M814">
        <v>1582600</v>
      </c>
      <c r="N814">
        <v>1277600</v>
      </c>
    </row>
    <row r="815" spans="1:14" ht="14.4">
      <c r="A815">
        <v>13365</v>
      </c>
      <c r="B815">
        <v>13366</v>
      </c>
      <c r="C815">
        <v>4085</v>
      </c>
      <c r="D815" t="s">
        <v>18</v>
      </c>
      <c r="E815" t="s">
        <v>315</v>
      </c>
      <c r="F815">
        <v>11422</v>
      </c>
      <c r="G815" t="s">
        <v>85</v>
      </c>
      <c r="H815" t="s">
        <v>21</v>
      </c>
      <c r="I815">
        <v>4150</v>
      </c>
      <c r="J815">
        <v>0</v>
      </c>
      <c r="K815">
        <v>4150</v>
      </c>
      <c r="L815">
        <v>4200</v>
      </c>
      <c r="M815">
        <v>0</v>
      </c>
      <c r="N815">
        <v>4200</v>
      </c>
    </row>
    <row r="816" spans="1:14" ht="14.4">
      <c r="A816">
        <v>13365</v>
      </c>
      <c r="B816">
        <v>13366</v>
      </c>
      <c r="C816">
        <v>4085</v>
      </c>
      <c r="D816" t="s">
        <v>18</v>
      </c>
      <c r="E816" t="s">
        <v>316</v>
      </c>
      <c r="F816">
        <v>11576</v>
      </c>
      <c r="G816" t="s">
        <v>20</v>
      </c>
      <c r="H816" t="s">
        <v>21</v>
      </c>
      <c r="I816">
        <v>416146</v>
      </c>
      <c r="J816">
        <v>386031</v>
      </c>
      <c r="K816">
        <v>30115</v>
      </c>
      <c r="L816">
        <v>101400</v>
      </c>
      <c r="M816">
        <v>91700</v>
      </c>
      <c r="N816">
        <v>9700</v>
      </c>
    </row>
    <row r="817" spans="1:14" ht="14.4">
      <c r="A817">
        <v>13365</v>
      </c>
      <c r="B817">
        <v>13366</v>
      </c>
      <c r="C817">
        <v>4085</v>
      </c>
      <c r="D817" t="s">
        <v>18</v>
      </c>
      <c r="E817" t="s">
        <v>317</v>
      </c>
      <c r="F817">
        <v>11577</v>
      </c>
      <c r="G817" t="s">
        <v>20</v>
      </c>
      <c r="H817" t="s">
        <v>21</v>
      </c>
      <c r="I817">
        <v>608842</v>
      </c>
      <c r="J817">
        <v>535647</v>
      </c>
      <c r="K817">
        <v>73195</v>
      </c>
      <c r="L817">
        <v>214700</v>
      </c>
      <c r="M817">
        <v>189400</v>
      </c>
      <c r="N817">
        <v>25300</v>
      </c>
    </row>
    <row r="818" spans="1:14" ht="14.4">
      <c r="A818">
        <v>13365</v>
      </c>
      <c r="B818">
        <v>13366</v>
      </c>
      <c r="C818">
        <v>4085</v>
      </c>
      <c r="D818" t="s">
        <v>18</v>
      </c>
      <c r="E818" t="s">
        <v>1343</v>
      </c>
      <c r="F818">
        <v>11577</v>
      </c>
      <c r="G818" t="s">
        <v>20</v>
      </c>
      <c r="H818" t="s">
        <v>21</v>
      </c>
      <c r="I818">
        <v>43400</v>
      </c>
      <c r="J818">
        <v>43400</v>
      </c>
      <c r="K818">
        <v>0</v>
      </c>
      <c r="L818">
        <v>0</v>
      </c>
      <c r="M818">
        <v>0</v>
      </c>
      <c r="N818">
        <v>0</v>
      </c>
    </row>
    <row r="819" spans="1:14" ht="14.4">
      <c r="A819">
        <v>13365</v>
      </c>
      <c r="B819">
        <v>13366</v>
      </c>
      <c r="C819">
        <v>4085</v>
      </c>
      <c r="D819" t="s">
        <v>18</v>
      </c>
      <c r="E819" t="s">
        <v>1344</v>
      </c>
      <c r="F819">
        <v>11374</v>
      </c>
      <c r="G819" t="s">
        <v>28</v>
      </c>
      <c r="H819" t="s">
        <v>21</v>
      </c>
      <c r="I819">
        <v>71425</v>
      </c>
      <c r="J819">
        <v>51875</v>
      </c>
      <c r="K819">
        <v>19550</v>
      </c>
      <c r="L819">
        <v>0</v>
      </c>
      <c r="M819">
        <v>0</v>
      </c>
      <c r="N819">
        <v>0</v>
      </c>
    </row>
    <row r="820" spans="1:14" ht="14.4">
      <c r="A820">
        <v>13365</v>
      </c>
      <c r="B820">
        <v>13366</v>
      </c>
      <c r="C820">
        <v>4085</v>
      </c>
      <c r="D820" t="s">
        <v>18</v>
      </c>
      <c r="E820" t="s">
        <v>1344</v>
      </c>
      <c r="F820">
        <v>11379</v>
      </c>
      <c r="G820" t="s">
        <v>28</v>
      </c>
      <c r="H820" t="s">
        <v>21</v>
      </c>
      <c r="I820">
        <v>33079</v>
      </c>
      <c r="J820">
        <v>26829</v>
      </c>
      <c r="K820">
        <v>6250</v>
      </c>
      <c r="L820">
        <v>9300</v>
      </c>
      <c r="M820">
        <v>3100</v>
      </c>
      <c r="N820">
        <v>6200</v>
      </c>
    </row>
    <row r="821" spans="1:14" ht="14.4">
      <c r="A821">
        <v>13365</v>
      </c>
      <c r="B821">
        <v>13366</v>
      </c>
      <c r="C821">
        <v>4085</v>
      </c>
      <c r="D821" t="s">
        <v>18</v>
      </c>
      <c r="E821" t="s">
        <v>1344</v>
      </c>
      <c r="F821">
        <v>11691</v>
      </c>
      <c r="G821" t="s">
        <v>28</v>
      </c>
      <c r="H821" t="s">
        <v>21</v>
      </c>
      <c r="I821">
        <v>71343</v>
      </c>
      <c r="J821">
        <v>50543</v>
      </c>
      <c r="K821">
        <v>20800</v>
      </c>
      <c r="L821">
        <v>0</v>
      </c>
      <c r="M821">
        <v>0</v>
      </c>
      <c r="N821">
        <v>0</v>
      </c>
    </row>
    <row r="822" spans="1:14" ht="14.4">
      <c r="A822">
        <v>13365</v>
      </c>
      <c r="B822">
        <v>13366</v>
      </c>
      <c r="C822">
        <v>4085</v>
      </c>
      <c r="D822" t="s">
        <v>18</v>
      </c>
      <c r="E822" t="s">
        <v>1344</v>
      </c>
      <c r="F822">
        <v>11697</v>
      </c>
      <c r="G822" t="s">
        <v>28</v>
      </c>
      <c r="H822" t="s">
        <v>21</v>
      </c>
      <c r="I822">
        <v>246910</v>
      </c>
      <c r="J822">
        <v>167980</v>
      </c>
      <c r="K822">
        <v>78930</v>
      </c>
      <c r="L822">
        <v>112100</v>
      </c>
      <c r="M822">
        <v>63200</v>
      </c>
      <c r="N822">
        <v>48900</v>
      </c>
    </row>
    <row r="823" spans="1:14" ht="14.4">
      <c r="A823">
        <v>13365</v>
      </c>
      <c r="B823">
        <v>13366</v>
      </c>
      <c r="C823">
        <v>4085</v>
      </c>
      <c r="D823" t="s">
        <v>18</v>
      </c>
      <c r="E823" t="s">
        <v>318</v>
      </c>
      <c r="F823">
        <v>10580</v>
      </c>
      <c r="G823" t="s">
        <v>64</v>
      </c>
      <c r="H823" t="s">
        <v>21</v>
      </c>
      <c r="I823">
        <v>803138</v>
      </c>
      <c r="J823">
        <v>726058</v>
      </c>
      <c r="K823">
        <v>77080</v>
      </c>
      <c r="L823">
        <v>176600</v>
      </c>
      <c r="M823">
        <v>117300</v>
      </c>
      <c r="N823">
        <v>59300</v>
      </c>
    </row>
    <row r="824" spans="1:14" ht="14.4">
      <c r="A824">
        <v>13365</v>
      </c>
      <c r="B824">
        <v>13366</v>
      </c>
      <c r="C824">
        <v>4085</v>
      </c>
      <c r="D824" t="s">
        <v>18</v>
      </c>
      <c r="E824" t="s">
        <v>1345</v>
      </c>
      <c r="F824">
        <v>10573</v>
      </c>
      <c r="G824" t="s">
        <v>64</v>
      </c>
      <c r="H824" t="s">
        <v>21</v>
      </c>
      <c r="I824">
        <v>42155</v>
      </c>
      <c r="J824">
        <v>41155</v>
      </c>
      <c r="K824">
        <v>1000</v>
      </c>
      <c r="L824">
        <v>25200</v>
      </c>
      <c r="M824">
        <v>24200</v>
      </c>
      <c r="N824">
        <v>1000</v>
      </c>
    </row>
    <row r="825" spans="1:14" ht="14.4">
      <c r="A825">
        <v>13365</v>
      </c>
      <c r="B825">
        <v>13366</v>
      </c>
      <c r="C825">
        <v>4085</v>
      </c>
      <c r="D825" t="s">
        <v>18</v>
      </c>
      <c r="E825" t="s">
        <v>1346</v>
      </c>
      <c r="F825">
        <v>10306</v>
      </c>
      <c r="G825" t="s">
        <v>71</v>
      </c>
      <c r="H825" t="s">
        <v>21</v>
      </c>
      <c r="I825">
        <v>17050</v>
      </c>
      <c r="J825">
        <v>0</v>
      </c>
      <c r="K825">
        <v>17050</v>
      </c>
      <c r="L825">
        <v>0</v>
      </c>
      <c r="M825">
        <v>0</v>
      </c>
      <c r="N825">
        <v>0</v>
      </c>
    </row>
    <row r="826" spans="1:14" ht="14.4">
      <c r="A826">
        <v>13365</v>
      </c>
      <c r="B826">
        <v>13366</v>
      </c>
      <c r="C826">
        <v>4085</v>
      </c>
      <c r="D826" t="s">
        <v>18</v>
      </c>
      <c r="E826" t="s">
        <v>1347</v>
      </c>
      <c r="F826">
        <v>11947</v>
      </c>
      <c r="G826" t="s">
        <v>23</v>
      </c>
      <c r="H826" t="s">
        <v>21</v>
      </c>
      <c r="I826">
        <v>300502</v>
      </c>
      <c r="J826">
        <v>274387</v>
      </c>
      <c r="K826">
        <v>26115</v>
      </c>
      <c r="L826">
        <v>0</v>
      </c>
      <c r="M826">
        <v>0</v>
      </c>
      <c r="N826">
        <v>0</v>
      </c>
    </row>
    <row r="827" spans="1:14" ht="14.4">
      <c r="A827">
        <v>13365</v>
      </c>
      <c r="B827">
        <v>13366</v>
      </c>
      <c r="C827">
        <v>4085</v>
      </c>
      <c r="D827" t="s">
        <v>18</v>
      </c>
      <c r="E827" t="s">
        <v>320</v>
      </c>
      <c r="F827">
        <v>11963</v>
      </c>
      <c r="G827" t="s">
        <v>23</v>
      </c>
      <c r="H827" t="s">
        <v>21</v>
      </c>
      <c r="I827">
        <v>401717</v>
      </c>
      <c r="J827">
        <v>351442</v>
      </c>
      <c r="K827">
        <v>50275</v>
      </c>
      <c r="L827">
        <v>256900</v>
      </c>
      <c r="M827">
        <v>211800</v>
      </c>
      <c r="N827">
        <v>45100</v>
      </c>
    </row>
    <row r="828" spans="1:14" ht="14.4">
      <c r="A828">
        <v>13365</v>
      </c>
      <c r="B828">
        <v>13366</v>
      </c>
      <c r="C828">
        <v>4085</v>
      </c>
      <c r="D828" t="s">
        <v>18</v>
      </c>
      <c r="E828" t="s">
        <v>321</v>
      </c>
      <c r="F828">
        <v>11962</v>
      </c>
      <c r="G828" t="s">
        <v>23</v>
      </c>
      <c r="H828" t="s">
        <v>21</v>
      </c>
      <c r="I828">
        <v>115638</v>
      </c>
      <c r="J828">
        <v>106113</v>
      </c>
      <c r="K828">
        <v>9525</v>
      </c>
      <c r="L828">
        <v>0</v>
      </c>
      <c r="M828">
        <v>0</v>
      </c>
      <c r="N828">
        <v>0</v>
      </c>
    </row>
    <row r="829" spans="1:14" ht="14.4">
      <c r="A829">
        <v>13365</v>
      </c>
      <c r="B829">
        <v>13366</v>
      </c>
      <c r="C829">
        <v>4085</v>
      </c>
      <c r="D829" t="s">
        <v>18</v>
      </c>
      <c r="E829" t="s">
        <v>322</v>
      </c>
      <c r="F829">
        <v>11412</v>
      </c>
      <c r="G829" t="s">
        <v>28</v>
      </c>
      <c r="H829" t="s">
        <v>21</v>
      </c>
      <c r="I829">
        <v>246608</v>
      </c>
      <c r="J829">
        <v>211913</v>
      </c>
      <c r="K829">
        <v>34695</v>
      </c>
      <c r="L829">
        <v>147500</v>
      </c>
      <c r="M829">
        <v>118200</v>
      </c>
      <c r="N829">
        <v>29300</v>
      </c>
    </row>
    <row r="830" spans="1:14" ht="14.4">
      <c r="A830">
        <v>13365</v>
      </c>
      <c r="B830">
        <v>13366</v>
      </c>
      <c r="C830">
        <v>4085</v>
      </c>
      <c r="D830" t="s">
        <v>18</v>
      </c>
      <c r="E830" t="s">
        <v>323</v>
      </c>
      <c r="F830">
        <v>11780</v>
      </c>
      <c r="G830" t="s">
        <v>23</v>
      </c>
      <c r="H830" t="s">
        <v>21</v>
      </c>
      <c r="I830">
        <v>482744</v>
      </c>
      <c r="J830">
        <v>378144</v>
      </c>
      <c r="K830">
        <v>104600</v>
      </c>
      <c r="L830">
        <v>185900</v>
      </c>
      <c r="M830">
        <v>151600</v>
      </c>
      <c r="N830">
        <v>34300</v>
      </c>
    </row>
    <row r="831" spans="1:14" ht="14.4">
      <c r="A831">
        <v>13365</v>
      </c>
      <c r="B831">
        <v>13366</v>
      </c>
      <c r="C831">
        <v>4085</v>
      </c>
      <c r="D831" t="s">
        <v>18</v>
      </c>
      <c r="E831" t="s">
        <v>324</v>
      </c>
      <c r="F831">
        <v>11706</v>
      </c>
      <c r="G831" t="s">
        <v>23</v>
      </c>
      <c r="H831" t="s">
        <v>21</v>
      </c>
      <c r="I831">
        <v>19810</v>
      </c>
      <c r="J831">
        <v>18035</v>
      </c>
      <c r="K831">
        <v>1775</v>
      </c>
      <c r="L831">
        <v>19600</v>
      </c>
      <c r="M831">
        <v>17800</v>
      </c>
      <c r="N831">
        <v>1800</v>
      </c>
    </row>
    <row r="832" spans="1:14" ht="14.4">
      <c r="A832">
        <v>13365</v>
      </c>
      <c r="B832">
        <v>13366</v>
      </c>
      <c r="C832">
        <v>4085</v>
      </c>
      <c r="D832" t="s">
        <v>18</v>
      </c>
      <c r="E832" t="s">
        <v>1348</v>
      </c>
      <c r="F832">
        <v>11050</v>
      </c>
      <c r="G832" t="s">
        <v>20</v>
      </c>
      <c r="H832" t="s">
        <v>21</v>
      </c>
      <c r="I832">
        <v>263853</v>
      </c>
      <c r="J832">
        <v>248353</v>
      </c>
      <c r="K832">
        <v>15500</v>
      </c>
      <c r="L832">
        <v>165000</v>
      </c>
      <c r="M832">
        <v>150500</v>
      </c>
      <c r="N832">
        <v>14500</v>
      </c>
    </row>
    <row r="833" spans="1:14" ht="14.4">
      <c r="A833">
        <v>13365</v>
      </c>
      <c r="B833">
        <v>13366</v>
      </c>
      <c r="C833">
        <v>4085</v>
      </c>
      <c r="D833" t="s">
        <v>18</v>
      </c>
      <c r="E833" t="s">
        <v>1349</v>
      </c>
      <c r="F833">
        <v>10304</v>
      </c>
      <c r="G833" t="s">
        <v>71</v>
      </c>
      <c r="H833" t="s">
        <v>21</v>
      </c>
      <c r="I833">
        <v>26909</v>
      </c>
      <c r="J833">
        <v>12134</v>
      </c>
      <c r="K833">
        <v>14775</v>
      </c>
      <c r="L833">
        <v>0</v>
      </c>
      <c r="M833">
        <v>0</v>
      </c>
      <c r="N833">
        <v>0</v>
      </c>
    </row>
    <row r="834" spans="1:14" ht="14.4">
      <c r="A834">
        <v>13365</v>
      </c>
      <c r="B834">
        <v>13366</v>
      </c>
      <c r="C834">
        <v>4085</v>
      </c>
      <c r="D834" t="s">
        <v>18</v>
      </c>
      <c r="E834" t="s">
        <v>1350</v>
      </c>
      <c r="F834">
        <v>12477</v>
      </c>
      <c r="G834" t="s">
        <v>186</v>
      </c>
      <c r="H834" t="s">
        <v>21</v>
      </c>
      <c r="I834">
        <v>251328</v>
      </c>
      <c r="J834">
        <v>210478</v>
      </c>
      <c r="K834">
        <v>40850</v>
      </c>
      <c r="L834">
        <v>143500</v>
      </c>
      <c r="M834">
        <v>112500</v>
      </c>
      <c r="N834">
        <v>31000</v>
      </c>
    </row>
    <row r="835" spans="1:14" ht="14.4">
      <c r="A835">
        <v>13365</v>
      </c>
      <c r="B835">
        <v>13366</v>
      </c>
      <c r="C835">
        <v>4085</v>
      </c>
      <c r="D835" t="s">
        <v>18</v>
      </c>
      <c r="E835" t="s">
        <v>326</v>
      </c>
      <c r="F835">
        <v>11782</v>
      </c>
      <c r="G835" t="s">
        <v>23</v>
      </c>
      <c r="H835" t="s">
        <v>21</v>
      </c>
      <c r="I835">
        <v>2039181</v>
      </c>
      <c r="J835">
        <v>1572791</v>
      </c>
      <c r="K835">
        <v>466390</v>
      </c>
      <c r="L835">
        <v>815400</v>
      </c>
      <c r="M835">
        <v>602900</v>
      </c>
      <c r="N835">
        <v>212500</v>
      </c>
    </row>
    <row r="836" spans="1:14" ht="14.4">
      <c r="A836">
        <v>13365</v>
      </c>
      <c r="B836">
        <v>13366</v>
      </c>
      <c r="C836">
        <v>4085</v>
      </c>
      <c r="D836" t="s">
        <v>18</v>
      </c>
      <c r="E836" t="s">
        <v>1351</v>
      </c>
      <c r="F836">
        <v>10583</v>
      </c>
      <c r="G836" t="s">
        <v>64</v>
      </c>
      <c r="H836" t="s">
        <v>21</v>
      </c>
      <c r="I836">
        <v>137059</v>
      </c>
      <c r="J836">
        <v>135709</v>
      </c>
      <c r="K836">
        <v>1350</v>
      </c>
      <c r="L836">
        <v>14000</v>
      </c>
      <c r="M836">
        <v>14000</v>
      </c>
      <c r="N836">
        <v>0</v>
      </c>
    </row>
    <row r="837" spans="1:14" ht="14.4">
      <c r="A837">
        <v>13365</v>
      </c>
      <c r="B837">
        <v>13366</v>
      </c>
      <c r="C837">
        <v>4085</v>
      </c>
      <c r="D837" t="s">
        <v>18</v>
      </c>
      <c r="E837" t="s">
        <v>327</v>
      </c>
      <c r="F837">
        <v>11783</v>
      </c>
      <c r="G837" t="s">
        <v>20</v>
      </c>
      <c r="H837" t="s">
        <v>21</v>
      </c>
      <c r="I837">
        <v>51942404</v>
      </c>
      <c r="J837">
        <v>37420323</v>
      </c>
      <c r="K837">
        <v>14522081</v>
      </c>
      <c r="L837">
        <v>24489900</v>
      </c>
      <c r="M837">
        <v>16689700</v>
      </c>
      <c r="N837">
        <v>7800200</v>
      </c>
    </row>
    <row r="838" spans="1:14" ht="14.4">
      <c r="A838">
        <v>13365</v>
      </c>
      <c r="B838">
        <v>13366</v>
      </c>
      <c r="C838">
        <v>4085</v>
      </c>
      <c r="D838" t="s">
        <v>18</v>
      </c>
      <c r="E838" t="s">
        <v>327</v>
      </c>
      <c r="F838">
        <v>11787</v>
      </c>
      <c r="G838" t="s">
        <v>20</v>
      </c>
      <c r="H838" t="s">
        <v>21</v>
      </c>
      <c r="I838">
        <v>181841</v>
      </c>
      <c r="J838">
        <v>151066</v>
      </c>
      <c r="K838">
        <v>30775</v>
      </c>
      <c r="L838">
        <v>91700</v>
      </c>
      <c r="M838">
        <v>61500</v>
      </c>
      <c r="N838">
        <v>30200</v>
      </c>
    </row>
    <row r="839" spans="1:14" ht="14.4">
      <c r="A839">
        <v>13365</v>
      </c>
      <c r="B839">
        <v>13366</v>
      </c>
      <c r="C839">
        <v>4085</v>
      </c>
      <c r="D839" t="s">
        <v>18</v>
      </c>
      <c r="E839" t="s">
        <v>1352</v>
      </c>
      <c r="F839">
        <v>11783</v>
      </c>
      <c r="G839" t="s">
        <v>20</v>
      </c>
      <c r="H839" t="s">
        <v>21</v>
      </c>
      <c r="I839">
        <v>111575</v>
      </c>
      <c r="J839">
        <v>101035</v>
      </c>
      <c r="K839">
        <v>10540</v>
      </c>
      <c r="L839">
        <v>35900</v>
      </c>
      <c r="M839">
        <v>25400</v>
      </c>
      <c r="N839">
        <v>10500</v>
      </c>
    </row>
    <row r="840" spans="1:14" ht="14.4">
      <c r="A840">
        <v>13365</v>
      </c>
      <c r="B840">
        <v>13366</v>
      </c>
      <c r="C840">
        <v>4085</v>
      </c>
      <c r="D840" t="s">
        <v>18</v>
      </c>
      <c r="E840" t="s">
        <v>1353</v>
      </c>
      <c r="F840">
        <v>11224</v>
      </c>
      <c r="G840" t="s">
        <v>43</v>
      </c>
      <c r="H840" t="s">
        <v>21</v>
      </c>
      <c r="I840">
        <v>269156</v>
      </c>
      <c r="J840">
        <v>151585</v>
      </c>
      <c r="K840">
        <v>117571</v>
      </c>
      <c r="L840">
        <v>0</v>
      </c>
      <c r="M840">
        <v>0</v>
      </c>
      <c r="N840">
        <v>0</v>
      </c>
    </row>
    <row r="841" spans="1:14" ht="14.4">
      <c r="A841">
        <v>13365</v>
      </c>
      <c r="B841">
        <v>13366</v>
      </c>
      <c r="C841">
        <v>4085</v>
      </c>
      <c r="D841" t="s">
        <v>18</v>
      </c>
      <c r="E841" t="s">
        <v>328</v>
      </c>
      <c r="F841">
        <v>11770</v>
      </c>
      <c r="G841" t="s">
        <v>23</v>
      </c>
      <c r="H841" t="s">
        <v>21</v>
      </c>
      <c r="I841">
        <v>209382</v>
      </c>
      <c r="J841">
        <v>169782</v>
      </c>
      <c r="K841">
        <v>39600</v>
      </c>
      <c r="L841">
        <v>0</v>
      </c>
      <c r="M841">
        <v>0</v>
      </c>
      <c r="N841">
        <v>0</v>
      </c>
    </row>
    <row r="842" spans="1:14" ht="14.4">
      <c r="A842">
        <v>13365</v>
      </c>
      <c r="B842">
        <v>13366</v>
      </c>
      <c r="C842">
        <v>4085</v>
      </c>
      <c r="D842" t="s">
        <v>18</v>
      </c>
      <c r="E842" t="s">
        <v>330</v>
      </c>
      <c r="F842">
        <v>11784</v>
      </c>
      <c r="G842" t="s">
        <v>23</v>
      </c>
      <c r="H842" t="s">
        <v>21</v>
      </c>
      <c r="I842">
        <v>78581</v>
      </c>
      <c r="J842">
        <v>72506</v>
      </c>
      <c r="K842">
        <v>6075</v>
      </c>
      <c r="L842">
        <v>8000</v>
      </c>
      <c r="M842">
        <v>5000</v>
      </c>
      <c r="N842">
        <v>3000</v>
      </c>
    </row>
    <row r="843" spans="1:14" ht="14.4">
      <c r="A843">
        <v>13365</v>
      </c>
      <c r="B843">
        <v>13366</v>
      </c>
      <c r="C843">
        <v>4085</v>
      </c>
      <c r="D843" t="s">
        <v>18</v>
      </c>
      <c r="E843" t="s">
        <v>1354</v>
      </c>
      <c r="F843">
        <v>11733</v>
      </c>
      <c r="G843" t="s">
        <v>23</v>
      </c>
      <c r="H843" t="s">
        <v>21</v>
      </c>
      <c r="I843">
        <v>205769</v>
      </c>
      <c r="J843">
        <v>201269</v>
      </c>
      <c r="K843">
        <v>4500</v>
      </c>
      <c r="L843">
        <v>83200</v>
      </c>
      <c r="M843">
        <v>78700</v>
      </c>
      <c r="N843">
        <v>4500</v>
      </c>
    </row>
    <row r="844" spans="1:14" ht="14.4">
      <c r="A844">
        <v>13365</v>
      </c>
      <c r="B844">
        <v>13366</v>
      </c>
      <c r="C844">
        <v>4085</v>
      </c>
      <c r="D844" t="s">
        <v>18</v>
      </c>
      <c r="E844" t="s">
        <v>1355</v>
      </c>
      <c r="F844">
        <v>12409</v>
      </c>
      <c r="G844" t="s">
        <v>186</v>
      </c>
      <c r="H844" t="s">
        <v>21</v>
      </c>
      <c r="I844">
        <v>19608</v>
      </c>
      <c r="J844">
        <v>19108</v>
      </c>
      <c r="K844">
        <v>500</v>
      </c>
      <c r="L844">
        <v>13500</v>
      </c>
      <c r="M844">
        <v>13000</v>
      </c>
      <c r="N844">
        <v>500</v>
      </c>
    </row>
    <row r="845" spans="1:14" ht="14.4">
      <c r="A845">
        <v>13365</v>
      </c>
      <c r="B845">
        <v>13366</v>
      </c>
      <c r="C845">
        <v>4085</v>
      </c>
      <c r="D845" t="s">
        <v>18</v>
      </c>
      <c r="E845" t="s">
        <v>1356</v>
      </c>
      <c r="F845">
        <v>11965</v>
      </c>
      <c r="G845" t="s">
        <v>23</v>
      </c>
      <c r="H845" t="s">
        <v>21</v>
      </c>
      <c r="I845">
        <v>8832</v>
      </c>
      <c r="J845">
        <v>8832</v>
      </c>
      <c r="K845">
        <v>0</v>
      </c>
      <c r="L845">
        <v>10600</v>
      </c>
      <c r="M845">
        <v>8900</v>
      </c>
      <c r="N845">
        <v>0</v>
      </c>
    </row>
    <row r="846" spans="1:14" ht="14.4">
      <c r="A846">
        <v>13365</v>
      </c>
      <c r="B846">
        <v>13366</v>
      </c>
      <c r="C846">
        <v>4085</v>
      </c>
      <c r="D846" t="s">
        <v>18</v>
      </c>
      <c r="E846" t="s">
        <v>331</v>
      </c>
      <c r="F846">
        <v>11964</v>
      </c>
      <c r="G846" t="s">
        <v>23</v>
      </c>
      <c r="H846" t="s">
        <v>21</v>
      </c>
      <c r="I846">
        <v>54951</v>
      </c>
      <c r="J846">
        <v>51276</v>
      </c>
      <c r="K846">
        <v>3675</v>
      </c>
      <c r="L846">
        <v>55000</v>
      </c>
      <c r="M846">
        <v>51300</v>
      </c>
      <c r="N846">
        <v>3700</v>
      </c>
    </row>
    <row r="847" spans="1:14" ht="14.4">
      <c r="A847">
        <v>13365</v>
      </c>
      <c r="B847">
        <v>13366</v>
      </c>
      <c r="C847">
        <v>4085</v>
      </c>
      <c r="D847" t="s">
        <v>18</v>
      </c>
      <c r="E847" t="s">
        <v>331</v>
      </c>
      <c r="F847">
        <v>11965</v>
      </c>
      <c r="G847" t="s">
        <v>23</v>
      </c>
      <c r="H847" t="s">
        <v>21</v>
      </c>
      <c r="I847">
        <v>302183</v>
      </c>
      <c r="J847">
        <v>287133</v>
      </c>
      <c r="K847">
        <v>15050</v>
      </c>
      <c r="L847">
        <v>155600</v>
      </c>
      <c r="M847">
        <v>155600</v>
      </c>
      <c r="N847">
        <v>0</v>
      </c>
    </row>
    <row r="848" spans="1:14" ht="14.4">
      <c r="A848">
        <v>13365</v>
      </c>
      <c r="B848">
        <v>13366</v>
      </c>
      <c r="C848">
        <v>4085</v>
      </c>
      <c r="D848" t="s">
        <v>18</v>
      </c>
      <c r="E848" t="s">
        <v>335</v>
      </c>
      <c r="F848">
        <v>11967</v>
      </c>
      <c r="G848" t="s">
        <v>23</v>
      </c>
      <c r="H848" t="s">
        <v>21</v>
      </c>
      <c r="I848">
        <v>1979257</v>
      </c>
      <c r="J848">
        <v>1556281</v>
      </c>
      <c r="K848">
        <v>422976</v>
      </c>
      <c r="L848">
        <v>944300</v>
      </c>
      <c r="M848">
        <v>680900</v>
      </c>
      <c r="N848">
        <v>263400</v>
      </c>
    </row>
    <row r="849" spans="1:14" ht="14.4">
      <c r="A849">
        <v>13365</v>
      </c>
      <c r="B849">
        <v>13366</v>
      </c>
      <c r="C849">
        <v>4085</v>
      </c>
      <c r="D849" t="s">
        <v>18</v>
      </c>
      <c r="E849" t="s">
        <v>336</v>
      </c>
      <c r="F849">
        <v>12481</v>
      </c>
      <c r="G849" t="s">
        <v>186</v>
      </c>
      <c r="H849" t="s">
        <v>21</v>
      </c>
      <c r="I849">
        <v>49005</v>
      </c>
      <c r="J849">
        <v>41805</v>
      </c>
      <c r="K849">
        <v>7200</v>
      </c>
      <c r="L849">
        <v>16500</v>
      </c>
      <c r="M849">
        <v>10800</v>
      </c>
      <c r="N849">
        <v>5700</v>
      </c>
    </row>
    <row r="850" spans="1:14" ht="14.4">
      <c r="A850">
        <v>13365</v>
      </c>
      <c r="B850">
        <v>13366</v>
      </c>
      <c r="C850">
        <v>4085</v>
      </c>
      <c r="D850" t="s">
        <v>18</v>
      </c>
      <c r="E850" t="s">
        <v>1357</v>
      </c>
      <c r="F850">
        <v>11786</v>
      </c>
      <c r="G850" t="s">
        <v>23</v>
      </c>
      <c r="H850" t="s">
        <v>21</v>
      </c>
      <c r="I850">
        <v>4060</v>
      </c>
      <c r="J850">
        <v>4060</v>
      </c>
      <c r="K850">
        <v>0</v>
      </c>
      <c r="L850">
        <v>0</v>
      </c>
      <c r="M850">
        <v>0</v>
      </c>
      <c r="N850">
        <v>0</v>
      </c>
    </row>
    <row r="851" spans="1:14" ht="14.4">
      <c r="A851">
        <v>13365</v>
      </c>
      <c r="B851">
        <v>13366</v>
      </c>
      <c r="C851">
        <v>4085</v>
      </c>
      <c r="D851" t="s">
        <v>18</v>
      </c>
      <c r="E851" t="s">
        <v>1358</v>
      </c>
      <c r="F851">
        <v>10588</v>
      </c>
      <c r="G851" t="s">
        <v>64</v>
      </c>
      <c r="H851" t="s">
        <v>21</v>
      </c>
      <c r="I851">
        <v>78639</v>
      </c>
      <c r="J851">
        <v>77039</v>
      </c>
      <c r="K851">
        <v>1600</v>
      </c>
      <c r="L851">
        <v>56000</v>
      </c>
      <c r="M851">
        <v>54400</v>
      </c>
      <c r="N851">
        <v>1600</v>
      </c>
    </row>
    <row r="852" spans="1:14" ht="14.4">
      <c r="A852">
        <v>13365</v>
      </c>
      <c r="B852">
        <v>13366</v>
      </c>
      <c r="C852">
        <v>4085</v>
      </c>
      <c r="D852" t="s">
        <v>18</v>
      </c>
      <c r="E852" t="s">
        <v>1359</v>
      </c>
      <c r="F852">
        <v>10305</v>
      </c>
      <c r="G852" t="s">
        <v>71</v>
      </c>
      <c r="H852" t="s">
        <v>21</v>
      </c>
      <c r="I852">
        <v>115752</v>
      </c>
      <c r="J852">
        <v>62027</v>
      </c>
      <c r="K852">
        <v>53725</v>
      </c>
      <c r="L852">
        <v>0</v>
      </c>
      <c r="M852">
        <v>0</v>
      </c>
      <c r="N852">
        <v>0</v>
      </c>
    </row>
    <row r="853" spans="1:14" ht="14.4">
      <c r="A853">
        <v>13365</v>
      </c>
      <c r="B853">
        <v>13366</v>
      </c>
      <c r="C853">
        <v>4085</v>
      </c>
      <c r="D853" t="s">
        <v>18</v>
      </c>
      <c r="E853" t="s">
        <v>1359</v>
      </c>
      <c r="F853">
        <v>10306</v>
      </c>
      <c r="G853" t="s">
        <v>71</v>
      </c>
      <c r="H853" t="s">
        <v>21</v>
      </c>
      <c r="I853">
        <v>36475</v>
      </c>
      <c r="J853">
        <v>0</v>
      </c>
      <c r="K853">
        <v>36475</v>
      </c>
      <c r="L853">
        <v>0</v>
      </c>
      <c r="M853">
        <v>0</v>
      </c>
      <c r="N853">
        <v>0</v>
      </c>
    </row>
    <row r="854" spans="1:14" ht="14.4">
      <c r="A854">
        <v>13365</v>
      </c>
      <c r="B854">
        <v>13366</v>
      </c>
      <c r="C854">
        <v>4085</v>
      </c>
      <c r="D854" t="s">
        <v>18</v>
      </c>
      <c r="E854" t="s">
        <v>1360</v>
      </c>
      <c r="F854">
        <v>12778</v>
      </c>
      <c r="G854" t="s">
        <v>189</v>
      </c>
      <c r="H854" t="s">
        <v>21</v>
      </c>
      <c r="I854">
        <v>37754</v>
      </c>
      <c r="J854">
        <v>37754</v>
      </c>
      <c r="K854">
        <v>0</v>
      </c>
      <c r="L854">
        <v>0</v>
      </c>
      <c r="M854">
        <v>0</v>
      </c>
      <c r="N854">
        <v>0</v>
      </c>
    </row>
    <row r="855" spans="1:14" ht="14.4">
      <c r="A855">
        <v>13365</v>
      </c>
      <c r="B855">
        <v>13366</v>
      </c>
      <c r="C855">
        <v>4085</v>
      </c>
      <c r="D855" t="s">
        <v>18</v>
      </c>
      <c r="E855" t="s">
        <v>1361</v>
      </c>
      <c r="F855">
        <v>11787</v>
      </c>
      <c r="G855" t="s">
        <v>23</v>
      </c>
      <c r="H855" t="s">
        <v>21</v>
      </c>
      <c r="I855">
        <v>355933</v>
      </c>
      <c r="J855">
        <v>330191</v>
      </c>
      <c r="K855">
        <v>25742</v>
      </c>
      <c r="L855">
        <v>57500</v>
      </c>
      <c r="M855">
        <v>53400</v>
      </c>
      <c r="N855">
        <v>4100</v>
      </c>
    </row>
    <row r="856" spans="1:14" ht="14.4">
      <c r="A856">
        <v>13365</v>
      </c>
      <c r="B856">
        <v>13366</v>
      </c>
      <c r="C856">
        <v>4085</v>
      </c>
      <c r="D856" t="s">
        <v>18</v>
      </c>
      <c r="E856" t="s">
        <v>1362</v>
      </c>
      <c r="F856">
        <v>10589</v>
      </c>
      <c r="G856" t="s">
        <v>64</v>
      </c>
      <c r="H856" t="s">
        <v>21</v>
      </c>
      <c r="I856">
        <v>19099</v>
      </c>
      <c r="J856">
        <v>19099</v>
      </c>
      <c r="K856">
        <v>0</v>
      </c>
      <c r="L856">
        <v>17100</v>
      </c>
      <c r="M856">
        <v>17100</v>
      </c>
      <c r="N856">
        <v>0</v>
      </c>
    </row>
    <row r="857" spans="1:14" ht="14.4">
      <c r="A857">
        <v>13365</v>
      </c>
      <c r="B857">
        <v>13366</v>
      </c>
      <c r="C857">
        <v>4085</v>
      </c>
      <c r="D857" t="s">
        <v>18</v>
      </c>
      <c r="E857" t="s">
        <v>337</v>
      </c>
      <c r="F857">
        <v>11789</v>
      </c>
      <c r="G857" t="s">
        <v>23</v>
      </c>
      <c r="H857" t="s">
        <v>21</v>
      </c>
      <c r="I857">
        <v>427418</v>
      </c>
      <c r="J857">
        <v>416718</v>
      </c>
      <c r="K857">
        <v>10700</v>
      </c>
      <c r="L857">
        <v>252200</v>
      </c>
      <c r="M857">
        <v>250300</v>
      </c>
      <c r="N857">
        <v>1900</v>
      </c>
    </row>
    <row r="858" spans="1:14" ht="14.4">
      <c r="A858">
        <v>13365</v>
      </c>
      <c r="B858">
        <v>13366</v>
      </c>
      <c r="C858">
        <v>4085</v>
      </c>
      <c r="D858" t="s">
        <v>18</v>
      </c>
      <c r="E858" t="s">
        <v>338</v>
      </c>
      <c r="F858">
        <v>11231</v>
      </c>
      <c r="G858" t="s">
        <v>43</v>
      </c>
      <c r="H858" t="s">
        <v>21</v>
      </c>
      <c r="I858">
        <v>105770</v>
      </c>
      <c r="J858">
        <v>72710</v>
      </c>
      <c r="K858">
        <v>33060</v>
      </c>
      <c r="L858">
        <v>0</v>
      </c>
      <c r="M858">
        <v>0</v>
      </c>
      <c r="N858">
        <v>0</v>
      </c>
    </row>
    <row r="859" spans="1:14" ht="14.4">
      <c r="A859">
        <v>13365</v>
      </c>
      <c r="B859">
        <v>13366</v>
      </c>
      <c r="C859">
        <v>4085</v>
      </c>
      <c r="D859" t="s">
        <v>18</v>
      </c>
      <c r="E859" t="s">
        <v>1363</v>
      </c>
      <c r="F859">
        <v>11968</v>
      </c>
      <c r="G859" t="s">
        <v>23</v>
      </c>
      <c r="H859" t="s">
        <v>21</v>
      </c>
      <c r="I859">
        <v>17117</v>
      </c>
      <c r="J859">
        <v>15417</v>
      </c>
      <c r="K859">
        <v>1700</v>
      </c>
      <c r="L859">
        <v>0</v>
      </c>
      <c r="M859">
        <v>0</v>
      </c>
      <c r="N859">
        <v>0</v>
      </c>
    </row>
    <row r="860" spans="1:14" ht="14.4">
      <c r="A860">
        <v>13365</v>
      </c>
      <c r="B860">
        <v>13366</v>
      </c>
      <c r="C860">
        <v>4085</v>
      </c>
      <c r="D860" t="s">
        <v>18</v>
      </c>
      <c r="E860" t="s">
        <v>1364</v>
      </c>
      <c r="F860">
        <v>11550</v>
      </c>
      <c r="G860" t="s">
        <v>20</v>
      </c>
      <c r="H860" t="s">
        <v>21</v>
      </c>
      <c r="I860">
        <v>55160</v>
      </c>
      <c r="J860">
        <v>35855</v>
      </c>
      <c r="K860">
        <v>19305</v>
      </c>
      <c r="L860">
        <v>55200</v>
      </c>
      <c r="M860">
        <v>35900</v>
      </c>
      <c r="N860">
        <v>19300</v>
      </c>
    </row>
    <row r="861" spans="1:14" ht="14.4">
      <c r="A861">
        <v>13365</v>
      </c>
      <c r="B861">
        <v>13366</v>
      </c>
      <c r="C861">
        <v>4085</v>
      </c>
      <c r="D861" t="s">
        <v>18</v>
      </c>
      <c r="E861" t="s">
        <v>1365</v>
      </c>
      <c r="F861">
        <v>11970</v>
      </c>
      <c r="G861" t="s">
        <v>23</v>
      </c>
      <c r="H861" t="s">
        <v>21</v>
      </c>
      <c r="I861">
        <v>43456</v>
      </c>
      <c r="J861">
        <v>36431</v>
      </c>
      <c r="K861">
        <v>7025</v>
      </c>
      <c r="L861">
        <v>0</v>
      </c>
      <c r="M861">
        <v>0</v>
      </c>
      <c r="N861">
        <v>0</v>
      </c>
    </row>
    <row r="862" spans="1:14" ht="14.4">
      <c r="A862">
        <v>13365</v>
      </c>
      <c r="B862">
        <v>13366</v>
      </c>
      <c r="C862">
        <v>4085</v>
      </c>
      <c r="D862" t="s">
        <v>18</v>
      </c>
      <c r="E862" t="s">
        <v>1366</v>
      </c>
      <c r="F862">
        <v>10960</v>
      </c>
      <c r="G862" t="s">
        <v>85</v>
      </c>
      <c r="H862" t="s">
        <v>21</v>
      </c>
      <c r="I862">
        <v>168026</v>
      </c>
      <c r="J862">
        <v>152201</v>
      </c>
      <c r="K862">
        <v>15825</v>
      </c>
      <c r="L862">
        <v>15900</v>
      </c>
      <c r="M862">
        <v>0</v>
      </c>
      <c r="N862">
        <v>15900</v>
      </c>
    </row>
    <row r="863" spans="1:14" ht="14.4">
      <c r="A863">
        <v>13365</v>
      </c>
      <c r="B863">
        <v>13366</v>
      </c>
      <c r="C863">
        <v>4085</v>
      </c>
      <c r="D863" t="s">
        <v>18</v>
      </c>
      <c r="E863" t="s">
        <v>340</v>
      </c>
      <c r="F863">
        <v>11420</v>
      </c>
      <c r="G863" t="s">
        <v>28</v>
      </c>
      <c r="H863" t="s">
        <v>21</v>
      </c>
      <c r="I863">
        <v>533569</v>
      </c>
      <c r="J863">
        <v>448964</v>
      </c>
      <c r="K863">
        <v>84605</v>
      </c>
      <c r="L863">
        <v>121500</v>
      </c>
      <c r="M863">
        <v>109100</v>
      </c>
      <c r="N863">
        <v>12400</v>
      </c>
    </row>
    <row r="864" spans="1:14" ht="14.4">
      <c r="A864">
        <v>13365</v>
      </c>
      <c r="B864">
        <v>13366</v>
      </c>
      <c r="C864">
        <v>4085</v>
      </c>
      <c r="D864" t="s">
        <v>18</v>
      </c>
      <c r="E864" t="s">
        <v>340</v>
      </c>
      <c r="F864">
        <v>11436</v>
      </c>
      <c r="G864" t="s">
        <v>28</v>
      </c>
      <c r="H864" t="s">
        <v>21</v>
      </c>
      <c r="I864">
        <v>10793</v>
      </c>
      <c r="J864">
        <v>10793</v>
      </c>
      <c r="K864">
        <v>0</v>
      </c>
      <c r="L864">
        <v>2900</v>
      </c>
      <c r="M864">
        <v>2900</v>
      </c>
      <c r="N864">
        <v>0</v>
      </c>
    </row>
    <row r="865" spans="1:14" ht="14.4">
      <c r="A865">
        <v>13365</v>
      </c>
      <c r="B865">
        <v>13366</v>
      </c>
      <c r="C865">
        <v>4085</v>
      </c>
      <c r="D865" t="s">
        <v>18</v>
      </c>
      <c r="E865" t="s">
        <v>1367</v>
      </c>
      <c r="F865">
        <v>11419</v>
      </c>
      <c r="G865" t="s">
        <v>32</v>
      </c>
      <c r="H865" t="s">
        <v>21</v>
      </c>
      <c r="I865">
        <v>35422</v>
      </c>
      <c r="J865">
        <v>34272</v>
      </c>
      <c r="K865">
        <v>1150</v>
      </c>
      <c r="L865">
        <v>6200</v>
      </c>
      <c r="M865">
        <v>6200</v>
      </c>
      <c r="N865">
        <v>0</v>
      </c>
    </row>
    <row r="866" spans="1:14" ht="14.4">
      <c r="A866">
        <v>13365</v>
      </c>
      <c r="B866">
        <v>13366</v>
      </c>
      <c r="C866">
        <v>4085</v>
      </c>
      <c r="D866" t="s">
        <v>18</v>
      </c>
      <c r="E866" t="s">
        <v>1367</v>
      </c>
      <c r="F866">
        <v>11419</v>
      </c>
      <c r="G866" t="s">
        <v>28</v>
      </c>
      <c r="H866" t="s">
        <v>21</v>
      </c>
      <c r="I866">
        <v>276623</v>
      </c>
      <c r="J866">
        <v>268723</v>
      </c>
      <c r="K866">
        <v>7900</v>
      </c>
      <c r="L866">
        <v>145300</v>
      </c>
      <c r="M866">
        <v>143400</v>
      </c>
      <c r="N866">
        <v>1900</v>
      </c>
    </row>
    <row r="867" spans="1:14" ht="14.4">
      <c r="A867">
        <v>13365</v>
      </c>
      <c r="B867">
        <v>13366</v>
      </c>
      <c r="C867">
        <v>4085</v>
      </c>
      <c r="D867" t="s">
        <v>18</v>
      </c>
      <c r="E867" t="s">
        <v>341</v>
      </c>
      <c r="F867">
        <v>10590</v>
      </c>
      <c r="G867" t="s">
        <v>64</v>
      </c>
      <c r="H867" t="s">
        <v>21</v>
      </c>
      <c r="I867">
        <v>33767</v>
      </c>
      <c r="J867">
        <v>33267</v>
      </c>
      <c r="K867">
        <v>500</v>
      </c>
      <c r="L867">
        <v>0</v>
      </c>
      <c r="M867">
        <v>0</v>
      </c>
      <c r="N867">
        <v>0</v>
      </c>
    </row>
    <row r="868" spans="1:14" ht="14.4">
      <c r="A868">
        <v>13365</v>
      </c>
      <c r="B868">
        <v>13366</v>
      </c>
      <c r="C868">
        <v>4085</v>
      </c>
      <c r="D868" t="s">
        <v>18</v>
      </c>
      <c r="E868" t="s">
        <v>1368</v>
      </c>
      <c r="F868">
        <v>11720</v>
      </c>
      <c r="G868" t="s">
        <v>23</v>
      </c>
      <c r="H868" t="s">
        <v>21</v>
      </c>
      <c r="I868">
        <v>23202</v>
      </c>
      <c r="J868">
        <v>18577</v>
      </c>
      <c r="K868">
        <v>4625</v>
      </c>
      <c r="L868">
        <v>21700</v>
      </c>
      <c r="M868">
        <v>17100</v>
      </c>
      <c r="N868">
        <v>4600</v>
      </c>
    </row>
    <row r="869" spans="1:14" ht="14.4">
      <c r="A869">
        <v>13365</v>
      </c>
      <c r="B869">
        <v>13366</v>
      </c>
      <c r="C869">
        <v>4085</v>
      </c>
      <c r="D869" t="s">
        <v>18</v>
      </c>
      <c r="E869" t="s">
        <v>1369</v>
      </c>
      <c r="F869">
        <v>11581</v>
      </c>
      <c r="G869" t="s">
        <v>20</v>
      </c>
      <c r="H869" t="s">
        <v>21</v>
      </c>
      <c r="I869">
        <v>37381</v>
      </c>
      <c r="J869">
        <v>12181</v>
      </c>
      <c r="K869">
        <v>25200</v>
      </c>
      <c r="L869">
        <v>9000</v>
      </c>
      <c r="M869">
        <v>2200</v>
      </c>
      <c r="N869">
        <v>6800</v>
      </c>
    </row>
    <row r="870" spans="1:14" ht="14.4">
      <c r="A870">
        <v>13365</v>
      </c>
      <c r="B870">
        <v>13366</v>
      </c>
      <c r="C870">
        <v>4085</v>
      </c>
      <c r="D870" t="s">
        <v>18</v>
      </c>
      <c r="E870" t="s">
        <v>342</v>
      </c>
      <c r="F870">
        <v>11768</v>
      </c>
      <c r="G870" t="s">
        <v>23</v>
      </c>
      <c r="H870" t="s">
        <v>21</v>
      </c>
      <c r="I870">
        <v>38545</v>
      </c>
      <c r="J870">
        <v>32970</v>
      </c>
      <c r="K870">
        <v>5575</v>
      </c>
      <c r="L870">
        <v>0</v>
      </c>
      <c r="M870">
        <v>0</v>
      </c>
      <c r="N870">
        <v>0</v>
      </c>
    </row>
    <row r="871" spans="1:14" ht="14.4">
      <c r="A871">
        <v>13365</v>
      </c>
      <c r="B871">
        <v>13366</v>
      </c>
      <c r="C871">
        <v>4085</v>
      </c>
      <c r="D871" t="s">
        <v>18</v>
      </c>
      <c r="E871" t="s">
        <v>342</v>
      </c>
      <c r="F871">
        <v>11968</v>
      </c>
      <c r="G871" t="s">
        <v>23</v>
      </c>
      <c r="H871" t="s">
        <v>21</v>
      </c>
      <c r="I871">
        <v>1304868</v>
      </c>
      <c r="J871">
        <v>1067651</v>
      </c>
      <c r="K871">
        <v>237217</v>
      </c>
      <c r="L871">
        <v>557600</v>
      </c>
      <c r="M871">
        <v>455300</v>
      </c>
      <c r="N871">
        <v>102300</v>
      </c>
    </row>
    <row r="872" spans="1:14" ht="14.4">
      <c r="A872">
        <v>13365</v>
      </c>
      <c r="B872">
        <v>13366</v>
      </c>
      <c r="C872">
        <v>4085</v>
      </c>
      <c r="D872" t="s">
        <v>18</v>
      </c>
      <c r="E872" t="s">
        <v>342</v>
      </c>
      <c r="F872">
        <v>11969</v>
      </c>
      <c r="G872" t="s">
        <v>23</v>
      </c>
      <c r="H872" t="s">
        <v>21</v>
      </c>
      <c r="I872">
        <v>36834</v>
      </c>
      <c r="J872">
        <v>35259</v>
      </c>
      <c r="K872">
        <v>1575</v>
      </c>
      <c r="L872">
        <v>0</v>
      </c>
      <c r="M872">
        <v>0</v>
      </c>
      <c r="N872">
        <v>0</v>
      </c>
    </row>
    <row r="873" spans="1:14" ht="14.4">
      <c r="A873">
        <v>13365</v>
      </c>
      <c r="B873">
        <v>13366</v>
      </c>
      <c r="C873">
        <v>4085</v>
      </c>
      <c r="D873" t="s">
        <v>18</v>
      </c>
      <c r="E873" t="s">
        <v>343</v>
      </c>
      <c r="F873">
        <v>11971</v>
      </c>
      <c r="G873" t="s">
        <v>23</v>
      </c>
      <c r="H873" t="s">
        <v>21</v>
      </c>
      <c r="I873">
        <v>1353871</v>
      </c>
      <c r="J873">
        <v>1191691</v>
      </c>
      <c r="K873">
        <v>162180</v>
      </c>
      <c r="L873">
        <v>887800</v>
      </c>
      <c r="M873">
        <v>746200</v>
      </c>
      <c r="N873">
        <v>112500</v>
      </c>
    </row>
    <row r="874" spans="1:14" ht="14.4">
      <c r="A874">
        <v>13365</v>
      </c>
      <c r="B874">
        <v>13366</v>
      </c>
      <c r="C874">
        <v>4085</v>
      </c>
      <c r="D874" t="s">
        <v>18</v>
      </c>
      <c r="E874" t="s">
        <v>1370</v>
      </c>
      <c r="F874">
        <v>11419</v>
      </c>
      <c r="G874" t="s">
        <v>28</v>
      </c>
      <c r="H874" t="s">
        <v>21</v>
      </c>
      <c r="I874">
        <v>2000</v>
      </c>
      <c r="J874">
        <v>0</v>
      </c>
      <c r="K874">
        <v>2000</v>
      </c>
      <c r="L874">
        <v>0</v>
      </c>
      <c r="M874">
        <v>0</v>
      </c>
      <c r="N874">
        <v>0</v>
      </c>
    </row>
    <row r="875" spans="1:14" ht="14.4">
      <c r="A875">
        <v>13365</v>
      </c>
      <c r="B875">
        <v>13366</v>
      </c>
      <c r="C875">
        <v>4085</v>
      </c>
      <c r="D875" t="s">
        <v>18</v>
      </c>
      <c r="E875" t="s">
        <v>345</v>
      </c>
      <c r="F875">
        <v>10977</v>
      </c>
      <c r="G875" t="s">
        <v>85</v>
      </c>
      <c r="H875" t="s">
        <v>21</v>
      </c>
      <c r="I875">
        <v>188924</v>
      </c>
      <c r="J875">
        <v>164174</v>
      </c>
      <c r="K875">
        <v>24750</v>
      </c>
      <c r="L875">
        <v>16500</v>
      </c>
      <c r="M875">
        <v>16500</v>
      </c>
      <c r="N875">
        <v>0</v>
      </c>
    </row>
    <row r="876" spans="1:14" ht="14.4">
      <c r="A876">
        <v>13365</v>
      </c>
      <c r="B876">
        <v>13366</v>
      </c>
      <c r="C876">
        <v>4085</v>
      </c>
      <c r="D876" t="s">
        <v>18</v>
      </c>
      <c r="E876" t="s">
        <v>1371</v>
      </c>
      <c r="F876">
        <v>11413</v>
      </c>
      <c r="G876" t="s">
        <v>28</v>
      </c>
      <c r="H876" t="s">
        <v>21</v>
      </c>
      <c r="I876">
        <v>35987</v>
      </c>
      <c r="J876">
        <v>33987</v>
      </c>
      <c r="K876">
        <v>2000</v>
      </c>
      <c r="L876">
        <v>23500</v>
      </c>
      <c r="M876">
        <v>21500</v>
      </c>
      <c r="N876">
        <v>2000</v>
      </c>
    </row>
    <row r="877" spans="1:14" ht="14.4">
      <c r="A877">
        <v>13365</v>
      </c>
      <c r="B877">
        <v>13366</v>
      </c>
      <c r="C877">
        <v>4085</v>
      </c>
      <c r="D877" t="s">
        <v>18</v>
      </c>
      <c r="E877" t="s">
        <v>1372</v>
      </c>
      <c r="F877">
        <v>11413</v>
      </c>
      <c r="G877" t="s">
        <v>28</v>
      </c>
      <c r="H877" t="s">
        <v>21</v>
      </c>
      <c r="I877">
        <v>38199</v>
      </c>
      <c r="J877">
        <v>8999</v>
      </c>
      <c r="K877">
        <v>29200</v>
      </c>
      <c r="L877">
        <v>13400</v>
      </c>
      <c r="M877">
        <v>0</v>
      </c>
      <c r="N877">
        <v>13400</v>
      </c>
    </row>
    <row r="878" spans="1:14" ht="14.4">
      <c r="A878">
        <v>13365</v>
      </c>
      <c r="B878">
        <v>13366</v>
      </c>
      <c r="C878">
        <v>4085</v>
      </c>
      <c r="D878" t="s">
        <v>18</v>
      </c>
      <c r="E878" t="s">
        <v>346</v>
      </c>
      <c r="F878">
        <v>11413</v>
      </c>
      <c r="G878" t="s">
        <v>28</v>
      </c>
      <c r="H878" t="s">
        <v>21</v>
      </c>
      <c r="I878">
        <v>645611</v>
      </c>
      <c r="J878">
        <v>447491</v>
      </c>
      <c r="K878">
        <v>198120</v>
      </c>
      <c r="L878">
        <v>277600</v>
      </c>
      <c r="M878">
        <v>159100</v>
      </c>
      <c r="N878">
        <v>118500</v>
      </c>
    </row>
    <row r="879" spans="1:14" ht="14.4">
      <c r="A879">
        <v>13365</v>
      </c>
      <c r="B879">
        <v>13366</v>
      </c>
      <c r="C879">
        <v>4085</v>
      </c>
      <c r="D879" t="s">
        <v>18</v>
      </c>
      <c r="E879" t="s">
        <v>1373</v>
      </c>
      <c r="F879">
        <v>11412</v>
      </c>
      <c r="G879" t="s">
        <v>28</v>
      </c>
      <c r="H879" t="s">
        <v>21</v>
      </c>
      <c r="I879">
        <v>41278</v>
      </c>
      <c r="J879">
        <v>26128</v>
      </c>
      <c r="K879">
        <v>15150</v>
      </c>
      <c r="L879">
        <v>26200</v>
      </c>
      <c r="M879">
        <v>26200</v>
      </c>
      <c r="N879">
        <v>0</v>
      </c>
    </row>
    <row r="880" spans="1:14" ht="14.4">
      <c r="A880">
        <v>13365</v>
      </c>
      <c r="B880">
        <v>13366</v>
      </c>
      <c r="C880">
        <v>4085</v>
      </c>
      <c r="D880" t="s">
        <v>18</v>
      </c>
      <c r="E880" t="s">
        <v>1373</v>
      </c>
      <c r="F880">
        <v>11434</v>
      </c>
      <c r="G880" t="s">
        <v>28</v>
      </c>
      <c r="H880" t="s">
        <v>21</v>
      </c>
      <c r="I880">
        <v>27641</v>
      </c>
      <c r="J880">
        <v>25466</v>
      </c>
      <c r="K880">
        <v>2175</v>
      </c>
      <c r="L880">
        <v>0</v>
      </c>
      <c r="M880">
        <v>0</v>
      </c>
      <c r="N880">
        <v>0</v>
      </c>
    </row>
    <row r="881" spans="1:14" ht="14.4">
      <c r="A881">
        <v>13365</v>
      </c>
      <c r="B881">
        <v>13366</v>
      </c>
      <c r="C881">
        <v>4085</v>
      </c>
      <c r="D881" t="s">
        <v>18</v>
      </c>
      <c r="E881" t="s">
        <v>1374</v>
      </c>
      <c r="F881">
        <v>11780</v>
      </c>
      <c r="G881" t="s">
        <v>23</v>
      </c>
      <c r="H881" t="s">
        <v>21</v>
      </c>
      <c r="I881">
        <v>64197</v>
      </c>
      <c r="J881">
        <v>64197</v>
      </c>
      <c r="K881">
        <v>0</v>
      </c>
      <c r="L881">
        <v>64200</v>
      </c>
      <c r="M881">
        <v>64200</v>
      </c>
      <c r="N881">
        <v>0</v>
      </c>
    </row>
    <row r="882" spans="1:14" ht="14.4">
      <c r="A882">
        <v>13365</v>
      </c>
      <c r="B882">
        <v>13366</v>
      </c>
      <c r="C882">
        <v>4085</v>
      </c>
      <c r="D882" t="s">
        <v>18</v>
      </c>
      <c r="E882" t="s">
        <v>1375</v>
      </c>
      <c r="F882">
        <v>11412</v>
      </c>
      <c r="G882" t="s">
        <v>28</v>
      </c>
      <c r="H882" t="s">
        <v>21</v>
      </c>
      <c r="I882">
        <v>100193</v>
      </c>
      <c r="J882">
        <v>96218</v>
      </c>
      <c r="K882">
        <v>3975</v>
      </c>
      <c r="L882">
        <v>54500</v>
      </c>
      <c r="M882">
        <v>53900</v>
      </c>
      <c r="N882">
        <v>600</v>
      </c>
    </row>
    <row r="883" spans="1:14" ht="14.4">
      <c r="A883">
        <v>13365</v>
      </c>
      <c r="B883">
        <v>13366</v>
      </c>
      <c r="C883">
        <v>4085</v>
      </c>
      <c r="D883" t="s">
        <v>18</v>
      </c>
      <c r="E883" t="s">
        <v>1376</v>
      </c>
      <c r="F883">
        <v>11780</v>
      </c>
      <c r="G883" t="s">
        <v>23</v>
      </c>
      <c r="H883" t="s">
        <v>21</v>
      </c>
      <c r="I883">
        <v>94643</v>
      </c>
      <c r="J883">
        <v>81868</v>
      </c>
      <c r="K883">
        <v>12775</v>
      </c>
      <c r="L883">
        <v>47400</v>
      </c>
      <c r="M883">
        <v>38900</v>
      </c>
      <c r="N883">
        <v>8500</v>
      </c>
    </row>
    <row r="884" spans="1:14" ht="14.4">
      <c r="A884">
        <v>13365</v>
      </c>
      <c r="B884">
        <v>13366</v>
      </c>
      <c r="C884">
        <v>4085</v>
      </c>
      <c r="D884" t="s">
        <v>18</v>
      </c>
      <c r="E884" t="s">
        <v>348</v>
      </c>
      <c r="F884">
        <v>10305</v>
      </c>
      <c r="G884" t="s">
        <v>71</v>
      </c>
      <c r="H884" t="s">
        <v>21</v>
      </c>
      <c r="I884">
        <v>121935</v>
      </c>
      <c r="J884">
        <v>107945</v>
      </c>
      <c r="K884">
        <v>13990</v>
      </c>
      <c r="L884">
        <v>96300</v>
      </c>
      <c r="M884">
        <v>82400</v>
      </c>
      <c r="N884">
        <v>13900</v>
      </c>
    </row>
    <row r="885" spans="1:14" ht="14.4">
      <c r="A885">
        <v>13365</v>
      </c>
      <c r="B885">
        <v>13366</v>
      </c>
      <c r="C885">
        <v>4085</v>
      </c>
      <c r="D885" t="s">
        <v>18</v>
      </c>
      <c r="E885" t="s">
        <v>1377</v>
      </c>
      <c r="F885">
        <v>10306</v>
      </c>
      <c r="G885" t="s">
        <v>71</v>
      </c>
      <c r="H885" t="s">
        <v>21</v>
      </c>
      <c r="I885">
        <v>60240</v>
      </c>
      <c r="J885">
        <v>0</v>
      </c>
      <c r="K885">
        <v>60240</v>
      </c>
      <c r="L885">
        <v>0</v>
      </c>
      <c r="M885">
        <v>0</v>
      </c>
      <c r="N885">
        <v>0</v>
      </c>
    </row>
    <row r="886" spans="1:14" ht="14.4">
      <c r="A886">
        <v>13365</v>
      </c>
      <c r="B886">
        <v>13366</v>
      </c>
      <c r="C886">
        <v>4085</v>
      </c>
      <c r="D886" t="s">
        <v>18</v>
      </c>
      <c r="E886" t="s">
        <v>1378</v>
      </c>
      <c r="F886">
        <v>10306</v>
      </c>
      <c r="G886" t="s">
        <v>71</v>
      </c>
      <c r="H886" t="s">
        <v>21</v>
      </c>
      <c r="I886">
        <v>70967</v>
      </c>
      <c r="J886">
        <v>43642</v>
      </c>
      <c r="K886">
        <v>27325</v>
      </c>
      <c r="L886">
        <v>23800</v>
      </c>
      <c r="M886">
        <v>7800</v>
      </c>
      <c r="N886">
        <v>16000</v>
      </c>
    </row>
    <row r="887" spans="1:14" ht="14.4">
      <c r="A887">
        <v>13365</v>
      </c>
      <c r="B887">
        <v>13366</v>
      </c>
      <c r="C887">
        <v>4085</v>
      </c>
      <c r="D887" t="s">
        <v>18</v>
      </c>
      <c r="E887" t="s">
        <v>1378</v>
      </c>
      <c r="F887">
        <v>10307</v>
      </c>
      <c r="G887" t="s">
        <v>71</v>
      </c>
      <c r="H887" t="s">
        <v>21</v>
      </c>
      <c r="I887">
        <v>217657</v>
      </c>
      <c r="J887">
        <v>159917</v>
      </c>
      <c r="K887">
        <v>57740</v>
      </c>
      <c r="L887">
        <v>149000</v>
      </c>
      <c r="M887">
        <v>109000</v>
      </c>
      <c r="N887">
        <v>40000</v>
      </c>
    </row>
    <row r="888" spans="1:14" ht="14.4">
      <c r="A888">
        <v>13365</v>
      </c>
      <c r="B888">
        <v>13366</v>
      </c>
      <c r="C888">
        <v>4085</v>
      </c>
      <c r="D888" t="s">
        <v>18</v>
      </c>
      <c r="E888" t="s">
        <v>350</v>
      </c>
      <c r="F888">
        <v>10304</v>
      </c>
      <c r="G888" t="s">
        <v>71</v>
      </c>
      <c r="H888" t="s">
        <v>21</v>
      </c>
      <c r="I888">
        <v>19669</v>
      </c>
      <c r="J888">
        <v>18629</v>
      </c>
      <c r="K888">
        <v>1040</v>
      </c>
      <c r="L888">
        <v>19600</v>
      </c>
      <c r="M888">
        <v>18500</v>
      </c>
      <c r="N888">
        <v>1100</v>
      </c>
    </row>
    <row r="889" spans="1:14" ht="14.4">
      <c r="A889">
        <v>13365</v>
      </c>
      <c r="B889">
        <v>13366</v>
      </c>
      <c r="C889">
        <v>4085</v>
      </c>
      <c r="D889" t="s">
        <v>18</v>
      </c>
      <c r="E889" t="s">
        <v>1379</v>
      </c>
      <c r="F889">
        <v>10306</v>
      </c>
      <c r="G889" t="s">
        <v>71</v>
      </c>
      <c r="H889" t="s">
        <v>21</v>
      </c>
      <c r="I889">
        <v>172092</v>
      </c>
      <c r="J889">
        <v>136542</v>
      </c>
      <c r="K889">
        <v>35550</v>
      </c>
      <c r="L889">
        <v>159000</v>
      </c>
      <c r="M889">
        <v>123400</v>
      </c>
      <c r="N889">
        <v>35600</v>
      </c>
    </row>
    <row r="890" spans="1:14" ht="14.4">
      <c r="A890">
        <v>13365</v>
      </c>
      <c r="B890">
        <v>13366</v>
      </c>
      <c r="C890">
        <v>4085</v>
      </c>
      <c r="D890" t="s">
        <v>18</v>
      </c>
      <c r="E890" t="s">
        <v>1379</v>
      </c>
      <c r="F890">
        <v>10308</v>
      </c>
      <c r="G890" t="s">
        <v>71</v>
      </c>
      <c r="H890" t="s">
        <v>21</v>
      </c>
      <c r="I890">
        <v>133378</v>
      </c>
      <c r="J890">
        <v>90586</v>
      </c>
      <c r="K890">
        <v>42792</v>
      </c>
      <c r="L890">
        <v>0</v>
      </c>
      <c r="M890">
        <v>0</v>
      </c>
      <c r="N890">
        <v>0</v>
      </c>
    </row>
    <row r="891" spans="1:14" ht="14.4">
      <c r="A891">
        <v>13365</v>
      </c>
      <c r="B891">
        <v>13366</v>
      </c>
      <c r="C891">
        <v>4085</v>
      </c>
      <c r="D891" t="s">
        <v>18</v>
      </c>
      <c r="E891" t="s">
        <v>1380</v>
      </c>
      <c r="F891">
        <v>10306</v>
      </c>
      <c r="G891" t="s">
        <v>71</v>
      </c>
      <c r="H891" t="s">
        <v>21</v>
      </c>
      <c r="I891">
        <v>73143</v>
      </c>
      <c r="J891">
        <v>59943</v>
      </c>
      <c r="K891">
        <v>13200</v>
      </c>
      <c r="L891">
        <v>13200</v>
      </c>
      <c r="M891">
        <v>0</v>
      </c>
      <c r="N891">
        <v>13200</v>
      </c>
    </row>
    <row r="892" spans="1:14" ht="14.4">
      <c r="A892">
        <v>13365</v>
      </c>
      <c r="B892">
        <v>13366</v>
      </c>
      <c r="C892">
        <v>4085</v>
      </c>
      <c r="D892" t="s">
        <v>18</v>
      </c>
      <c r="E892" t="s">
        <v>1381</v>
      </c>
      <c r="F892">
        <v>10306</v>
      </c>
      <c r="G892" t="s">
        <v>71</v>
      </c>
      <c r="H892" t="s">
        <v>21</v>
      </c>
      <c r="I892">
        <v>11275</v>
      </c>
      <c r="J892">
        <v>0</v>
      </c>
      <c r="K892">
        <v>11275</v>
      </c>
      <c r="L892">
        <v>0</v>
      </c>
      <c r="M892">
        <v>0</v>
      </c>
      <c r="N892">
        <v>0</v>
      </c>
    </row>
    <row r="893" spans="1:14" ht="14.4">
      <c r="A893">
        <v>13365</v>
      </c>
      <c r="B893">
        <v>13366</v>
      </c>
      <c r="C893">
        <v>4085</v>
      </c>
      <c r="D893" t="s">
        <v>18</v>
      </c>
      <c r="E893" t="s">
        <v>351</v>
      </c>
      <c r="F893">
        <v>10034</v>
      </c>
      <c r="G893" t="s">
        <v>71</v>
      </c>
      <c r="H893" t="s">
        <v>21</v>
      </c>
      <c r="I893">
        <v>52845</v>
      </c>
      <c r="J893">
        <v>40370</v>
      </c>
      <c r="K893">
        <v>12475</v>
      </c>
      <c r="L893">
        <v>30000</v>
      </c>
      <c r="M893">
        <v>17600</v>
      </c>
      <c r="N893">
        <v>12400</v>
      </c>
    </row>
    <row r="894" spans="1:14" ht="14.4">
      <c r="A894">
        <v>13365</v>
      </c>
      <c r="B894">
        <v>13366</v>
      </c>
      <c r="C894">
        <v>4085</v>
      </c>
      <c r="D894" t="s">
        <v>18</v>
      </c>
      <c r="E894" t="s">
        <v>351</v>
      </c>
      <c r="F894">
        <v>10106</v>
      </c>
      <c r="G894" t="s">
        <v>71</v>
      </c>
      <c r="H894" t="s">
        <v>21</v>
      </c>
      <c r="I894">
        <v>248926</v>
      </c>
      <c r="J894">
        <v>157976</v>
      </c>
      <c r="K894">
        <v>90950</v>
      </c>
      <c r="L894">
        <v>169500</v>
      </c>
      <c r="M894">
        <v>129500</v>
      </c>
      <c r="N894">
        <v>40000</v>
      </c>
    </row>
    <row r="895" spans="1:14" ht="14.4">
      <c r="A895">
        <v>13365</v>
      </c>
      <c r="B895">
        <v>13366</v>
      </c>
      <c r="C895">
        <v>4085</v>
      </c>
      <c r="D895" t="s">
        <v>18</v>
      </c>
      <c r="E895" t="s">
        <v>351</v>
      </c>
      <c r="F895">
        <v>10301</v>
      </c>
      <c r="G895" t="s">
        <v>71</v>
      </c>
      <c r="H895" t="s">
        <v>21</v>
      </c>
      <c r="I895">
        <v>1592052</v>
      </c>
      <c r="J895">
        <v>909468</v>
      </c>
      <c r="K895">
        <v>682584</v>
      </c>
      <c r="L895">
        <v>754300</v>
      </c>
      <c r="M895">
        <v>397300</v>
      </c>
      <c r="N895">
        <v>357000</v>
      </c>
    </row>
    <row r="896" spans="1:14" ht="14.4">
      <c r="A896">
        <v>13365</v>
      </c>
      <c r="B896">
        <v>13366</v>
      </c>
      <c r="C896">
        <v>4085</v>
      </c>
      <c r="D896" t="s">
        <v>18</v>
      </c>
      <c r="E896" t="s">
        <v>351</v>
      </c>
      <c r="F896">
        <v>10302</v>
      </c>
      <c r="G896" t="s">
        <v>71</v>
      </c>
      <c r="H896" t="s">
        <v>21</v>
      </c>
      <c r="I896">
        <v>494756</v>
      </c>
      <c r="J896">
        <v>418956</v>
      </c>
      <c r="K896">
        <v>75800</v>
      </c>
      <c r="L896">
        <v>222500</v>
      </c>
      <c r="M896">
        <v>193600</v>
      </c>
      <c r="N896">
        <v>28900</v>
      </c>
    </row>
    <row r="897" spans="1:14" ht="14.4">
      <c r="A897">
        <v>13365</v>
      </c>
      <c r="B897">
        <v>13366</v>
      </c>
      <c r="C897">
        <v>4085</v>
      </c>
      <c r="D897" t="s">
        <v>18</v>
      </c>
      <c r="E897" t="s">
        <v>351</v>
      </c>
      <c r="F897">
        <v>10303</v>
      </c>
      <c r="G897" t="s">
        <v>71</v>
      </c>
      <c r="H897" t="s">
        <v>21</v>
      </c>
      <c r="I897">
        <v>1671356</v>
      </c>
      <c r="J897">
        <v>1158285</v>
      </c>
      <c r="K897">
        <v>513071</v>
      </c>
      <c r="L897">
        <v>578500</v>
      </c>
      <c r="M897">
        <v>408200</v>
      </c>
      <c r="N897">
        <v>170300</v>
      </c>
    </row>
    <row r="898" spans="1:14" ht="14.4">
      <c r="A898">
        <v>13365</v>
      </c>
      <c r="B898">
        <v>13366</v>
      </c>
      <c r="C898">
        <v>4085</v>
      </c>
      <c r="D898" t="s">
        <v>18</v>
      </c>
      <c r="E898" t="s">
        <v>351</v>
      </c>
      <c r="F898">
        <v>10304</v>
      </c>
      <c r="G898" t="s">
        <v>71</v>
      </c>
      <c r="H898" t="s">
        <v>21</v>
      </c>
      <c r="I898">
        <v>1230503</v>
      </c>
      <c r="J898">
        <v>1017894</v>
      </c>
      <c r="K898">
        <v>212609</v>
      </c>
      <c r="L898">
        <v>537000</v>
      </c>
      <c r="M898">
        <v>449600</v>
      </c>
      <c r="N898">
        <v>87400</v>
      </c>
    </row>
    <row r="899" spans="1:14" ht="14.4">
      <c r="A899">
        <v>13365</v>
      </c>
      <c r="B899">
        <v>13366</v>
      </c>
      <c r="C899">
        <v>4085</v>
      </c>
      <c r="D899" t="s">
        <v>18</v>
      </c>
      <c r="E899" t="s">
        <v>351</v>
      </c>
      <c r="F899">
        <v>10305</v>
      </c>
      <c r="G899" t="s">
        <v>43</v>
      </c>
      <c r="H899" t="s">
        <v>21</v>
      </c>
      <c r="I899">
        <v>147747</v>
      </c>
      <c r="J899">
        <v>70762</v>
      </c>
      <c r="K899">
        <v>76985</v>
      </c>
      <c r="L899">
        <v>0</v>
      </c>
      <c r="M899">
        <v>0</v>
      </c>
      <c r="N899">
        <v>0</v>
      </c>
    </row>
    <row r="900" spans="1:14" ht="14.4">
      <c r="A900">
        <v>13365</v>
      </c>
      <c r="B900">
        <v>13366</v>
      </c>
      <c r="C900">
        <v>4085</v>
      </c>
      <c r="D900" t="s">
        <v>18</v>
      </c>
      <c r="E900" t="s">
        <v>351</v>
      </c>
      <c r="F900">
        <v>10305</v>
      </c>
      <c r="G900" t="s">
        <v>32</v>
      </c>
      <c r="H900" t="s">
        <v>21</v>
      </c>
      <c r="I900">
        <v>436125</v>
      </c>
      <c r="J900">
        <v>317475</v>
      </c>
      <c r="K900">
        <v>118650</v>
      </c>
      <c r="L900">
        <v>109500</v>
      </c>
      <c r="M900">
        <v>77100</v>
      </c>
      <c r="N900">
        <v>32400</v>
      </c>
    </row>
    <row r="901" spans="1:14" ht="14.4">
      <c r="A901">
        <v>13365</v>
      </c>
      <c r="B901">
        <v>13366</v>
      </c>
      <c r="C901">
        <v>4085</v>
      </c>
      <c r="D901" t="s">
        <v>18</v>
      </c>
      <c r="E901" t="s">
        <v>351</v>
      </c>
      <c r="F901">
        <v>10305</v>
      </c>
      <c r="G901" t="s">
        <v>71</v>
      </c>
      <c r="H901" t="s">
        <v>21</v>
      </c>
      <c r="I901">
        <v>73442996</v>
      </c>
      <c r="J901">
        <v>47146869</v>
      </c>
      <c r="K901">
        <v>26296127</v>
      </c>
      <c r="L901">
        <v>33115800</v>
      </c>
      <c r="M901">
        <v>20931700</v>
      </c>
      <c r="N901">
        <v>12184100</v>
      </c>
    </row>
    <row r="902" spans="1:14" ht="14.4">
      <c r="A902">
        <v>13365</v>
      </c>
      <c r="B902">
        <v>13366</v>
      </c>
      <c r="C902">
        <v>4085</v>
      </c>
      <c r="D902" t="s">
        <v>18</v>
      </c>
      <c r="E902" t="s">
        <v>351</v>
      </c>
      <c r="F902">
        <v>10306</v>
      </c>
      <c r="G902" t="s">
        <v>43</v>
      </c>
      <c r="H902" t="s">
        <v>21</v>
      </c>
      <c r="I902">
        <v>266671</v>
      </c>
      <c r="J902">
        <v>206421</v>
      </c>
      <c r="K902">
        <v>60250</v>
      </c>
      <c r="L902">
        <v>55400</v>
      </c>
      <c r="M902">
        <v>41000</v>
      </c>
      <c r="N902">
        <v>14400</v>
      </c>
    </row>
    <row r="903" spans="1:14" ht="14.4">
      <c r="A903">
        <v>13365</v>
      </c>
      <c r="B903">
        <v>13366</v>
      </c>
      <c r="C903">
        <v>4085</v>
      </c>
      <c r="D903" t="s">
        <v>18</v>
      </c>
      <c r="E903" t="s">
        <v>351</v>
      </c>
      <c r="F903">
        <v>10306</v>
      </c>
      <c r="G903" t="s">
        <v>32</v>
      </c>
      <c r="H903" t="s">
        <v>21</v>
      </c>
      <c r="I903">
        <v>513378</v>
      </c>
      <c r="J903">
        <v>306548</v>
      </c>
      <c r="K903">
        <v>206830</v>
      </c>
      <c r="L903">
        <v>281400</v>
      </c>
      <c r="M903">
        <v>167600</v>
      </c>
      <c r="N903">
        <v>113800</v>
      </c>
    </row>
    <row r="904" spans="1:14" ht="14.4">
      <c r="A904">
        <v>13365</v>
      </c>
      <c r="B904">
        <v>13366</v>
      </c>
      <c r="C904">
        <v>4085</v>
      </c>
      <c r="D904" t="s">
        <v>18</v>
      </c>
      <c r="E904" t="s">
        <v>351</v>
      </c>
      <c r="F904">
        <v>10306</v>
      </c>
      <c r="G904" t="s">
        <v>71</v>
      </c>
      <c r="H904" t="s">
        <v>21</v>
      </c>
      <c r="I904">
        <v>197682479</v>
      </c>
      <c r="J904">
        <v>126902740</v>
      </c>
      <c r="K904">
        <v>70779739</v>
      </c>
      <c r="L904">
        <v>86814000</v>
      </c>
      <c r="M904">
        <v>54752300</v>
      </c>
      <c r="N904">
        <v>32048400</v>
      </c>
    </row>
    <row r="905" spans="1:14" ht="14.4">
      <c r="A905">
        <v>13365</v>
      </c>
      <c r="B905">
        <v>13366</v>
      </c>
      <c r="C905">
        <v>4085</v>
      </c>
      <c r="D905" t="s">
        <v>18</v>
      </c>
      <c r="E905" t="s">
        <v>351</v>
      </c>
      <c r="F905">
        <v>10306</v>
      </c>
      <c r="G905" t="s">
        <v>85</v>
      </c>
      <c r="H905" t="s">
        <v>21</v>
      </c>
      <c r="I905">
        <v>46097</v>
      </c>
      <c r="J905">
        <v>31097</v>
      </c>
      <c r="K905">
        <v>15000</v>
      </c>
      <c r="L905">
        <v>28300</v>
      </c>
      <c r="M905">
        <v>13300</v>
      </c>
      <c r="N905">
        <v>15000</v>
      </c>
    </row>
    <row r="906" spans="1:14" ht="14.4">
      <c r="A906">
        <v>13365</v>
      </c>
      <c r="B906">
        <v>13366</v>
      </c>
      <c r="C906">
        <v>4085</v>
      </c>
      <c r="D906" t="s">
        <v>18</v>
      </c>
      <c r="E906" t="s">
        <v>351</v>
      </c>
      <c r="F906">
        <v>10307</v>
      </c>
      <c r="G906" t="s">
        <v>71</v>
      </c>
      <c r="H906" t="s">
        <v>21</v>
      </c>
      <c r="I906">
        <v>13115389</v>
      </c>
      <c r="J906">
        <v>9988783</v>
      </c>
      <c r="K906">
        <v>3126606</v>
      </c>
      <c r="L906">
        <v>5507200</v>
      </c>
      <c r="M906">
        <v>3962600</v>
      </c>
      <c r="N906">
        <v>1544600</v>
      </c>
    </row>
    <row r="907" spans="1:14" ht="14.4">
      <c r="A907">
        <v>13365</v>
      </c>
      <c r="B907">
        <v>13366</v>
      </c>
      <c r="C907">
        <v>4085</v>
      </c>
      <c r="D907" t="s">
        <v>18</v>
      </c>
      <c r="E907" t="s">
        <v>351</v>
      </c>
      <c r="F907">
        <v>10308</v>
      </c>
      <c r="G907" t="s">
        <v>32</v>
      </c>
      <c r="H907" t="s">
        <v>21</v>
      </c>
      <c r="I907">
        <v>37244</v>
      </c>
      <c r="J907">
        <v>8454</v>
      </c>
      <c r="K907">
        <v>28790</v>
      </c>
      <c r="L907">
        <v>37400</v>
      </c>
      <c r="M907">
        <v>8500</v>
      </c>
      <c r="N907">
        <v>28900</v>
      </c>
    </row>
    <row r="908" spans="1:14" ht="14.4">
      <c r="A908">
        <v>13365</v>
      </c>
      <c r="B908">
        <v>13366</v>
      </c>
      <c r="C908">
        <v>4085</v>
      </c>
      <c r="D908" t="s">
        <v>18</v>
      </c>
      <c r="E908" t="s">
        <v>351</v>
      </c>
      <c r="F908">
        <v>10308</v>
      </c>
      <c r="G908" t="s">
        <v>71</v>
      </c>
      <c r="H908" t="s">
        <v>21</v>
      </c>
      <c r="I908">
        <v>13624582</v>
      </c>
      <c r="J908">
        <v>9271350</v>
      </c>
      <c r="K908">
        <v>4353232</v>
      </c>
      <c r="L908">
        <v>6100400</v>
      </c>
      <c r="M908">
        <v>3983900</v>
      </c>
      <c r="N908">
        <v>2116500</v>
      </c>
    </row>
    <row r="909" spans="1:14" ht="14.4">
      <c r="A909">
        <v>13365</v>
      </c>
      <c r="B909">
        <v>13366</v>
      </c>
      <c r="C909">
        <v>4085</v>
      </c>
      <c r="D909" t="s">
        <v>18</v>
      </c>
      <c r="E909" t="s">
        <v>351</v>
      </c>
      <c r="F909">
        <v>10309</v>
      </c>
      <c r="G909" t="s">
        <v>71</v>
      </c>
      <c r="H909" t="s">
        <v>21</v>
      </c>
      <c r="I909">
        <v>2620412</v>
      </c>
      <c r="J909">
        <v>1922247</v>
      </c>
      <c r="K909">
        <v>698165</v>
      </c>
      <c r="L909">
        <v>1134900</v>
      </c>
      <c r="M909">
        <v>877800</v>
      </c>
      <c r="N909">
        <v>257100</v>
      </c>
    </row>
    <row r="910" spans="1:14" ht="14.4">
      <c r="A910">
        <v>13365</v>
      </c>
      <c r="B910">
        <v>13366</v>
      </c>
      <c r="C910">
        <v>4085</v>
      </c>
      <c r="D910" t="s">
        <v>18</v>
      </c>
      <c r="E910" t="s">
        <v>351</v>
      </c>
      <c r="F910">
        <v>10310</v>
      </c>
      <c r="G910" t="s">
        <v>71</v>
      </c>
      <c r="H910" t="s">
        <v>21</v>
      </c>
      <c r="I910">
        <v>1287725</v>
      </c>
      <c r="J910">
        <v>816185</v>
      </c>
      <c r="K910">
        <v>471540</v>
      </c>
      <c r="L910">
        <v>557600</v>
      </c>
      <c r="M910">
        <v>319200</v>
      </c>
      <c r="N910">
        <v>238400</v>
      </c>
    </row>
    <row r="911" spans="1:14" ht="14.4">
      <c r="A911">
        <v>13365</v>
      </c>
      <c r="B911">
        <v>13366</v>
      </c>
      <c r="C911">
        <v>4085</v>
      </c>
      <c r="D911" t="s">
        <v>18</v>
      </c>
      <c r="E911" t="s">
        <v>351</v>
      </c>
      <c r="F911">
        <v>10312</v>
      </c>
      <c r="G911" t="s">
        <v>71</v>
      </c>
      <c r="H911" t="s">
        <v>21</v>
      </c>
      <c r="I911">
        <v>10169517</v>
      </c>
      <c r="J911">
        <v>8465655</v>
      </c>
      <c r="K911">
        <v>1703862</v>
      </c>
      <c r="L911">
        <v>3827000</v>
      </c>
      <c r="M911">
        <v>3060300</v>
      </c>
      <c r="N911">
        <v>766700</v>
      </c>
    </row>
    <row r="912" spans="1:14" ht="14.4">
      <c r="A912">
        <v>13365</v>
      </c>
      <c r="B912">
        <v>13366</v>
      </c>
      <c r="C912">
        <v>4085</v>
      </c>
      <c r="D912" t="s">
        <v>18</v>
      </c>
      <c r="E912" t="s">
        <v>351</v>
      </c>
      <c r="F912">
        <v>10314</v>
      </c>
      <c r="G912" t="s">
        <v>32</v>
      </c>
      <c r="H912" t="s">
        <v>21</v>
      </c>
      <c r="I912">
        <v>219278</v>
      </c>
      <c r="J912">
        <v>135328</v>
      </c>
      <c r="K912">
        <v>83950</v>
      </c>
      <c r="L912">
        <v>0</v>
      </c>
      <c r="M912">
        <v>0</v>
      </c>
      <c r="N912">
        <v>0</v>
      </c>
    </row>
    <row r="913" spans="1:14" ht="14.4">
      <c r="A913">
        <v>13365</v>
      </c>
      <c r="B913">
        <v>13366</v>
      </c>
      <c r="C913">
        <v>4085</v>
      </c>
      <c r="D913" t="s">
        <v>18</v>
      </c>
      <c r="E913" t="s">
        <v>351</v>
      </c>
      <c r="F913">
        <v>10314</v>
      </c>
      <c r="G913" t="s">
        <v>71</v>
      </c>
      <c r="H913" t="s">
        <v>21</v>
      </c>
      <c r="I913">
        <v>2099060</v>
      </c>
      <c r="J913">
        <v>1523086</v>
      </c>
      <c r="K913">
        <v>575974</v>
      </c>
      <c r="L913">
        <v>1125200</v>
      </c>
      <c r="M913">
        <v>696200</v>
      </c>
      <c r="N913">
        <v>429000</v>
      </c>
    </row>
    <row r="914" spans="1:14" ht="14.4">
      <c r="A914">
        <v>13365</v>
      </c>
      <c r="B914">
        <v>13366</v>
      </c>
      <c r="C914">
        <v>4085</v>
      </c>
      <c r="D914" t="s">
        <v>18</v>
      </c>
      <c r="E914" t="s">
        <v>351</v>
      </c>
      <c r="F914">
        <v>11201</v>
      </c>
      <c r="G914" t="s">
        <v>71</v>
      </c>
      <c r="H914" t="s">
        <v>21</v>
      </c>
      <c r="I914">
        <v>119369</v>
      </c>
      <c r="J914">
        <v>80819</v>
      </c>
      <c r="K914">
        <v>38550</v>
      </c>
      <c r="L914">
        <v>109400</v>
      </c>
      <c r="M914">
        <v>70900</v>
      </c>
      <c r="N914">
        <v>38500</v>
      </c>
    </row>
    <row r="915" spans="1:14" ht="14.4">
      <c r="A915">
        <v>13365</v>
      </c>
      <c r="B915">
        <v>13366</v>
      </c>
      <c r="C915">
        <v>4085</v>
      </c>
      <c r="D915" t="s">
        <v>18</v>
      </c>
      <c r="E915" t="s">
        <v>351</v>
      </c>
      <c r="F915">
        <v>11589</v>
      </c>
      <c r="G915" t="s">
        <v>20</v>
      </c>
      <c r="H915" t="s">
        <v>21</v>
      </c>
      <c r="I915">
        <v>71900</v>
      </c>
      <c r="J915">
        <v>0</v>
      </c>
      <c r="K915">
        <v>71900</v>
      </c>
      <c r="L915">
        <v>0</v>
      </c>
      <c r="M915">
        <v>0</v>
      </c>
      <c r="N915">
        <v>0</v>
      </c>
    </row>
    <row r="916" spans="1:14" ht="14.4">
      <c r="A916">
        <v>13365</v>
      </c>
      <c r="B916">
        <v>13366</v>
      </c>
      <c r="C916">
        <v>4085</v>
      </c>
      <c r="D916" t="s">
        <v>18</v>
      </c>
      <c r="E916" t="s">
        <v>1382</v>
      </c>
      <c r="F916">
        <v>10306</v>
      </c>
      <c r="G916" t="s">
        <v>71</v>
      </c>
      <c r="H916" t="s">
        <v>21</v>
      </c>
      <c r="I916">
        <v>168933</v>
      </c>
      <c r="J916">
        <v>149533</v>
      </c>
      <c r="K916">
        <v>19400</v>
      </c>
      <c r="L916">
        <v>0</v>
      </c>
      <c r="M916">
        <v>0</v>
      </c>
      <c r="N916">
        <v>0</v>
      </c>
    </row>
    <row r="917" spans="1:14" ht="14.4">
      <c r="A917">
        <v>13365</v>
      </c>
      <c r="B917">
        <v>13366</v>
      </c>
      <c r="C917">
        <v>4085</v>
      </c>
      <c r="D917" t="s">
        <v>18</v>
      </c>
      <c r="E917" t="s">
        <v>1383</v>
      </c>
      <c r="F917">
        <v>10306</v>
      </c>
      <c r="G917" t="s">
        <v>71</v>
      </c>
      <c r="H917" t="s">
        <v>21</v>
      </c>
      <c r="I917">
        <v>110817</v>
      </c>
      <c r="J917">
        <v>77117</v>
      </c>
      <c r="K917">
        <v>33700</v>
      </c>
      <c r="L917">
        <v>0</v>
      </c>
      <c r="M917">
        <v>0</v>
      </c>
      <c r="N917">
        <v>0</v>
      </c>
    </row>
    <row r="918" spans="1:14" ht="14.4">
      <c r="A918">
        <v>13365</v>
      </c>
      <c r="B918">
        <v>13366</v>
      </c>
      <c r="C918">
        <v>4085</v>
      </c>
      <c r="D918" t="s">
        <v>18</v>
      </c>
      <c r="E918" t="s">
        <v>1384</v>
      </c>
      <c r="F918">
        <v>10306</v>
      </c>
      <c r="G918" t="s">
        <v>71</v>
      </c>
      <c r="H918" t="s">
        <v>21</v>
      </c>
      <c r="I918">
        <v>148501</v>
      </c>
      <c r="J918">
        <v>92476</v>
      </c>
      <c r="K918">
        <v>56025</v>
      </c>
      <c r="L918">
        <v>91300</v>
      </c>
      <c r="M918">
        <v>78800</v>
      </c>
      <c r="N918">
        <v>12500</v>
      </c>
    </row>
    <row r="919" spans="1:14" ht="14.4">
      <c r="A919">
        <v>13365</v>
      </c>
      <c r="B919">
        <v>13366</v>
      </c>
      <c r="C919">
        <v>4085</v>
      </c>
      <c r="D919" t="s">
        <v>18</v>
      </c>
      <c r="E919" t="s">
        <v>1385</v>
      </c>
      <c r="F919">
        <v>10305</v>
      </c>
      <c r="G919" t="s">
        <v>71</v>
      </c>
      <c r="H919" t="s">
        <v>21</v>
      </c>
      <c r="I919">
        <v>52171</v>
      </c>
      <c r="J919">
        <v>38371</v>
      </c>
      <c r="K919">
        <v>13800</v>
      </c>
      <c r="L919">
        <v>0</v>
      </c>
      <c r="M919">
        <v>0</v>
      </c>
      <c r="N919">
        <v>0</v>
      </c>
    </row>
    <row r="920" spans="1:14" ht="14.4">
      <c r="A920">
        <v>13365</v>
      </c>
      <c r="B920">
        <v>13366</v>
      </c>
      <c r="C920">
        <v>4085</v>
      </c>
      <c r="D920" t="s">
        <v>18</v>
      </c>
      <c r="E920" t="s">
        <v>1386</v>
      </c>
      <c r="F920">
        <v>10305</v>
      </c>
      <c r="G920" t="s">
        <v>71</v>
      </c>
      <c r="H920" t="s">
        <v>21</v>
      </c>
      <c r="I920">
        <v>63282</v>
      </c>
      <c r="J920">
        <v>50882</v>
      </c>
      <c r="K920">
        <v>12400</v>
      </c>
      <c r="L920">
        <v>54900</v>
      </c>
      <c r="M920">
        <v>42500</v>
      </c>
      <c r="N920">
        <v>12400</v>
      </c>
    </row>
    <row r="921" spans="1:14" ht="14.4">
      <c r="A921">
        <v>13365</v>
      </c>
      <c r="B921">
        <v>13366</v>
      </c>
      <c r="C921">
        <v>4085</v>
      </c>
      <c r="D921" t="s">
        <v>18</v>
      </c>
      <c r="E921" t="s">
        <v>1387</v>
      </c>
      <c r="F921">
        <v>10305</v>
      </c>
      <c r="G921" t="s">
        <v>71</v>
      </c>
      <c r="H921" t="s">
        <v>21</v>
      </c>
      <c r="I921">
        <v>40845</v>
      </c>
      <c r="J921">
        <v>24070</v>
      </c>
      <c r="K921">
        <v>16775</v>
      </c>
      <c r="L921">
        <v>14000</v>
      </c>
      <c r="M921">
        <v>0</v>
      </c>
      <c r="N921">
        <v>14000</v>
      </c>
    </row>
    <row r="922" spans="1:14" ht="14.4">
      <c r="A922">
        <v>13365</v>
      </c>
      <c r="B922">
        <v>13366</v>
      </c>
      <c r="C922">
        <v>4085</v>
      </c>
      <c r="D922" t="s">
        <v>18</v>
      </c>
      <c r="E922" t="s">
        <v>1388</v>
      </c>
      <c r="F922">
        <v>10979</v>
      </c>
      <c r="G922" t="s">
        <v>51</v>
      </c>
      <c r="H922" t="s">
        <v>21</v>
      </c>
      <c r="I922">
        <v>55725</v>
      </c>
      <c r="J922">
        <v>53425</v>
      </c>
      <c r="K922">
        <v>2300</v>
      </c>
      <c r="L922">
        <v>0</v>
      </c>
      <c r="M922">
        <v>0</v>
      </c>
      <c r="N922">
        <v>0</v>
      </c>
    </row>
    <row r="923" spans="1:14" ht="14.4">
      <c r="A923">
        <v>13365</v>
      </c>
      <c r="B923">
        <v>13366</v>
      </c>
      <c r="C923">
        <v>4085</v>
      </c>
      <c r="D923" t="s">
        <v>18</v>
      </c>
      <c r="E923" t="s">
        <v>352</v>
      </c>
      <c r="F923">
        <v>11530</v>
      </c>
      <c r="G923" t="s">
        <v>20</v>
      </c>
      <c r="H923" t="s">
        <v>21</v>
      </c>
      <c r="I923">
        <v>67826</v>
      </c>
      <c r="J923">
        <v>45476</v>
      </c>
      <c r="K923">
        <v>22350</v>
      </c>
      <c r="L923">
        <v>18600</v>
      </c>
      <c r="M923">
        <v>16800</v>
      </c>
      <c r="N923">
        <v>1800</v>
      </c>
    </row>
    <row r="924" spans="1:14" ht="14.4">
      <c r="A924">
        <v>13365</v>
      </c>
      <c r="B924">
        <v>13366</v>
      </c>
      <c r="C924">
        <v>4085</v>
      </c>
      <c r="D924" t="s">
        <v>18</v>
      </c>
      <c r="E924" t="s">
        <v>353</v>
      </c>
      <c r="F924">
        <v>11790</v>
      </c>
      <c r="G924" t="s">
        <v>23</v>
      </c>
      <c r="H924" t="s">
        <v>21</v>
      </c>
      <c r="I924">
        <v>153552</v>
      </c>
      <c r="J924">
        <v>125502</v>
      </c>
      <c r="K924">
        <v>28050</v>
      </c>
      <c r="L924">
        <v>70900</v>
      </c>
      <c r="M924">
        <v>45500</v>
      </c>
      <c r="N924">
        <v>25400</v>
      </c>
    </row>
    <row r="925" spans="1:14" ht="14.4">
      <c r="A925">
        <v>13365</v>
      </c>
      <c r="B925">
        <v>13366</v>
      </c>
      <c r="C925">
        <v>4085</v>
      </c>
      <c r="D925" t="s">
        <v>18</v>
      </c>
      <c r="E925" t="s">
        <v>354</v>
      </c>
      <c r="F925">
        <v>10980</v>
      </c>
      <c r="G925" t="s">
        <v>85</v>
      </c>
      <c r="H925" t="s">
        <v>21</v>
      </c>
      <c r="I925">
        <v>3408433</v>
      </c>
      <c r="J925">
        <v>2762738</v>
      </c>
      <c r="K925">
        <v>645695</v>
      </c>
      <c r="L925">
        <v>1713600</v>
      </c>
      <c r="M925">
        <v>1354600</v>
      </c>
      <c r="N925">
        <v>359000</v>
      </c>
    </row>
    <row r="926" spans="1:14" ht="14.4">
      <c r="A926">
        <v>13365</v>
      </c>
      <c r="B926">
        <v>13366</v>
      </c>
      <c r="C926">
        <v>4085</v>
      </c>
      <c r="D926" t="s">
        <v>18</v>
      </c>
      <c r="E926" t="s">
        <v>1389</v>
      </c>
      <c r="F926">
        <v>10308</v>
      </c>
      <c r="G926" t="s">
        <v>71</v>
      </c>
      <c r="H926" t="s">
        <v>21</v>
      </c>
      <c r="I926">
        <v>20400</v>
      </c>
      <c r="J926">
        <v>0</v>
      </c>
      <c r="K926">
        <v>20400</v>
      </c>
      <c r="L926">
        <v>0</v>
      </c>
      <c r="M926">
        <v>0</v>
      </c>
      <c r="N926">
        <v>0</v>
      </c>
    </row>
    <row r="927" spans="1:14" ht="14.4">
      <c r="A927">
        <v>13365</v>
      </c>
      <c r="B927">
        <v>13366</v>
      </c>
      <c r="C927">
        <v>4085</v>
      </c>
      <c r="D927" t="s">
        <v>18</v>
      </c>
      <c r="E927" t="s">
        <v>1390</v>
      </c>
      <c r="F927">
        <v>10306</v>
      </c>
      <c r="G927" t="s">
        <v>71</v>
      </c>
      <c r="H927" t="s">
        <v>21</v>
      </c>
      <c r="I927">
        <v>81957</v>
      </c>
      <c r="J927">
        <v>35407</v>
      </c>
      <c r="K927">
        <v>46550</v>
      </c>
      <c r="L927">
        <v>0</v>
      </c>
      <c r="M927">
        <v>0</v>
      </c>
      <c r="N927">
        <v>0</v>
      </c>
    </row>
    <row r="928" spans="1:14" ht="14.4">
      <c r="A928">
        <v>13365</v>
      </c>
      <c r="B928">
        <v>13366</v>
      </c>
      <c r="C928">
        <v>4085</v>
      </c>
      <c r="D928" t="s">
        <v>18</v>
      </c>
      <c r="E928" t="s">
        <v>355</v>
      </c>
      <c r="F928">
        <v>10901</v>
      </c>
      <c r="G928" t="s">
        <v>85</v>
      </c>
      <c r="H928" t="s">
        <v>21</v>
      </c>
      <c r="I928">
        <v>78817</v>
      </c>
      <c r="J928">
        <v>78817</v>
      </c>
      <c r="K928">
        <v>0</v>
      </c>
      <c r="L928">
        <v>52700</v>
      </c>
      <c r="M928">
        <v>52700</v>
      </c>
      <c r="N928">
        <v>0</v>
      </c>
    </row>
    <row r="929" spans="1:14" ht="14.4">
      <c r="A929">
        <v>13365</v>
      </c>
      <c r="B929">
        <v>13366</v>
      </c>
      <c r="C929">
        <v>4085</v>
      </c>
      <c r="D929" t="s">
        <v>18</v>
      </c>
      <c r="E929" t="s">
        <v>1391</v>
      </c>
      <c r="F929">
        <v>11104</v>
      </c>
      <c r="G929" t="s">
        <v>32</v>
      </c>
      <c r="H929" t="s">
        <v>21</v>
      </c>
      <c r="I929">
        <v>1000</v>
      </c>
      <c r="J929">
        <v>0</v>
      </c>
      <c r="K929">
        <v>1000</v>
      </c>
      <c r="L929">
        <v>0</v>
      </c>
      <c r="M929">
        <v>0</v>
      </c>
      <c r="N929">
        <v>0</v>
      </c>
    </row>
    <row r="930" spans="1:14" ht="14.4">
      <c r="A930">
        <v>13365</v>
      </c>
      <c r="B930">
        <v>13366</v>
      </c>
      <c r="C930">
        <v>4085</v>
      </c>
      <c r="D930" t="s">
        <v>18</v>
      </c>
      <c r="E930" t="s">
        <v>1391</v>
      </c>
      <c r="F930">
        <v>11104</v>
      </c>
      <c r="G930" t="s">
        <v>28</v>
      </c>
      <c r="H930" t="s">
        <v>21</v>
      </c>
      <c r="I930">
        <v>1367</v>
      </c>
      <c r="J930">
        <v>0</v>
      </c>
      <c r="K930">
        <v>1367</v>
      </c>
      <c r="L930">
        <v>1400</v>
      </c>
      <c r="M930">
        <v>0</v>
      </c>
      <c r="N930">
        <v>1400</v>
      </c>
    </row>
    <row r="931" spans="1:14" ht="14.4">
      <c r="A931">
        <v>13365</v>
      </c>
      <c r="B931">
        <v>13366</v>
      </c>
      <c r="C931">
        <v>4085</v>
      </c>
      <c r="D931" t="s">
        <v>18</v>
      </c>
      <c r="E931" t="s">
        <v>1392</v>
      </c>
      <c r="F931">
        <v>12783</v>
      </c>
      <c r="G931" t="s">
        <v>189</v>
      </c>
      <c r="H931" t="s">
        <v>21</v>
      </c>
      <c r="I931">
        <v>99691</v>
      </c>
      <c r="J931">
        <v>99691</v>
      </c>
      <c r="K931">
        <v>0</v>
      </c>
      <c r="L931">
        <v>92100</v>
      </c>
      <c r="M931">
        <v>92100</v>
      </c>
      <c r="N931">
        <v>0</v>
      </c>
    </row>
    <row r="932" spans="1:14" ht="14.4">
      <c r="A932">
        <v>13365</v>
      </c>
      <c r="B932">
        <v>13366</v>
      </c>
      <c r="C932">
        <v>4085</v>
      </c>
      <c r="D932" t="s">
        <v>18</v>
      </c>
      <c r="E932" t="s">
        <v>356</v>
      </c>
      <c r="F932">
        <v>11791</v>
      </c>
      <c r="G932" t="s">
        <v>20</v>
      </c>
      <c r="H932" t="s">
        <v>21</v>
      </c>
      <c r="I932">
        <v>286436</v>
      </c>
      <c r="J932">
        <v>245511</v>
      </c>
      <c r="K932">
        <v>40925</v>
      </c>
      <c r="L932">
        <v>79800</v>
      </c>
      <c r="M932">
        <v>75300</v>
      </c>
      <c r="N932">
        <v>4500</v>
      </c>
    </row>
    <row r="933" spans="1:14" ht="14.4">
      <c r="A933">
        <v>13365</v>
      </c>
      <c r="B933">
        <v>13366</v>
      </c>
      <c r="C933">
        <v>4085</v>
      </c>
      <c r="D933" t="s">
        <v>18</v>
      </c>
      <c r="E933" t="s">
        <v>358</v>
      </c>
      <c r="F933">
        <v>10591</v>
      </c>
      <c r="G933" t="s">
        <v>64</v>
      </c>
      <c r="H933" t="s">
        <v>21</v>
      </c>
      <c r="I933">
        <v>35626</v>
      </c>
      <c r="J933">
        <v>35626</v>
      </c>
      <c r="K933">
        <v>0</v>
      </c>
      <c r="L933">
        <v>0</v>
      </c>
      <c r="M933">
        <v>0</v>
      </c>
      <c r="N933">
        <v>0</v>
      </c>
    </row>
    <row r="934" spans="1:14" ht="14.4">
      <c r="A934">
        <v>13365</v>
      </c>
      <c r="B934">
        <v>13366</v>
      </c>
      <c r="C934">
        <v>4085</v>
      </c>
      <c r="D934" t="s">
        <v>18</v>
      </c>
      <c r="E934" t="s">
        <v>1393</v>
      </c>
      <c r="F934">
        <v>11770</v>
      </c>
      <c r="G934" t="s">
        <v>23</v>
      </c>
      <c r="H934" t="s">
        <v>21</v>
      </c>
      <c r="I934">
        <v>138287</v>
      </c>
      <c r="J934">
        <v>112287</v>
      </c>
      <c r="K934">
        <v>26000</v>
      </c>
      <c r="L934">
        <v>138300</v>
      </c>
      <c r="M934">
        <v>112300</v>
      </c>
      <c r="N934">
        <v>26000</v>
      </c>
    </row>
    <row r="935" spans="1:14" ht="14.4">
      <c r="A935">
        <v>13365</v>
      </c>
      <c r="B935">
        <v>13366</v>
      </c>
      <c r="C935">
        <v>4085</v>
      </c>
      <c r="D935" t="s">
        <v>18</v>
      </c>
      <c r="E935" t="s">
        <v>359</v>
      </c>
      <c r="F935">
        <v>11553</v>
      </c>
      <c r="G935" t="s">
        <v>20</v>
      </c>
      <c r="H935" t="s">
        <v>21</v>
      </c>
      <c r="I935">
        <v>351808</v>
      </c>
      <c r="J935">
        <v>314263</v>
      </c>
      <c r="K935">
        <v>37545</v>
      </c>
      <c r="L935">
        <v>49500</v>
      </c>
      <c r="M935">
        <v>46000</v>
      </c>
      <c r="N935">
        <v>3500</v>
      </c>
    </row>
    <row r="936" spans="1:14" ht="14.4">
      <c r="A936">
        <v>13365</v>
      </c>
      <c r="B936">
        <v>13366</v>
      </c>
      <c r="C936">
        <v>4085</v>
      </c>
      <c r="D936" t="s">
        <v>18</v>
      </c>
      <c r="E936" t="s">
        <v>1394</v>
      </c>
      <c r="F936">
        <v>10960</v>
      </c>
      <c r="G936" t="s">
        <v>85</v>
      </c>
      <c r="H936" t="s">
        <v>21</v>
      </c>
      <c r="I936">
        <v>4995</v>
      </c>
      <c r="J936">
        <v>4995</v>
      </c>
      <c r="K936">
        <v>0</v>
      </c>
      <c r="L936">
        <v>0</v>
      </c>
      <c r="M936">
        <v>0</v>
      </c>
      <c r="N936">
        <v>0</v>
      </c>
    </row>
    <row r="937" spans="1:14" ht="14.4">
      <c r="A937">
        <v>13365</v>
      </c>
      <c r="B937">
        <v>13366</v>
      </c>
      <c r="C937">
        <v>4085</v>
      </c>
      <c r="D937" t="s">
        <v>18</v>
      </c>
      <c r="E937" t="s">
        <v>1395</v>
      </c>
      <c r="F937">
        <v>11581</v>
      </c>
      <c r="G937" t="s">
        <v>20</v>
      </c>
      <c r="H937" t="s">
        <v>21</v>
      </c>
      <c r="I937">
        <v>7125</v>
      </c>
      <c r="J937">
        <v>0</v>
      </c>
      <c r="K937">
        <v>7125</v>
      </c>
      <c r="L937">
        <v>7200</v>
      </c>
      <c r="M937">
        <v>0</v>
      </c>
      <c r="N937">
        <v>7200</v>
      </c>
    </row>
    <row r="938" spans="1:14" ht="14.4">
      <c r="A938">
        <v>13365</v>
      </c>
      <c r="B938">
        <v>13366</v>
      </c>
      <c r="C938">
        <v>4085</v>
      </c>
      <c r="D938" t="s">
        <v>18</v>
      </c>
      <c r="E938" t="s">
        <v>1396</v>
      </c>
      <c r="F938">
        <v>10595</v>
      </c>
      <c r="G938" t="s">
        <v>64</v>
      </c>
      <c r="H938" t="s">
        <v>21</v>
      </c>
      <c r="I938">
        <v>103415</v>
      </c>
      <c r="J938">
        <v>80890</v>
      </c>
      <c r="K938">
        <v>22525</v>
      </c>
      <c r="L938">
        <v>19600</v>
      </c>
      <c r="M938">
        <v>7400</v>
      </c>
      <c r="N938">
        <v>12200</v>
      </c>
    </row>
    <row r="939" spans="1:14" ht="14.4">
      <c r="A939">
        <v>13365</v>
      </c>
      <c r="B939">
        <v>13366</v>
      </c>
      <c r="C939">
        <v>4085</v>
      </c>
      <c r="D939" t="s">
        <v>18</v>
      </c>
      <c r="E939" t="s">
        <v>360</v>
      </c>
      <c r="F939">
        <v>10989</v>
      </c>
      <c r="G939" t="s">
        <v>85</v>
      </c>
      <c r="H939" t="s">
        <v>21</v>
      </c>
      <c r="I939">
        <v>137751</v>
      </c>
      <c r="J939">
        <v>106376</v>
      </c>
      <c r="K939">
        <v>31375</v>
      </c>
      <c r="L939">
        <v>57800</v>
      </c>
      <c r="M939">
        <v>47400</v>
      </c>
      <c r="N939">
        <v>10400</v>
      </c>
    </row>
    <row r="940" spans="1:14" ht="14.4">
      <c r="A940">
        <v>13365</v>
      </c>
      <c r="B940">
        <v>13366</v>
      </c>
      <c r="C940">
        <v>4085</v>
      </c>
      <c r="D940" t="s">
        <v>18</v>
      </c>
      <c r="E940" t="s">
        <v>361</v>
      </c>
      <c r="F940">
        <v>11580</v>
      </c>
      <c r="G940" t="s">
        <v>43</v>
      </c>
      <c r="H940" t="s">
        <v>21</v>
      </c>
      <c r="I940">
        <v>11525</v>
      </c>
      <c r="J940">
        <v>0</v>
      </c>
      <c r="K940">
        <v>11525</v>
      </c>
      <c r="L940">
        <v>2200</v>
      </c>
      <c r="M940">
        <v>0</v>
      </c>
      <c r="N940">
        <v>2200</v>
      </c>
    </row>
    <row r="941" spans="1:14" ht="14.4">
      <c r="A941">
        <v>13365</v>
      </c>
      <c r="B941">
        <v>13366</v>
      </c>
      <c r="C941">
        <v>4085</v>
      </c>
      <c r="D941" t="s">
        <v>18</v>
      </c>
      <c r="E941" t="s">
        <v>361</v>
      </c>
      <c r="F941">
        <v>11580</v>
      </c>
      <c r="G941" t="s">
        <v>20</v>
      </c>
      <c r="H941" t="s">
        <v>21</v>
      </c>
      <c r="I941">
        <v>744808</v>
      </c>
      <c r="J941">
        <v>656384</v>
      </c>
      <c r="K941">
        <v>88424</v>
      </c>
      <c r="L941">
        <v>76500</v>
      </c>
      <c r="M941">
        <v>72900</v>
      </c>
      <c r="N941">
        <v>3600</v>
      </c>
    </row>
    <row r="942" spans="1:14" ht="14.4">
      <c r="A942">
        <v>13365</v>
      </c>
      <c r="B942">
        <v>13366</v>
      </c>
      <c r="C942">
        <v>4085</v>
      </c>
      <c r="D942" t="s">
        <v>18</v>
      </c>
      <c r="E942" t="s">
        <v>361</v>
      </c>
      <c r="F942">
        <v>11581</v>
      </c>
      <c r="G942" t="s">
        <v>20</v>
      </c>
      <c r="H942" t="s">
        <v>21</v>
      </c>
      <c r="I942">
        <v>15409360</v>
      </c>
      <c r="J942">
        <v>10191271</v>
      </c>
      <c r="K942">
        <v>5218089</v>
      </c>
      <c r="L942">
        <v>5644200</v>
      </c>
      <c r="M942">
        <v>3962200</v>
      </c>
      <c r="N942">
        <v>1682000</v>
      </c>
    </row>
    <row r="943" spans="1:14" ht="14.4">
      <c r="A943">
        <v>13365</v>
      </c>
      <c r="B943">
        <v>13366</v>
      </c>
      <c r="C943">
        <v>4085</v>
      </c>
      <c r="D943" t="s">
        <v>18</v>
      </c>
      <c r="E943" t="s">
        <v>361</v>
      </c>
      <c r="F943">
        <v>11591</v>
      </c>
      <c r="G943" t="s">
        <v>20</v>
      </c>
      <c r="H943" t="s">
        <v>21</v>
      </c>
      <c r="I943">
        <v>27421</v>
      </c>
      <c r="J943">
        <v>17011</v>
      </c>
      <c r="K943">
        <v>10410</v>
      </c>
      <c r="L943">
        <v>0</v>
      </c>
      <c r="M943">
        <v>0</v>
      </c>
      <c r="N943">
        <v>0</v>
      </c>
    </row>
    <row r="944" spans="1:14" ht="14.4">
      <c r="A944">
        <v>13365</v>
      </c>
      <c r="B944">
        <v>13366</v>
      </c>
      <c r="C944">
        <v>4085</v>
      </c>
      <c r="D944" t="s">
        <v>18</v>
      </c>
      <c r="E944" t="s">
        <v>363</v>
      </c>
      <c r="F944">
        <v>10596</v>
      </c>
      <c r="G944" t="s">
        <v>64</v>
      </c>
      <c r="H944" t="s">
        <v>21</v>
      </c>
      <c r="I944">
        <v>52030</v>
      </c>
      <c r="J944">
        <v>45965</v>
      </c>
      <c r="K944">
        <v>6065</v>
      </c>
      <c r="L944">
        <v>35000</v>
      </c>
      <c r="M944">
        <v>35000</v>
      </c>
      <c r="N944">
        <v>0</v>
      </c>
    </row>
    <row r="945" spans="1:14" ht="14.4">
      <c r="A945">
        <v>13365</v>
      </c>
      <c r="B945">
        <v>13366</v>
      </c>
      <c r="C945">
        <v>4085</v>
      </c>
      <c r="D945" t="s">
        <v>18</v>
      </c>
      <c r="E945" t="s">
        <v>1397</v>
      </c>
      <c r="F945">
        <v>11704</v>
      </c>
      <c r="G945" t="s">
        <v>23</v>
      </c>
      <c r="H945" t="s">
        <v>21</v>
      </c>
      <c r="I945">
        <v>115595</v>
      </c>
      <c r="J945">
        <v>55083</v>
      </c>
      <c r="K945">
        <v>60512</v>
      </c>
      <c r="L945">
        <v>37100</v>
      </c>
      <c r="M945">
        <v>35400</v>
      </c>
      <c r="N945">
        <v>1700</v>
      </c>
    </row>
    <row r="946" spans="1:14" ht="14.4">
      <c r="A946">
        <v>13365</v>
      </c>
      <c r="B946">
        <v>13366</v>
      </c>
      <c r="C946">
        <v>4085</v>
      </c>
      <c r="D946" t="s">
        <v>18</v>
      </c>
      <c r="E946" t="s">
        <v>1398</v>
      </c>
      <c r="F946">
        <v>11702</v>
      </c>
      <c r="G946" t="s">
        <v>23</v>
      </c>
      <c r="H946" t="s">
        <v>21</v>
      </c>
      <c r="I946">
        <v>62372</v>
      </c>
      <c r="J946">
        <v>48322</v>
      </c>
      <c r="K946">
        <v>14050</v>
      </c>
      <c r="L946">
        <v>41500</v>
      </c>
      <c r="M946">
        <v>27500</v>
      </c>
      <c r="N946">
        <v>14000</v>
      </c>
    </row>
    <row r="947" spans="1:14" ht="14.4">
      <c r="A947">
        <v>13365</v>
      </c>
      <c r="B947">
        <v>13366</v>
      </c>
      <c r="C947">
        <v>4085</v>
      </c>
      <c r="D947" t="s">
        <v>18</v>
      </c>
      <c r="E947" t="s">
        <v>1399</v>
      </c>
      <c r="F947">
        <v>11978</v>
      </c>
      <c r="G947" t="s">
        <v>23</v>
      </c>
      <c r="H947" t="s">
        <v>21</v>
      </c>
      <c r="I947">
        <v>110312</v>
      </c>
      <c r="J947">
        <v>98362</v>
      </c>
      <c r="K947">
        <v>11950</v>
      </c>
      <c r="L947">
        <v>0</v>
      </c>
      <c r="M947">
        <v>0</v>
      </c>
      <c r="N947">
        <v>0</v>
      </c>
    </row>
    <row r="948" spans="1:14" ht="14.4">
      <c r="A948">
        <v>13365</v>
      </c>
      <c r="B948">
        <v>13366</v>
      </c>
      <c r="C948">
        <v>4085</v>
      </c>
      <c r="D948" t="s">
        <v>18</v>
      </c>
      <c r="E948" t="s">
        <v>1400</v>
      </c>
      <c r="F948">
        <v>11795</v>
      </c>
      <c r="G948" t="s">
        <v>23</v>
      </c>
      <c r="H948" t="s">
        <v>21</v>
      </c>
      <c r="I948">
        <v>42630</v>
      </c>
      <c r="J948">
        <v>42630</v>
      </c>
      <c r="K948">
        <v>0</v>
      </c>
      <c r="L948">
        <v>27100</v>
      </c>
      <c r="M948">
        <v>27100</v>
      </c>
      <c r="N948">
        <v>0</v>
      </c>
    </row>
    <row r="949" spans="1:14" ht="14.4">
      <c r="A949">
        <v>13365</v>
      </c>
      <c r="B949">
        <v>13366</v>
      </c>
      <c r="C949">
        <v>4085</v>
      </c>
      <c r="D949" t="s">
        <v>18</v>
      </c>
      <c r="E949" t="s">
        <v>365</v>
      </c>
      <c r="F949">
        <v>11792</v>
      </c>
      <c r="G949" t="s">
        <v>23</v>
      </c>
      <c r="H949" t="s">
        <v>21</v>
      </c>
      <c r="I949">
        <v>801286</v>
      </c>
      <c r="J949">
        <v>718966</v>
      </c>
      <c r="K949">
        <v>82320</v>
      </c>
      <c r="L949">
        <v>157700</v>
      </c>
      <c r="M949">
        <v>133100</v>
      </c>
      <c r="N949">
        <v>24600</v>
      </c>
    </row>
    <row r="950" spans="1:14" ht="14.4">
      <c r="A950">
        <v>13365</v>
      </c>
      <c r="B950">
        <v>13366</v>
      </c>
      <c r="C950">
        <v>4085</v>
      </c>
      <c r="D950" t="s">
        <v>18</v>
      </c>
      <c r="E950" t="s">
        <v>1401</v>
      </c>
      <c r="F950">
        <v>12586</v>
      </c>
      <c r="G950" t="s">
        <v>51</v>
      </c>
      <c r="H950" t="s">
        <v>21</v>
      </c>
      <c r="I950">
        <v>36502</v>
      </c>
      <c r="J950">
        <v>36502</v>
      </c>
      <c r="K950">
        <v>0</v>
      </c>
      <c r="L950">
        <v>26900</v>
      </c>
      <c r="M950">
        <v>26900</v>
      </c>
      <c r="N950">
        <v>0</v>
      </c>
    </row>
    <row r="951" spans="1:14" ht="14.4">
      <c r="A951">
        <v>13365</v>
      </c>
      <c r="B951">
        <v>13366</v>
      </c>
      <c r="C951">
        <v>4085</v>
      </c>
      <c r="D951" t="s">
        <v>18</v>
      </c>
      <c r="E951" t="s">
        <v>1402</v>
      </c>
      <c r="F951">
        <v>11793</v>
      </c>
      <c r="G951" t="s">
        <v>20</v>
      </c>
      <c r="H951" t="s">
        <v>21</v>
      </c>
      <c r="I951">
        <v>74448</v>
      </c>
      <c r="J951">
        <v>53598</v>
      </c>
      <c r="K951">
        <v>20850</v>
      </c>
      <c r="L951">
        <v>41700</v>
      </c>
      <c r="M951">
        <v>36400</v>
      </c>
      <c r="N951">
        <v>5300</v>
      </c>
    </row>
    <row r="952" spans="1:14" ht="14.4">
      <c r="A952">
        <v>13365</v>
      </c>
      <c r="B952">
        <v>13366</v>
      </c>
      <c r="C952">
        <v>4085</v>
      </c>
      <c r="D952" t="s">
        <v>18</v>
      </c>
      <c r="E952" t="s">
        <v>367</v>
      </c>
      <c r="F952">
        <v>11793</v>
      </c>
      <c r="G952" t="s">
        <v>20</v>
      </c>
      <c r="H952" t="s">
        <v>21</v>
      </c>
      <c r="I952">
        <v>24251839</v>
      </c>
      <c r="J952">
        <v>17430704</v>
      </c>
      <c r="K952">
        <v>6821135</v>
      </c>
      <c r="L952">
        <v>10859600</v>
      </c>
      <c r="M952">
        <v>7167300</v>
      </c>
      <c r="N952">
        <v>3692300</v>
      </c>
    </row>
    <row r="953" spans="1:14" ht="14.4">
      <c r="A953">
        <v>13365</v>
      </c>
      <c r="B953">
        <v>13366</v>
      </c>
      <c r="C953">
        <v>4085</v>
      </c>
      <c r="D953" t="s">
        <v>18</v>
      </c>
      <c r="E953" t="s">
        <v>367</v>
      </c>
      <c r="F953">
        <v>11793</v>
      </c>
      <c r="G953" t="s">
        <v>32</v>
      </c>
      <c r="H953" t="s">
        <v>21</v>
      </c>
      <c r="I953">
        <v>153592</v>
      </c>
      <c r="J953">
        <v>106417</v>
      </c>
      <c r="K953">
        <v>47175</v>
      </c>
      <c r="L953">
        <v>112200</v>
      </c>
      <c r="M953">
        <v>72200</v>
      </c>
      <c r="N953">
        <v>40000</v>
      </c>
    </row>
    <row r="954" spans="1:14" ht="14.4">
      <c r="A954">
        <v>13365</v>
      </c>
      <c r="B954">
        <v>13366</v>
      </c>
      <c r="C954">
        <v>4085</v>
      </c>
      <c r="D954" t="s">
        <v>18</v>
      </c>
      <c r="E954" t="s">
        <v>1403</v>
      </c>
      <c r="F954">
        <v>10990</v>
      </c>
      <c r="G954" t="s">
        <v>51</v>
      </c>
      <c r="H954" t="s">
        <v>21</v>
      </c>
      <c r="I954">
        <v>142890</v>
      </c>
      <c r="J954">
        <v>130472</v>
      </c>
      <c r="K954">
        <v>12418</v>
      </c>
      <c r="L954">
        <v>59300</v>
      </c>
      <c r="M954">
        <v>57200</v>
      </c>
      <c r="N954">
        <v>2100</v>
      </c>
    </row>
    <row r="955" spans="1:14" ht="14.4">
      <c r="A955">
        <v>13365</v>
      </c>
      <c r="B955">
        <v>13366</v>
      </c>
      <c r="C955">
        <v>4085</v>
      </c>
      <c r="D955" t="s">
        <v>18</v>
      </c>
      <c r="E955" t="s">
        <v>1404</v>
      </c>
      <c r="F955">
        <v>10992</v>
      </c>
      <c r="G955" t="s">
        <v>51</v>
      </c>
      <c r="H955" t="s">
        <v>21</v>
      </c>
      <c r="I955">
        <v>3451</v>
      </c>
      <c r="J955">
        <v>3201</v>
      </c>
      <c r="K955">
        <v>250</v>
      </c>
      <c r="L955">
        <v>3500</v>
      </c>
      <c r="M955">
        <v>3300</v>
      </c>
      <c r="N955">
        <v>200</v>
      </c>
    </row>
    <row r="956" spans="1:14" ht="14.4">
      <c r="A956">
        <v>13365</v>
      </c>
      <c r="B956">
        <v>13366</v>
      </c>
      <c r="C956">
        <v>4085</v>
      </c>
      <c r="D956" t="s">
        <v>18</v>
      </c>
      <c r="E956" t="s">
        <v>368</v>
      </c>
      <c r="F956">
        <v>11976</v>
      </c>
      <c r="G956" t="s">
        <v>23</v>
      </c>
      <c r="H956" t="s">
        <v>21</v>
      </c>
      <c r="I956">
        <v>227383</v>
      </c>
      <c r="J956">
        <v>180111</v>
      </c>
      <c r="K956">
        <v>47272</v>
      </c>
      <c r="L956">
        <v>173500</v>
      </c>
      <c r="M956">
        <v>157800</v>
      </c>
      <c r="N956">
        <v>15700</v>
      </c>
    </row>
    <row r="957" spans="1:14" ht="14.4">
      <c r="A957">
        <v>13365</v>
      </c>
      <c r="B957">
        <v>13366</v>
      </c>
      <c r="C957">
        <v>4085</v>
      </c>
      <c r="D957" t="s">
        <v>18</v>
      </c>
      <c r="E957" t="s">
        <v>1405</v>
      </c>
      <c r="F957">
        <v>10952</v>
      </c>
      <c r="G957" t="s">
        <v>85</v>
      </c>
      <c r="H957" t="s">
        <v>21</v>
      </c>
      <c r="I957">
        <v>141127</v>
      </c>
      <c r="J957">
        <v>125377</v>
      </c>
      <c r="K957">
        <v>15750</v>
      </c>
      <c r="L957">
        <v>51100</v>
      </c>
      <c r="M957">
        <v>35300</v>
      </c>
      <c r="N957">
        <v>15800</v>
      </c>
    </row>
    <row r="958" spans="1:14" ht="14.4">
      <c r="A958">
        <v>13365</v>
      </c>
      <c r="B958">
        <v>13366</v>
      </c>
      <c r="C958">
        <v>4085</v>
      </c>
      <c r="D958" t="s">
        <v>18</v>
      </c>
      <c r="E958" t="s">
        <v>1406</v>
      </c>
      <c r="F958">
        <v>11795</v>
      </c>
      <c r="G958" t="s">
        <v>23</v>
      </c>
      <c r="H958" t="s">
        <v>21</v>
      </c>
      <c r="I958">
        <v>52410</v>
      </c>
      <c r="J958">
        <v>0</v>
      </c>
      <c r="K958">
        <v>52410</v>
      </c>
      <c r="L958">
        <v>0</v>
      </c>
      <c r="M958">
        <v>0</v>
      </c>
      <c r="N958">
        <v>0</v>
      </c>
    </row>
    <row r="959" spans="1:14" ht="14.4">
      <c r="A959">
        <v>13365</v>
      </c>
      <c r="B959">
        <v>13366</v>
      </c>
      <c r="C959">
        <v>4085</v>
      </c>
      <c r="D959" t="s">
        <v>18</v>
      </c>
      <c r="E959" t="s">
        <v>1407</v>
      </c>
      <c r="F959">
        <v>11704</v>
      </c>
      <c r="G959" t="s">
        <v>23</v>
      </c>
      <c r="H959" t="s">
        <v>21</v>
      </c>
      <c r="I959">
        <v>12109</v>
      </c>
      <c r="J959">
        <v>11959</v>
      </c>
      <c r="K959">
        <v>150</v>
      </c>
      <c r="L959">
        <v>0</v>
      </c>
      <c r="M959">
        <v>0</v>
      </c>
      <c r="N959">
        <v>0</v>
      </c>
    </row>
    <row r="960" spans="1:14" ht="14.4">
      <c r="A960">
        <v>13365</v>
      </c>
      <c r="B960">
        <v>13366</v>
      </c>
      <c r="C960">
        <v>4085</v>
      </c>
      <c r="D960" t="s">
        <v>18</v>
      </c>
      <c r="E960" t="s">
        <v>369</v>
      </c>
      <c r="F960">
        <v>11704</v>
      </c>
      <c r="G960" t="s">
        <v>20</v>
      </c>
      <c r="H960" t="s">
        <v>21</v>
      </c>
      <c r="I960">
        <v>6814</v>
      </c>
      <c r="J960">
        <v>0</v>
      </c>
      <c r="K960">
        <v>6814</v>
      </c>
      <c r="L960">
        <v>0</v>
      </c>
      <c r="M960">
        <v>0</v>
      </c>
      <c r="N960">
        <v>0</v>
      </c>
    </row>
    <row r="961" spans="1:14" ht="14.4">
      <c r="A961">
        <v>13365</v>
      </c>
      <c r="B961">
        <v>13366</v>
      </c>
      <c r="C961">
        <v>4085</v>
      </c>
      <c r="D961" t="s">
        <v>18</v>
      </c>
      <c r="E961" t="s">
        <v>369</v>
      </c>
      <c r="F961">
        <v>11704</v>
      </c>
      <c r="G961" t="s">
        <v>23</v>
      </c>
      <c r="H961" t="s">
        <v>21</v>
      </c>
      <c r="I961">
        <v>1445206</v>
      </c>
      <c r="J961">
        <v>1144489</v>
      </c>
      <c r="K961">
        <v>300717</v>
      </c>
      <c r="L961">
        <v>658200</v>
      </c>
      <c r="M961">
        <v>552400</v>
      </c>
      <c r="N961">
        <v>105800</v>
      </c>
    </row>
    <row r="962" spans="1:14" ht="14.4">
      <c r="A962">
        <v>13365</v>
      </c>
      <c r="B962">
        <v>13366</v>
      </c>
      <c r="C962">
        <v>4085</v>
      </c>
      <c r="D962" t="s">
        <v>18</v>
      </c>
      <c r="E962" t="s">
        <v>1408</v>
      </c>
      <c r="F962">
        <v>11702</v>
      </c>
      <c r="G962" t="s">
        <v>23</v>
      </c>
      <c r="H962" t="s">
        <v>21</v>
      </c>
      <c r="I962">
        <v>280618</v>
      </c>
      <c r="J962">
        <v>227473</v>
      </c>
      <c r="K962">
        <v>53145</v>
      </c>
      <c r="L962">
        <v>164100</v>
      </c>
      <c r="M962">
        <v>128800</v>
      </c>
      <c r="N962">
        <v>35300</v>
      </c>
    </row>
    <row r="963" spans="1:14" ht="14.4">
      <c r="A963">
        <v>13365</v>
      </c>
      <c r="B963">
        <v>13366</v>
      </c>
      <c r="C963">
        <v>4085</v>
      </c>
      <c r="D963" t="s">
        <v>18</v>
      </c>
      <c r="E963" t="s">
        <v>1409</v>
      </c>
      <c r="F963">
        <v>11702</v>
      </c>
      <c r="G963" t="s">
        <v>23</v>
      </c>
      <c r="H963" t="s">
        <v>21</v>
      </c>
      <c r="I963">
        <v>80110</v>
      </c>
      <c r="J963">
        <v>50710</v>
      </c>
      <c r="K963">
        <v>29400</v>
      </c>
      <c r="L963">
        <v>0</v>
      </c>
      <c r="M963">
        <v>0</v>
      </c>
      <c r="N963">
        <v>0</v>
      </c>
    </row>
    <row r="964" spans="1:14" ht="14.4">
      <c r="A964">
        <v>13365</v>
      </c>
      <c r="B964">
        <v>13366</v>
      </c>
      <c r="C964">
        <v>4085</v>
      </c>
      <c r="D964" t="s">
        <v>18</v>
      </c>
      <c r="E964" t="s">
        <v>1410</v>
      </c>
      <c r="F964">
        <v>11978</v>
      </c>
      <c r="G964" t="s">
        <v>23</v>
      </c>
      <c r="H964" t="s">
        <v>21</v>
      </c>
      <c r="I964">
        <v>233977</v>
      </c>
      <c r="J964">
        <v>202797</v>
      </c>
      <c r="K964">
        <v>31180</v>
      </c>
      <c r="L964">
        <v>0</v>
      </c>
      <c r="M964">
        <v>0</v>
      </c>
      <c r="N964">
        <v>0</v>
      </c>
    </row>
    <row r="965" spans="1:14" ht="14.4">
      <c r="A965">
        <v>13365</v>
      </c>
      <c r="B965">
        <v>13366</v>
      </c>
      <c r="C965">
        <v>4085</v>
      </c>
      <c r="D965" t="s">
        <v>18</v>
      </c>
      <c r="E965" t="s">
        <v>1411</v>
      </c>
      <c r="F965">
        <v>11978</v>
      </c>
      <c r="G965" t="s">
        <v>23</v>
      </c>
      <c r="H965" t="s">
        <v>21</v>
      </c>
      <c r="I965">
        <v>60479</v>
      </c>
      <c r="J965">
        <v>53579</v>
      </c>
      <c r="K965">
        <v>6900</v>
      </c>
      <c r="L965">
        <v>0</v>
      </c>
      <c r="M965">
        <v>0</v>
      </c>
      <c r="N965">
        <v>0</v>
      </c>
    </row>
    <row r="966" spans="1:14" ht="14.4">
      <c r="A966">
        <v>13365</v>
      </c>
      <c r="B966">
        <v>13366</v>
      </c>
      <c r="C966">
        <v>4085</v>
      </c>
      <c r="D966" t="s">
        <v>18</v>
      </c>
      <c r="E966" t="s">
        <v>1412</v>
      </c>
      <c r="F966">
        <v>10604</v>
      </c>
      <c r="G966" t="s">
        <v>64</v>
      </c>
      <c r="H966" t="s">
        <v>21</v>
      </c>
      <c r="I966">
        <v>725</v>
      </c>
      <c r="J966">
        <v>725</v>
      </c>
      <c r="K966">
        <v>0</v>
      </c>
      <c r="L966">
        <v>0</v>
      </c>
      <c r="M966">
        <v>0</v>
      </c>
      <c r="N966">
        <v>0</v>
      </c>
    </row>
    <row r="967" spans="1:14" ht="14.4">
      <c r="A967">
        <v>13365</v>
      </c>
      <c r="B967">
        <v>13366</v>
      </c>
      <c r="C967">
        <v>4085</v>
      </c>
      <c r="D967" t="s">
        <v>18</v>
      </c>
      <c r="E967" t="s">
        <v>370</v>
      </c>
      <c r="F967">
        <v>10993</v>
      </c>
      <c r="G967" t="s">
        <v>85</v>
      </c>
      <c r="H967" t="s">
        <v>21</v>
      </c>
      <c r="I967">
        <v>48987</v>
      </c>
      <c r="J967">
        <v>38987</v>
      </c>
      <c r="K967">
        <v>10000</v>
      </c>
      <c r="L967">
        <v>28100</v>
      </c>
      <c r="M967">
        <v>28100</v>
      </c>
      <c r="N967">
        <v>0</v>
      </c>
    </row>
    <row r="968" spans="1:14" ht="14.4">
      <c r="A968">
        <v>13365</v>
      </c>
      <c r="B968">
        <v>13366</v>
      </c>
      <c r="C968">
        <v>4085</v>
      </c>
      <c r="D968" t="s">
        <v>18</v>
      </c>
      <c r="E968" t="s">
        <v>371</v>
      </c>
      <c r="F968">
        <v>11552</v>
      </c>
      <c r="G968" t="s">
        <v>20</v>
      </c>
      <c r="H968" t="s">
        <v>21</v>
      </c>
      <c r="I968">
        <v>468028</v>
      </c>
      <c r="J968">
        <v>412253</v>
      </c>
      <c r="K968">
        <v>55775</v>
      </c>
      <c r="L968">
        <v>150400</v>
      </c>
      <c r="M968">
        <v>140700</v>
      </c>
      <c r="N968">
        <v>9700</v>
      </c>
    </row>
    <row r="969" spans="1:14" ht="14.4">
      <c r="A969">
        <v>13365</v>
      </c>
      <c r="B969">
        <v>13366</v>
      </c>
      <c r="C969">
        <v>4085</v>
      </c>
      <c r="D969" t="s">
        <v>18</v>
      </c>
      <c r="E969" t="s">
        <v>1413</v>
      </c>
      <c r="F969">
        <v>12491</v>
      </c>
      <c r="G969" t="s">
        <v>186</v>
      </c>
      <c r="H969" t="s">
        <v>21</v>
      </c>
      <c r="I969">
        <v>154844</v>
      </c>
      <c r="J969">
        <v>147644</v>
      </c>
      <c r="K969">
        <v>7200</v>
      </c>
      <c r="L969">
        <v>78200</v>
      </c>
      <c r="M969">
        <v>76300</v>
      </c>
      <c r="N969">
        <v>1900</v>
      </c>
    </row>
    <row r="970" spans="1:14" ht="14.4">
      <c r="A970">
        <v>13365</v>
      </c>
      <c r="B970">
        <v>13366</v>
      </c>
      <c r="C970">
        <v>4085</v>
      </c>
      <c r="D970" t="s">
        <v>18</v>
      </c>
      <c r="E970" t="s">
        <v>372</v>
      </c>
      <c r="F970">
        <v>11702</v>
      </c>
      <c r="G970" t="s">
        <v>23</v>
      </c>
      <c r="H970" t="s">
        <v>21</v>
      </c>
      <c r="I970">
        <v>223738</v>
      </c>
      <c r="J970">
        <v>201488</v>
      </c>
      <c r="K970">
        <v>22250</v>
      </c>
      <c r="L970">
        <v>0</v>
      </c>
      <c r="M970">
        <v>0</v>
      </c>
      <c r="N970">
        <v>0</v>
      </c>
    </row>
    <row r="971" spans="1:14" ht="14.4">
      <c r="A971">
        <v>13365</v>
      </c>
      <c r="B971">
        <v>13366</v>
      </c>
      <c r="C971">
        <v>4085</v>
      </c>
      <c r="D971" t="s">
        <v>18</v>
      </c>
      <c r="E971" t="s">
        <v>372</v>
      </c>
      <c r="F971">
        <v>11795</v>
      </c>
      <c r="G971" t="s">
        <v>23</v>
      </c>
      <c r="H971" t="s">
        <v>21</v>
      </c>
      <c r="I971">
        <v>26705134</v>
      </c>
      <c r="J971">
        <v>21521922</v>
      </c>
      <c r="K971">
        <v>5183212</v>
      </c>
      <c r="L971">
        <v>11805100</v>
      </c>
      <c r="M971">
        <v>9195600</v>
      </c>
      <c r="N971">
        <v>2537800</v>
      </c>
    </row>
    <row r="972" spans="1:14" ht="14.4">
      <c r="A972">
        <v>13365</v>
      </c>
      <c r="B972">
        <v>13366</v>
      </c>
      <c r="C972">
        <v>4085</v>
      </c>
      <c r="D972" t="s">
        <v>18</v>
      </c>
      <c r="E972" t="s">
        <v>372</v>
      </c>
      <c r="F972">
        <v>11795</v>
      </c>
      <c r="G972" t="s">
        <v>186</v>
      </c>
      <c r="H972" t="s">
        <v>21</v>
      </c>
      <c r="I972">
        <v>89239</v>
      </c>
      <c r="J972">
        <v>64789</v>
      </c>
      <c r="K972">
        <v>24450</v>
      </c>
      <c r="L972">
        <v>68500</v>
      </c>
      <c r="M972">
        <v>57500</v>
      </c>
      <c r="N972">
        <v>11000</v>
      </c>
    </row>
    <row r="973" spans="1:14" ht="14.4">
      <c r="A973">
        <v>13365</v>
      </c>
      <c r="B973">
        <v>13366</v>
      </c>
      <c r="C973">
        <v>4085</v>
      </c>
      <c r="D973" t="s">
        <v>18</v>
      </c>
      <c r="E973" t="s">
        <v>373</v>
      </c>
      <c r="F973">
        <v>10994</v>
      </c>
      <c r="G973" t="s">
        <v>85</v>
      </c>
      <c r="H973" t="s">
        <v>21</v>
      </c>
      <c r="I973">
        <v>99452</v>
      </c>
      <c r="J973">
        <v>98164</v>
      </c>
      <c r="K973">
        <v>1288</v>
      </c>
      <c r="L973">
        <v>78700</v>
      </c>
      <c r="M973">
        <v>78000</v>
      </c>
      <c r="N973">
        <v>700</v>
      </c>
    </row>
    <row r="974" spans="1:14" ht="14.4">
      <c r="A974">
        <v>13365</v>
      </c>
      <c r="B974">
        <v>13366</v>
      </c>
      <c r="C974">
        <v>4085</v>
      </c>
      <c r="D974" t="s">
        <v>18</v>
      </c>
      <c r="E974" t="s">
        <v>1414</v>
      </c>
      <c r="F974">
        <v>12493</v>
      </c>
      <c r="G974" t="s">
        <v>186</v>
      </c>
      <c r="H974" t="s">
        <v>21</v>
      </c>
      <c r="I974">
        <v>12180</v>
      </c>
      <c r="J974">
        <v>12180</v>
      </c>
      <c r="K974">
        <v>0</v>
      </c>
      <c r="L974">
        <v>0</v>
      </c>
      <c r="M974">
        <v>0</v>
      </c>
      <c r="N974">
        <v>0</v>
      </c>
    </row>
    <row r="975" spans="1:14" ht="14.4">
      <c r="A975">
        <v>13365</v>
      </c>
      <c r="B975">
        <v>13366</v>
      </c>
      <c r="C975">
        <v>4085</v>
      </c>
      <c r="D975" t="s">
        <v>18</v>
      </c>
      <c r="E975" t="s">
        <v>374</v>
      </c>
      <c r="F975">
        <v>11796</v>
      </c>
      <c r="G975" t="s">
        <v>23</v>
      </c>
      <c r="H975" t="s">
        <v>21</v>
      </c>
      <c r="I975">
        <v>52969</v>
      </c>
      <c r="J975">
        <v>51469</v>
      </c>
      <c r="K975">
        <v>1500</v>
      </c>
      <c r="L975">
        <v>31200</v>
      </c>
      <c r="M975">
        <v>31200</v>
      </c>
      <c r="N975">
        <v>0</v>
      </c>
    </row>
    <row r="976" spans="1:14" ht="14.4">
      <c r="A976">
        <v>13365</v>
      </c>
      <c r="B976">
        <v>13366</v>
      </c>
      <c r="C976">
        <v>4085</v>
      </c>
      <c r="D976" t="s">
        <v>18</v>
      </c>
      <c r="E976" t="s">
        <v>375</v>
      </c>
      <c r="F976">
        <v>11590</v>
      </c>
      <c r="G976" t="s">
        <v>20</v>
      </c>
      <c r="H976" t="s">
        <v>21</v>
      </c>
      <c r="I976">
        <v>665996</v>
      </c>
      <c r="J976">
        <v>583651</v>
      </c>
      <c r="K976">
        <v>82345</v>
      </c>
      <c r="L976">
        <v>222400</v>
      </c>
      <c r="M976">
        <v>192200</v>
      </c>
      <c r="N976">
        <v>30200</v>
      </c>
    </row>
    <row r="977" spans="1:14" ht="14.4">
      <c r="A977">
        <v>13365</v>
      </c>
      <c r="B977">
        <v>13366</v>
      </c>
      <c r="C977">
        <v>4085</v>
      </c>
      <c r="D977" t="s">
        <v>18</v>
      </c>
      <c r="E977" t="s">
        <v>376</v>
      </c>
      <c r="F977">
        <v>11977</v>
      </c>
      <c r="G977" t="s">
        <v>23</v>
      </c>
      <c r="H977" t="s">
        <v>21</v>
      </c>
      <c r="I977">
        <v>386163</v>
      </c>
      <c r="J977">
        <v>300901</v>
      </c>
      <c r="K977">
        <v>85262</v>
      </c>
      <c r="L977">
        <v>96700</v>
      </c>
      <c r="M977">
        <v>63900</v>
      </c>
      <c r="N977">
        <v>32800</v>
      </c>
    </row>
    <row r="978" spans="1:14" ht="14.4">
      <c r="A978">
        <v>13365</v>
      </c>
      <c r="B978">
        <v>13366</v>
      </c>
      <c r="C978">
        <v>4085</v>
      </c>
      <c r="D978" t="s">
        <v>18</v>
      </c>
      <c r="E978" t="s">
        <v>377</v>
      </c>
      <c r="F978">
        <v>11978</v>
      </c>
      <c r="G978" t="s">
        <v>23</v>
      </c>
      <c r="H978" t="s">
        <v>21</v>
      </c>
      <c r="I978">
        <v>43082</v>
      </c>
      <c r="J978">
        <v>35302</v>
      </c>
      <c r="K978">
        <v>7780</v>
      </c>
      <c r="L978">
        <v>8000</v>
      </c>
      <c r="M978">
        <v>5000</v>
      </c>
      <c r="N978">
        <v>3000</v>
      </c>
    </row>
    <row r="979" spans="1:14" ht="14.4">
      <c r="A979">
        <v>13365</v>
      </c>
      <c r="B979">
        <v>13366</v>
      </c>
      <c r="C979">
        <v>4085</v>
      </c>
      <c r="D979" t="s">
        <v>18</v>
      </c>
      <c r="E979" t="s">
        <v>1415</v>
      </c>
      <c r="F979">
        <v>11978</v>
      </c>
      <c r="G979" t="s">
        <v>23</v>
      </c>
      <c r="H979" t="s">
        <v>21</v>
      </c>
      <c r="I979">
        <v>143931</v>
      </c>
      <c r="J979">
        <v>105931</v>
      </c>
      <c r="K979">
        <v>38000</v>
      </c>
      <c r="L979">
        <v>0</v>
      </c>
      <c r="M979">
        <v>0</v>
      </c>
      <c r="N979">
        <v>0</v>
      </c>
    </row>
    <row r="980" spans="1:14" ht="14.4">
      <c r="A980">
        <v>13365</v>
      </c>
      <c r="B980">
        <v>13366</v>
      </c>
      <c r="C980">
        <v>4085</v>
      </c>
      <c r="D980" t="s">
        <v>18</v>
      </c>
      <c r="E980" t="s">
        <v>1416</v>
      </c>
      <c r="F980">
        <v>10998</v>
      </c>
      <c r="G980" t="s">
        <v>51</v>
      </c>
      <c r="H980" t="s">
        <v>21</v>
      </c>
      <c r="I980">
        <v>64524</v>
      </c>
      <c r="J980">
        <v>64024</v>
      </c>
      <c r="K980">
        <v>500</v>
      </c>
      <c r="L980">
        <v>14000</v>
      </c>
      <c r="M980">
        <v>13500</v>
      </c>
      <c r="N980">
        <v>500</v>
      </c>
    </row>
    <row r="981" spans="1:14" ht="14.4">
      <c r="A981">
        <v>13365</v>
      </c>
      <c r="B981">
        <v>13366</v>
      </c>
      <c r="C981">
        <v>4085</v>
      </c>
      <c r="D981" t="s">
        <v>18</v>
      </c>
      <c r="E981" t="s">
        <v>378</v>
      </c>
      <c r="F981">
        <v>11798</v>
      </c>
      <c r="G981" t="s">
        <v>23</v>
      </c>
      <c r="H981" t="s">
        <v>21</v>
      </c>
      <c r="I981">
        <v>249953</v>
      </c>
      <c r="J981">
        <v>235690</v>
      </c>
      <c r="K981">
        <v>14263</v>
      </c>
      <c r="L981">
        <v>104900</v>
      </c>
      <c r="M981">
        <v>94300</v>
      </c>
      <c r="N981">
        <v>10600</v>
      </c>
    </row>
    <row r="982" spans="1:14" ht="14.4">
      <c r="A982">
        <v>13365</v>
      </c>
      <c r="B982">
        <v>13366</v>
      </c>
      <c r="C982">
        <v>4085</v>
      </c>
      <c r="D982" t="s">
        <v>18</v>
      </c>
      <c r="E982" t="s">
        <v>1417</v>
      </c>
      <c r="F982">
        <v>11798</v>
      </c>
      <c r="G982" t="s">
        <v>23</v>
      </c>
      <c r="H982" t="s">
        <v>21</v>
      </c>
      <c r="I982">
        <v>10157</v>
      </c>
      <c r="J982">
        <v>9307</v>
      </c>
      <c r="K982">
        <v>850</v>
      </c>
      <c r="L982">
        <v>4700</v>
      </c>
      <c r="M982">
        <v>4700</v>
      </c>
      <c r="N982">
        <v>0</v>
      </c>
    </row>
    <row r="983" spans="1:14" ht="14.4">
      <c r="A983">
        <v>13365</v>
      </c>
      <c r="B983">
        <v>13366</v>
      </c>
      <c r="C983">
        <v>4085</v>
      </c>
      <c r="D983" t="s">
        <v>18</v>
      </c>
      <c r="E983" t="s">
        <v>379</v>
      </c>
      <c r="F983">
        <v>10603</v>
      </c>
      <c r="G983" t="s">
        <v>64</v>
      </c>
      <c r="H983" t="s">
        <v>21</v>
      </c>
      <c r="I983">
        <v>117499</v>
      </c>
      <c r="J983">
        <v>114759</v>
      </c>
      <c r="K983">
        <v>2740</v>
      </c>
      <c r="L983">
        <v>59800</v>
      </c>
      <c r="M983">
        <v>58900</v>
      </c>
      <c r="N983">
        <v>900</v>
      </c>
    </row>
    <row r="984" spans="1:14" ht="14.4">
      <c r="A984">
        <v>13365</v>
      </c>
      <c r="B984">
        <v>13366</v>
      </c>
      <c r="C984">
        <v>4085</v>
      </c>
      <c r="D984" t="s">
        <v>18</v>
      </c>
      <c r="E984" t="s">
        <v>379</v>
      </c>
      <c r="F984">
        <v>10605</v>
      </c>
      <c r="G984" t="s">
        <v>64</v>
      </c>
      <c r="H984" t="s">
        <v>21</v>
      </c>
      <c r="I984">
        <v>266496</v>
      </c>
      <c r="J984">
        <v>253346</v>
      </c>
      <c r="K984">
        <v>13150</v>
      </c>
      <c r="L984">
        <v>55400</v>
      </c>
      <c r="M984">
        <v>53100</v>
      </c>
      <c r="N984">
        <v>2300</v>
      </c>
    </row>
    <row r="985" spans="1:14" ht="14.4">
      <c r="A985">
        <v>13365</v>
      </c>
      <c r="B985">
        <v>13366</v>
      </c>
      <c r="C985">
        <v>4085</v>
      </c>
      <c r="D985" t="s">
        <v>18</v>
      </c>
      <c r="E985" t="s">
        <v>379</v>
      </c>
      <c r="F985">
        <v>10606</v>
      </c>
      <c r="G985" t="s">
        <v>64</v>
      </c>
      <c r="H985" t="s">
        <v>21</v>
      </c>
      <c r="I985">
        <v>21103</v>
      </c>
      <c r="J985">
        <v>20603</v>
      </c>
      <c r="K985">
        <v>500</v>
      </c>
      <c r="L985">
        <v>0</v>
      </c>
      <c r="M985">
        <v>0</v>
      </c>
      <c r="N985">
        <v>0</v>
      </c>
    </row>
    <row r="986" spans="1:14" ht="14.4">
      <c r="A986">
        <v>13365</v>
      </c>
      <c r="B986">
        <v>13366</v>
      </c>
      <c r="C986">
        <v>4085</v>
      </c>
      <c r="D986" t="s">
        <v>18</v>
      </c>
      <c r="E986" t="s">
        <v>379</v>
      </c>
      <c r="F986">
        <v>10607</v>
      </c>
      <c r="G986" t="s">
        <v>64</v>
      </c>
      <c r="H986" t="s">
        <v>21</v>
      </c>
      <c r="I986">
        <v>167419</v>
      </c>
      <c r="J986">
        <v>156469</v>
      </c>
      <c r="K986">
        <v>10950</v>
      </c>
      <c r="L986">
        <v>41000</v>
      </c>
      <c r="M986">
        <v>40700</v>
      </c>
      <c r="N986">
        <v>300</v>
      </c>
    </row>
    <row r="987" spans="1:14" ht="14.4">
      <c r="A987">
        <v>13365</v>
      </c>
      <c r="B987">
        <v>13366</v>
      </c>
      <c r="C987">
        <v>4085</v>
      </c>
      <c r="D987" t="s">
        <v>18</v>
      </c>
      <c r="E987" t="s">
        <v>380</v>
      </c>
      <c r="F987">
        <v>11357</v>
      </c>
      <c r="G987" t="s">
        <v>28</v>
      </c>
      <c r="H987" t="s">
        <v>21</v>
      </c>
      <c r="I987">
        <v>511768</v>
      </c>
      <c r="J987">
        <v>393648</v>
      </c>
      <c r="K987">
        <v>118120</v>
      </c>
      <c r="L987">
        <v>250800</v>
      </c>
      <c r="M987">
        <v>222200</v>
      </c>
      <c r="N987">
        <v>28600</v>
      </c>
    </row>
    <row r="988" spans="1:14" ht="14.4">
      <c r="A988">
        <v>13365</v>
      </c>
      <c r="B988">
        <v>13366</v>
      </c>
      <c r="C988">
        <v>4085</v>
      </c>
      <c r="D988" t="s">
        <v>18</v>
      </c>
      <c r="E988" t="s">
        <v>1418</v>
      </c>
      <c r="F988">
        <v>11798</v>
      </c>
      <c r="G988" t="s">
        <v>23</v>
      </c>
      <c r="H988" t="s">
        <v>21</v>
      </c>
      <c r="I988">
        <v>46761</v>
      </c>
      <c r="J988">
        <v>42361</v>
      </c>
      <c r="K988">
        <v>4400</v>
      </c>
      <c r="L988">
        <v>0</v>
      </c>
      <c r="M988">
        <v>0</v>
      </c>
      <c r="N988">
        <v>0</v>
      </c>
    </row>
    <row r="989" spans="1:14" ht="14.4">
      <c r="A989">
        <v>13365</v>
      </c>
      <c r="B989">
        <v>13366</v>
      </c>
      <c r="C989">
        <v>4085</v>
      </c>
      <c r="D989" t="s">
        <v>18</v>
      </c>
      <c r="E989" t="s">
        <v>1419</v>
      </c>
      <c r="F989">
        <v>11596</v>
      </c>
      <c r="G989" t="s">
        <v>20</v>
      </c>
      <c r="H989" t="s">
        <v>21</v>
      </c>
      <c r="I989">
        <v>84992</v>
      </c>
      <c r="J989">
        <v>84292</v>
      </c>
      <c r="K989">
        <v>700</v>
      </c>
      <c r="L989">
        <v>56600</v>
      </c>
      <c r="M989">
        <v>56600</v>
      </c>
      <c r="N989">
        <v>0</v>
      </c>
    </row>
    <row r="990" spans="1:14" ht="14.4">
      <c r="A990">
        <v>13365</v>
      </c>
      <c r="B990">
        <v>13366</v>
      </c>
      <c r="C990">
        <v>4085</v>
      </c>
      <c r="D990" t="s">
        <v>18</v>
      </c>
      <c r="E990" t="s">
        <v>1420</v>
      </c>
      <c r="F990">
        <v>11596</v>
      </c>
      <c r="G990" t="s">
        <v>20</v>
      </c>
      <c r="H990" t="s">
        <v>21</v>
      </c>
      <c r="I990">
        <v>37355</v>
      </c>
      <c r="J990">
        <v>37355</v>
      </c>
      <c r="K990">
        <v>0</v>
      </c>
      <c r="L990">
        <v>0</v>
      </c>
      <c r="M990">
        <v>0</v>
      </c>
      <c r="N990">
        <v>0</v>
      </c>
    </row>
    <row r="991" spans="1:14" ht="14.4">
      <c r="A991">
        <v>13365</v>
      </c>
      <c r="B991">
        <v>13366</v>
      </c>
      <c r="C991">
        <v>4085</v>
      </c>
      <c r="D991" t="s">
        <v>18</v>
      </c>
      <c r="E991" t="s">
        <v>382</v>
      </c>
      <c r="F991">
        <v>11797</v>
      </c>
      <c r="G991" t="s">
        <v>20</v>
      </c>
      <c r="H991" t="s">
        <v>21</v>
      </c>
      <c r="I991">
        <v>234425</v>
      </c>
      <c r="J991">
        <v>217695</v>
      </c>
      <c r="K991">
        <v>16730</v>
      </c>
      <c r="L991">
        <v>121000</v>
      </c>
      <c r="M991">
        <v>107300</v>
      </c>
      <c r="N991">
        <v>13700</v>
      </c>
    </row>
    <row r="992" spans="1:14" ht="14.4">
      <c r="A992">
        <v>13365</v>
      </c>
      <c r="B992">
        <v>13366</v>
      </c>
      <c r="C992">
        <v>4085</v>
      </c>
      <c r="D992" t="s">
        <v>18</v>
      </c>
      <c r="E992" t="s">
        <v>383</v>
      </c>
      <c r="F992">
        <v>11421</v>
      </c>
      <c r="G992" t="s">
        <v>28</v>
      </c>
      <c r="H992" t="s">
        <v>21</v>
      </c>
      <c r="I992">
        <v>297707</v>
      </c>
      <c r="J992">
        <v>275807</v>
      </c>
      <c r="K992">
        <v>21900</v>
      </c>
      <c r="L992">
        <v>104400</v>
      </c>
      <c r="M992">
        <v>93200</v>
      </c>
      <c r="N992">
        <v>11200</v>
      </c>
    </row>
    <row r="993" spans="1:14" ht="14.4">
      <c r="A993">
        <v>13365</v>
      </c>
      <c r="B993">
        <v>13366</v>
      </c>
      <c r="C993">
        <v>4085</v>
      </c>
      <c r="D993" t="s">
        <v>18</v>
      </c>
      <c r="E993" t="s">
        <v>1421</v>
      </c>
      <c r="F993">
        <v>11598</v>
      </c>
      <c r="G993" t="s">
        <v>20</v>
      </c>
      <c r="H993" t="s">
        <v>21</v>
      </c>
      <c r="I993">
        <v>189027</v>
      </c>
      <c r="J993">
        <v>103227</v>
      </c>
      <c r="K993">
        <v>85800</v>
      </c>
      <c r="L993">
        <v>0</v>
      </c>
      <c r="M993">
        <v>0</v>
      </c>
      <c r="N993">
        <v>0</v>
      </c>
    </row>
    <row r="994" spans="1:14" ht="14.4">
      <c r="A994">
        <v>13365</v>
      </c>
      <c r="B994">
        <v>13366</v>
      </c>
      <c r="C994">
        <v>4085</v>
      </c>
      <c r="D994" t="s">
        <v>18</v>
      </c>
      <c r="E994" t="s">
        <v>384</v>
      </c>
      <c r="F994">
        <v>10022</v>
      </c>
      <c r="G994" t="s">
        <v>20</v>
      </c>
      <c r="H994" t="s">
        <v>21</v>
      </c>
      <c r="I994">
        <v>100520</v>
      </c>
      <c r="J994">
        <v>74770</v>
      </c>
      <c r="K994">
        <v>25750</v>
      </c>
      <c r="L994">
        <v>94500</v>
      </c>
      <c r="M994">
        <v>68800</v>
      </c>
      <c r="N994">
        <v>25700</v>
      </c>
    </row>
    <row r="995" spans="1:14" ht="14.4">
      <c r="A995">
        <v>13365</v>
      </c>
      <c r="B995">
        <v>13366</v>
      </c>
      <c r="C995">
        <v>4085</v>
      </c>
      <c r="D995" t="s">
        <v>18</v>
      </c>
      <c r="E995" t="s">
        <v>384</v>
      </c>
      <c r="F995">
        <v>11581</v>
      </c>
      <c r="G995" t="s">
        <v>20</v>
      </c>
      <c r="H995" t="s">
        <v>21</v>
      </c>
      <c r="I995">
        <v>89235</v>
      </c>
      <c r="J995">
        <v>68385</v>
      </c>
      <c r="K995">
        <v>20850</v>
      </c>
      <c r="L995">
        <v>0</v>
      </c>
      <c r="M995">
        <v>0</v>
      </c>
      <c r="N995">
        <v>0</v>
      </c>
    </row>
    <row r="996" spans="1:14" ht="14.4">
      <c r="A996">
        <v>13365</v>
      </c>
      <c r="B996">
        <v>13366</v>
      </c>
      <c r="C996">
        <v>4085</v>
      </c>
      <c r="D996" t="s">
        <v>18</v>
      </c>
      <c r="E996" t="s">
        <v>384</v>
      </c>
      <c r="F996">
        <v>11590</v>
      </c>
      <c r="G996" t="s">
        <v>20</v>
      </c>
      <c r="H996" t="s">
        <v>21</v>
      </c>
      <c r="I996">
        <v>26021</v>
      </c>
      <c r="J996">
        <v>22221</v>
      </c>
      <c r="K996">
        <v>3800</v>
      </c>
      <c r="L996">
        <v>3800</v>
      </c>
      <c r="M996">
        <v>0</v>
      </c>
      <c r="N996">
        <v>3800</v>
      </c>
    </row>
    <row r="997" spans="1:14" ht="14.4">
      <c r="A997">
        <v>13365</v>
      </c>
      <c r="B997">
        <v>13366</v>
      </c>
      <c r="C997">
        <v>4085</v>
      </c>
      <c r="D997" t="s">
        <v>18</v>
      </c>
      <c r="E997" t="s">
        <v>384</v>
      </c>
      <c r="F997">
        <v>11598</v>
      </c>
      <c r="G997" t="s">
        <v>20</v>
      </c>
      <c r="H997" t="s">
        <v>21</v>
      </c>
      <c r="I997">
        <v>35716264</v>
      </c>
      <c r="J997">
        <v>24287547</v>
      </c>
      <c r="K997">
        <v>11428717</v>
      </c>
      <c r="L997">
        <v>16200900</v>
      </c>
      <c r="M997">
        <v>11865100</v>
      </c>
      <c r="N997">
        <v>4335800</v>
      </c>
    </row>
    <row r="998" spans="1:14" ht="14.4">
      <c r="A998">
        <v>13365</v>
      </c>
      <c r="B998">
        <v>13366</v>
      </c>
      <c r="C998">
        <v>4085</v>
      </c>
      <c r="D998" t="s">
        <v>18</v>
      </c>
      <c r="E998" t="s">
        <v>384</v>
      </c>
      <c r="F998">
        <v>11598</v>
      </c>
      <c r="G998" t="s">
        <v>32</v>
      </c>
      <c r="H998" t="s">
        <v>21</v>
      </c>
      <c r="I998">
        <v>63765</v>
      </c>
      <c r="J998">
        <v>52915</v>
      </c>
      <c r="K998">
        <v>10850</v>
      </c>
      <c r="L998">
        <v>0</v>
      </c>
      <c r="M998">
        <v>0</v>
      </c>
      <c r="N998">
        <v>0</v>
      </c>
    </row>
    <row r="999" spans="1:14" ht="14.4">
      <c r="A999">
        <v>13365</v>
      </c>
      <c r="B999">
        <v>13366</v>
      </c>
      <c r="C999">
        <v>4085</v>
      </c>
      <c r="D999" t="s">
        <v>18</v>
      </c>
      <c r="E999" t="s">
        <v>385</v>
      </c>
      <c r="F999">
        <v>11377</v>
      </c>
      <c r="G999" t="s">
        <v>28</v>
      </c>
      <c r="H999" t="s">
        <v>21</v>
      </c>
      <c r="I999">
        <v>38299</v>
      </c>
      <c r="J999">
        <v>29724</v>
      </c>
      <c r="K999">
        <v>8575</v>
      </c>
      <c r="L999">
        <v>0</v>
      </c>
      <c r="M999">
        <v>0</v>
      </c>
      <c r="N999">
        <v>0</v>
      </c>
    </row>
    <row r="1000" spans="1:14" ht="14.4">
      <c r="A1000">
        <v>13365</v>
      </c>
      <c r="B1000">
        <v>13366</v>
      </c>
      <c r="C1000">
        <v>4085</v>
      </c>
      <c r="D1000" t="s">
        <v>18</v>
      </c>
      <c r="E1000" t="s">
        <v>387</v>
      </c>
      <c r="F1000">
        <v>11798</v>
      </c>
      <c r="G1000" t="s">
        <v>23</v>
      </c>
      <c r="H1000" t="s">
        <v>21</v>
      </c>
      <c r="I1000">
        <v>166558</v>
      </c>
      <c r="J1000">
        <v>123152</v>
      </c>
      <c r="K1000">
        <v>43406</v>
      </c>
      <c r="L1000">
        <v>48700</v>
      </c>
      <c r="M1000">
        <v>33000</v>
      </c>
      <c r="N1000">
        <v>15700</v>
      </c>
    </row>
    <row r="1001" spans="1:14" ht="14.4">
      <c r="A1001">
        <v>13365</v>
      </c>
      <c r="B1001">
        <v>13366</v>
      </c>
      <c r="C1001">
        <v>4085</v>
      </c>
      <c r="D1001" t="s">
        <v>18</v>
      </c>
      <c r="E1001" t="s">
        <v>388</v>
      </c>
      <c r="F1001">
        <v>11980</v>
      </c>
      <c r="G1001" t="s">
        <v>23</v>
      </c>
      <c r="H1001" t="s">
        <v>21</v>
      </c>
      <c r="I1001">
        <v>61254</v>
      </c>
      <c r="J1001">
        <v>56029</v>
      </c>
      <c r="K1001">
        <v>5225</v>
      </c>
      <c r="L1001">
        <v>13200</v>
      </c>
      <c r="M1001">
        <v>8000</v>
      </c>
      <c r="N1001">
        <v>5200</v>
      </c>
    </row>
    <row r="1002" spans="1:14" ht="14.4">
      <c r="A1002">
        <v>13365</v>
      </c>
      <c r="B1002">
        <v>13366</v>
      </c>
      <c r="C1002">
        <v>4085</v>
      </c>
      <c r="D1002" t="s">
        <v>18</v>
      </c>
      <c r="E1002" t="s">
        <v>389</v>
      </c>
      <c r="F1002">
        <v>10701</v>
      </c>
      <c r="G1002" t="s">
        <v>64</v>
      </c>
      <c r="H1002" t="s">
        <v>21</v>
      </c>
      <c r="I1002">
        <v>190825</v>
      </c>
      <c r="J1002">
        <v>127015</v>
      </c>
      <c r="K1002">
        <v>63810</v>
      </c>
      <c r="L1002">
        <v>33100</v>
      </c>
      <c r="M1002">
        <v>15100</v>
      </c>
      <c r="N1002">
        <v>18000</v>
      </c>
    </row>
    <row r="1003" spans="1:14" ht="14.4">
      <c r="A1003">
        <v>13365</v>
      </c>
      <c r="B1003">
        <v>13366</v>
      </c>
      <c r="C1003">
        <v>4085</v>
      </c>
      <c r="D1003" t="s">
        <v>18</v>
      </c>
      <c r="E1003" t="s">
        <v>389</v>
      </c>
      <c r="F1003">
        <v>10703</v>
      </c>
      <c r="G1003" t="s">
        <v>64</v>
      </c>
      <c r="H1003" t="s">
        <v>21</v>
      </c>
      <c r="I1003">
        <v>147749</v>
      </c>
      <c r="J1003">
        <v>144849</v>
      </c>
      <c r="K1003">
        <v>2900</v>
      </c>
      <c r="L1003">
        <v>88700</v>
      </c>
      <c r="M1003">
        <v>86700</v>
      </c>
      <c r="N1003">
        <v>2000</v>
      </c>
    </row>
    <row r="1004" spans="1:14" ht="14.4">
      <c r="A1004">
        <v>13365</v>
      </c>
      <c r="B1004">
        <v>13366</v>
      </c>
      <c r="C1004">
        <v>4085</v>
      </c>
      <c r="D1004" t="s">
        <v>18</v>
      </c>
      <c r="E1004" t="s">
        <v>389</v>
      </c>
      <c r="F1004">
        <v>10704</v>
      </c>
      <c r="G1004" t="s">
        <v>64</v>
      </c>
      <c r="H1004" t="s">
        <v>21</v>
      </c>
      <c r="I1004">
        <v>171165</v>
      </c>
      <c r="J1004">
        <v>162390</v>
      </c>
      <c r="K1004">
        <v>8775</v>
      </c>
      <c r="L1004">
        <v>120200</v>
      </c>
      <c r="M1004">
        <v>115000</v>
      </c>
      <c r="N1004">
        <v>5200</v>
      </c>
    </row>
    <row r="1005" spans="1:14" ht="14.4">
      <c r="A1005">
        <v>13365</v>
      </c>
      <c r="B1005">
        <v>13366</v>
      </c>
      <c r="C1005">
        <v>4085</v>
      </c>
      <c r="D1005" t="s">
        <v>18</v>
      </c>
      <c r="E1005" t="s">
        <v>389</v>
      </c>
      <c r="F1005">
        <v>10705</v>
      </c>
      <c r="G1005" t="s">
        <v>64</v>
      </c>
      <c r="H1005" t="s">
        <v>21</v>
      </c>
      <c r="I1005">
        <v>107186</v>
      </c>
      <c r="J1005">
        <v>94936</v>
      </c>
      <c r="K1005">
        <v>12250</v>
      </c>
      <c r="L1005">
        <v>59900</v>
      </c>
      <c r="M1005">
        <v>53800</v>
      </c>
      <c r="N1005">
        <v>6100</v>
      </c>
    </row>
    <row r="1006" spans="1:14" ht="14.4">
      <c r="A1006">
        <v>13365</v>
      </c>
      <c r="B1006">
        <v>13366</v>
      </c>
      <c r="C1006">
        <v>4085</v>
      </c>
      <c r="D1006" t="s">
        <v>18</v>
      </c>
      <c r="E1006" t="s">
        <v>389</v>
      </c>
      <c r="F1006">
        <v>10710</v>
      </c>
      <c r="G1006" t="s">
        <v>64</v>
      </c>
      <c r="H1006" t="s">
        <v>21</v>
      </c>
      <c r="I1006">
        <v>92639</v>
      </c>
      <c r="J1006">
        <v>89939</v>
      </c>
      <c r="K1006">
        <v>2700</v>
      </c>
      <c r="L1006">
        <v>24900</v>
      </c>
      <c r="M1006">
        <v>22700</v>
      </c>
      <c r="N1006">
        <v>2200</v>
      </c>
    </row>
    <row r="1007" spans="1:14" ht="14.4">
      <c r="A1007">
        <v>13365</v>
      </c>
      <c r="B1007">
        <v>13366</v>
      </c>
      <c r="C1007">
        <v>4085</v>
      </c>
      <c r="D1007" t="s">
        <v>18</v>
      </c>
      <c r="E1007" t="s">
        <v>1422</v>
      </c>
      <c r="F1007">
        <v>10598</v>
      </c>
      <c r="G1007" t="s">
        <v>64</v>
      </c>
      <c r="H1007" t="s">
        <v>21</v>
      </c>
      <c r="I1007">
        <v>389821</v>
      </c>
      <c r="J1007">
        <v>340146</v>
      </c>
      <c r="K1007">
        <v>49675</v>
      </c>
      <c r="L1007">
        <v>246200</v>
      </c>
      <c r="M1007">
        <v>197900</v>
      </c>
      <c r="N1007">
        <v>48300</v>
      </c>
    </row>
    <row r="1008" spans="1:14" ht="14.4">
      <c r="A1008">
        <v>13367</v>
      </c>
      <c r="B1008">
        <v>13368</v>
      </c>
      <c r="C1008">
        <v>4086</v>
      </c>
      <c r="D1008" t="s">
        <v>390</v>
      </c>
      <c r="E1008" t="s">
        <v>391</v>
      </c>
      <c r="F1008">
        <v>7747</v>
      </c>
      <c r="G1008" t="s">
        <v>392</v>
      </c>
      <c r="H1008" t="s">
        <v>38</v>
      </c>
      <c r="I1008">
        <v>65852</v>
      </c>
      <c r="J1008">
        <v>64627</v>
      </c>
      <c r="K1008">
        <v>1225</v>
      </c>
      <c r="L1008">
        <v>42000</v>
      </c>
      <c r="M1008">
        <v>41300</v>
      </c>
      <c r="N1008">
        <v>700</v>
      </c>
    </row>
    <row r="1009" spans="1:14" ht="14.4">
      <c r="A1009">
        <v>13367</v>
      </c>
      <c r="B1009">
        <v>13368</v>
      </c>
      <c r="C1009">
        <v>4086</v>
      </c>
      <c r="D1009" t="s">
        <v>390</v>
      </c>
      <c r="E1009" t="s">
        <v>393</v>
      </c>
      <c r="F1009">
        <v>8201</v>
      </c>
      <c r="G1009" t="s">
        <v>394</v>
      </c>
      <c r="H1009" t="s">
        <v>38</v>
      </c>
      <c r="I1009">
        <v>364029</v>
      </c>
      <c r="J1009">
        <v>288579</v>
      </c>
      <c r="K1009">
        <v>75450</v>
      </c>
      <c r="L1009">
        <v>51500</v>
      </c>
      <c r="M1009">
        <v>32600</v>
      </c>
      <c r="N1009">
        <v>18900</v>
      </c>
    </row>
    <row r="1010" spans="1:14" ht="14.4">
      <c r="A1010">
        <v>13367</v>
      </c>
      <c r="B1010">
        <v>13368</v>
      </c>
      <c r="C1010">
        <v>4086</v>
      </c>
      <c r="D1010" t="s">
        <v>390</v>
      </c>
      <c r="E1010" t="s">
        <v>393</v>
      </c>
      <c r="F1010">
        <v>8205</v>
      </c>
      <c r="G1010" t="s">
        <v>394</v>
      </c>
      <c r="H1010" t="s">
        <v>38</v>
      </c>
      <c r="I1010">
        <v>38740</v>
      </c>
      <c r="J1010">
        <v>12140</v>
      </c>
      <c r="K1010">
        <v>26600</v>
      </c>
      <c r="L1010">
        <v>0</v>
      </c>
      <c r="M1010">
        <v>0</v>
      </c>
      <c r="N1010">
        <v>0</v>
      </c>
    </row>
    <row r="1011" spans="1:14" ht="14.4">
      <c r="A1011">
        <v>13367</v>
      </c>
      <c r="B1011">
        <v>13368</v>
      </c>
      <c r="C1011">
        <v>4086</v>
      </c>
      <c r="D1011" t="s">
        <v>390</v>
      </c>
      <c r="E1011" t="s">
        <v>1423</v>
      </c>
      <c r="F1011">
        <v>8401</v>
      </c>
      <c r="G1011" t="s">
        <v>394</v>
      </c>
      <c r="H1011" t="s">
        <v>38</v>
      </c>
      <c r="I1011">
        <v>15400</v>
      </c>
      <c r="J1011">
        <v>0</v>
      </c>
      <c r="K1011">
        <v>15400</v>
      </c>
      <c r="L1011">
        <v>15400</v>
      </c>
      <c r="M1011">
        <v>0</v>
      </c>
      <c r="N1011">
        <v>15400</v>
      </c>
    </row>
    <row r="1012" spans="1:14" ht="14.4">
      <c r="A1012">
        <v>13367</v>
      </c>
      <c r="B1012">
        <v>13368</v>
      </c>
      <c r="C1012">
        <v>4086</v>
      </c>
      <c r="D1012" t="s">
        <v>390</v>
      </c>
      <c r="E1012" t="s">
        <v>1424</v>
      </c>
      <c r="F1012">
        <v>7401</v>
      </c>
      <c r="G1012" t="s">
        <v>76</v>
      </c>
      <c r="H1012" t="s">
        <v>38</v>
      </c>
      <c r="I1012">
        <v>631086</v>
      </c>
      <c r="J1012">
        <v>498701</v>
      </c>
      <c r="K1012">
        <v>132385</v>
      </c>
      <c r="L1012">
        <v>449600</v>
      </c>
      <c r="M1012">
        <v>351800</v>
      </c>
      <c r="N1012">
        <v>97800</v>
      </c>
    </row>
    <row r="1013" spans="1:14" ht="14.4">
      <c r="A1013">
        <v>13367</v>
      </c>
      <c r="B1013">
        <v>13368</v>
      </c>
      <c r="C1013">
        <v>4086</v>
      </c>
      <c r="D1013" t="s">
        <v>390</v>
      </c>
      <c r="E1013" t="s">
        <v>1425</v>
      </c>
      <c r="F1013">
        <v>7711</v>
      </c>
      <c r="G1013" t="s">
        <v>392</v>
      </c>
      <c r="H1013" t="s">
        <v>38</v>
      </c>
      <c r="I1013">
        <v>44632</v>
      </c>
      <c r="J1013">
        <v>43132</v>
      </c>
      <c r="K1013">
        <v>1500</v>
      </c>
      <c r="L1013">
        <v>14000</v>
      </c>
      <c r="M1013">
        <v>12500</v>
      </c>
      <c r="N1013">
        <v>1500</v>
      </c>
    </row>
    <row r="1014" spans="1:14" ht="14.4">
      <c r="A1014">
        <v>13367</v>
      </c>
      <c r="B1014">
        <v>13368</v>
      </c>
      <c r="C1014">
        <v>4086</v>
      </c>
      <c r="D1014" t="s">
        <v>390</v>
      </c>
      <c r="E1014" t="s">
        <v>396</v>
      </c>
      <c r="F1014">
        <v>8501</v>
      </c>
      <c r="G1014" t="s">
        <v>496</v>
      </c>
      <c r="H1014" t="s">
        <v>38</v>
      </c>
      <c r="I1014">
        <v>18934</v>
      </c>
      <c r="J1014">
        <v>18934</v>
      </c>
      <c r="K1014">
        <v>0</v>
      </c>
      <c r="L1014">
        <v>0</v>
      </c>
      <c r="M1014">
        <v>0</v>
      </c>
      <c r="N1014">
        <v>0</v>
      </c>
    </row>
    <row r="1015" spans="1:14" ht="14.4">
      <c r="A1015">
        <v>13367</v>
      </c>
      <c r="B1015">
        <v>13368</v>
      </c>
      <c r="C1015">
        <v>4086</v>
      </c>
      <c r="D1015" t="s">
        <v>390</v>
      </c>
      <c r="E1015" t="s">
        <v>397</v>
      </c>
      <c r="F1015">
        <v>8865</v>
      </c>
      <c r="G1015" t="s">
        <v>398</v>
      </c>
      <c r="H1015" t="s">
        <v>38</v>
      </c>
      <c r="I1015">
        <v>20251</v>
      </c>
      <c r="J1015">
        <v>19501</v>
      </c>
      <c r="K1015">
        <v>750</v>
      </c>
      <c r="L1015">
        <v>11900</v>
      </c>
      <c r="M1015">
        <v>11600</v>
      </c>
      <c r="N1015">
        <v>300</v>
      </c>
    </row>
    <row r="1016" spans="1:14" ht="14.4">
      <c r="A1016">
        <v>13367</v>
      </c>
      <c r="B1016">
        <v>13368</v>
      </c>
      <c r="C1016">
        <v>4086</v>
      </c>
      <c r="D1016" t="s">
        <v>390</v>
      </c>
      <c r="E1016" t="s">
        <v>1426</v>
      </c>
      <c r="F1016">
        <v>7821</v>
      </c>
      <c r="G1016" t="s">
        <v>462</v>
      </c>
      <c r="H1016" t="s">
        <v>38</v>
      </c>
      <c r="I1016">
        <v>120097</v>
      </c>
      <c r="J1016">
        <v>118697</v>
      </c>
      <c r="K1016">
        <v>1400</v>
      </c>
      <c r="L1016">
        <v>56200</v>
      </c>
      <c r="M1016">
        <v>56200</v>
      </c>
      <c r="N1016">
        <v>0</v>
      </c>
    </row>
    <row r="1017" spans="1:14" ht="14.4">
      <c r="A1017">
        <v>13367</v>
      </c>
      <c r="B1017">
        <v>13368</v>
      </c>
      <c r="C1017">
        <v>4086</v>
      </c>
      <c r="D1017" t="s">
        <v>390</v>
      </c>
      <c r="E1017" t="s">
        <v>1427</v>
      </c>
      <c r="F1017">
        <v>8801</v>
      </c>
      <c r="G1017" t="s">
        <v>464</v>
      </c>
      <c r="H1017" t="s">
        <v>38</v>
      </c>
      <c r="I1017">
        <v>68574</v>
      </c>
      <c r="J1017">
        <v>60374</v>
      </c>
      <c r="K1017">
        <v>8200</v>
      </c>
      <c r="L1017">
        <v>65400</v>
      </c>
      <c r="M1017">
        <v>58000</v>
      </c>
      <c r="N1017">
        <v>7400</v>
      </c>
    </row>
    <row r="1018" spans="1:14" ht="14.4">
      <c r="A1018">
        <v>13367</v>
      </c>
      <c r="B1018">
        <v>13368</v>
      </c>
      <c r="C1018">
        <v>4086</v>
      </c>
      <c r="D1018" t="s">
        <v>390</v>
      </c>
      <c r="E1018" t="s">
        <v>1428</v>
      </c>
      <c r="F1018">
        <v>8802</v>
      </c>
      <c r="G1018" t="s">
        <v>464</v>
      </c>
      <c r="H1018" t="s">
        <v>38</v>
      </c>
      <c r="I1018">
        <v>84259</v>
      </c>
      <c r="J1018">
        <v>82109</v>
      </c>
      <c r="K1018">
        <v>2150</v>
      </c>
      <c r="L1018">
        <v>34100</v>
      </c>
      <c r="M1018">
        <v>32600</v>
      </c>
      <c r="N1018">
        <v>1500</v>
      </c>
    </row>
    <row r="1019" spans="1:14" ht="14.4">
      <c r="A1019">
        <v>13367</v>
      </c>
      <c r="B1019">
        <v>13368</v>
      </c>
      <c r="C1019">
        <v>4086</v>
      </c>
      <c r="D1019" t="s">
        <v>390</v>
      </c>
      <c r="E1019" t="s">
        <v>1428</v>
      </c>
      <c r="F1019">
        <v>8802</v>
      </c>
      <c r="G1019" t="s">
        <v>398</v>
      </c>
      <c r="H1019" t="s">
        <v>38</v>
      </c>
      <c r="I1019">
        <v>57540</v>
      </c>
      <c r="J1019">
        <v>57540</v>
      </c>
      <c r="K1019">
        <v>0</v>
      </c>
      <c r="L1019">
        <v>0</v>
      </c>
      <c r="M1019">
        <v>0</v>
      </c>
      <c r="N1019">
        <v>0</v>
      </c>
    </row>
    <row r="1020" spans="1:14" ht="14.4">
      <c r="A1020">
        <v>13367</v>
      </c>
      <c r="B1020">
        <v>13368</v>
      </c>
      <c r="C1020">
        <v>4086</v>
      </c>
      <c r="D1020" t="s">
        <v>390</v>
      </c>
      <c r="E1020" t="s">
        <v>399</v>
      </c>
      <c r="F1020">
        <v>7712</v>
      </c>
      <c r="G1020" t="s">
        <v>392</v>
      </c>
      <c r="H1020" t="s">
        <v>38</v>
      </c>
      <c r="I1020">
        <v>335325</v>
      </c>
      <c r="J1020">
        <v>272370</v>
      </c>
      <c r="K1020">
        <v>62955</v>
      </c>
      <c r="L1020">
        <v>87700</v>
      </c>
      <c r="M1020">
        <v>71600</v>
      </c>
      <c r="N1020">
        <v>16100</v>
      </c>
    </row>
    <row r="1021" spans="1:14" ht="14.4">
      <c r="A1021">
        <v>13367</v>
      </c>
      <c r="B1021">
        <v>13368</v>
      </c>
      <c r="C1021">
        <v>4086</v>
      </c>
      <c r="D1021" t="s">
        <v>390</v>
      </c>
      <c r="E1021" t="s">
        <v>394</v>
      </c>
      <c r="F1021">
        <v>8401</v>
      </c>
      <c r="G1021" t="s">
        <v>394</v>
      </c>
      <c r="H1021" t="s">
        <v>38</v>
      </c>
      <c r="I1021">
        <v>225090</v>
      </c>
      <c r="J1021">
        <v>179585</v>
      </c>
      <c r="K1021">
        <v>45505</v>
      </c>
      <c r="L1021">
        <v>20000</v>
      </c>
      <c r="M1021">
        <v>13300</v>
      </c>
      <c r="N1021">
        <v>6700</v>
      </c>
    </row>
    <row r="1022" spans="1:14" ht="14.4">
      <c r="A1022">
        <v>13367</v>
      </c>
      <c r="B1022">
        <v>13368</v>
      </c>
      <c r="C1022">
        <v>4086</v>
      </c>
      <c r="D1022" t="s">
        <v>390</v>
      </c>
      <c r="E1022" t="s">
        <v>400</v>
      </c>
      <c r="F1022">
        <v>8053</v>
      </c>
      <c r="G1022" t="s">
        <v>394</v>
      </c>
      <c r="H1022" t="s">
        <v>38</v>
      </c>
      <c r="I1022">
        <v>25509</v>
      </c>
      <c r="J1022">
        <v>25509</v>
      </c>
      <c r="K1022">
        <v>0</v>
      </c>
      <c r="L1022">
        <v>14000</v>
      </c>
      <c r="M1022">
        <v>14000</v>
      </c>
      <c r="N1022">
        <v>0</v>
      </c>
    </row>
    <row r="1023" spans="1:14" ht="14.4">
      <c r="A1023">
        <v>13367</v>
      </c>
      <c r="B1023">
        <v>13368</v>
      </c>
      <c r="C1023">
        <v>4086</v>
      </c>
      <c r="D1023" t="s">
        <v>390</v>
      </c>
      <c r="E1023" t="s">
        <v>400</v>
      </c>
      <c r="F1023">
        <v>8201</v>
      </c>
      <c r="G1023" t="s">
        <v>394</v>
      </c>
      <c r="H1023" t="s">
        <v>38</v>
      </c>
      <c r="I1023">
        <v>36527</v>
      </c>
      <c r="J1023">
        <v>29327</v>
      </c>
      <c r="K1023">
        <v>7200</v>
      </c>
      <c r="L1023">
        <v>35000</v>
      </c>
      <c r="M1023">
        <v>27800</v>
      </c>
      <c r="N1023">
        <v>7200</v>
      </c>
    </row>
    <row r="1024" spans="1:14" ht="14.4">
      <c r="A1024">
        <v>13367</v>
      </c>
      <c r="B1024">
        <v>13368</v>
      </c>
      <c r="C1024">
        <v>4086</v>
      </c>
      <c r="D1024" t="s">
        <v>390</v>
      </c>
      <c r="E1024" t="s">
        <v>400</v>
      </c>
      <c r="F1024">
        <v>8205</v>
      </c>
      <c r="G1024" t="s">
        <v>394</v>
      </c>
      <c r="H1024" t="s">
        <v>38</v>
      </c>
      <c r="I1024">
        <v>33754</v>
      </c>
      <c r="J1024">
        <v>24204</v>
      </c>
      <c r="K1024">
        <v>9550</v>
      </c>
      <c r="L1024">
        <v>0</v>
      </c>
      <c r="M1024">
        <v>0</v>
      </c>
      <c r="N1024">
        <v>0</v>
      </c>
    </row>
    <row r="1025" spans="1:14" ht="14.4">
      <c r="A1025">
        <v>13367</v>
      </c>
      <c r="B1025">
        <v>13368</v>
      </c>
      <c r="C1025">
        <v>4086</v>
      </c>
      <c r="D1025" t="s">
        <v>390</v>
      </c>
      <c r="E1025" t="s">
        <v>400</v>
      </c>
      <c r="F1025">
        <v>8232</v>
      </c>
      <c r="G1025" t="s">
        <v>394</v>
      </c>
      <c r="H1025" t="s">
        <v>38</v>
      </c>
      <c r="I1025">
        <v>29700</v>
      </c>
      <c r="J1025">
        <v>0</v>
      </c>
      <c r="K1025">
        <v>29700</v>
      </c>
      <c r="L1025">
        <v>29700</v>
      </c>
      <c r="M1025">
        <v>0</v>
      </c>
      <c r="N1025">
        <v>29700</v>
      </c>
    </row>
    <row r="1026" spans="1:14" ht="14.4">
      <c r="A1026">
        <v>13367</v>
      </c>
      <c r="B1026">
        <v>13368</v>
      </c>
      <c r="C1026">
        <v>4086</v>
      </c>
      <c r="D1026" t="s">
        <v>390</v>
      </c>
      <c r="E1026" t="s">
        <v>400</v>
      </c>
      <c r="F1026">
        <v>8401</v>
      </c>
      <c r="G1026" t="s">
        <v>394</v>
      </c>
      <c r="H1026" t="s">
        <v>38</v>
      </c>
      <c r="I1026">
        <v>22527366</v>
      </c>
      <c r="J1026">
        <v>15761822</v>
      </c>
      <c r="K1026">
        <v>6765544</v>
      </c>
      <c r="L1026">
        <v>8632700</v>
      </c>
      <c r="M1026">
        <v>5513000</v>
      </c>
      <c r="N1026">
        <v>3119700</v>
      </c>
    </row>
    <row r="1027" spans="1:14" ht="14.4">
      <c r="A1027">
        <v>13367</v>
      </c>
      <c r="B1027">
        <v>13368</v>
      </c>
      <c r="C1027">
        <v>4086</v>
      </c>
      <c r="D1027" t="s">
        <v>390</v>
      </c>
      <c r="E1027" t="s">
        <v>400</v>
      </c>
      <c r="F1027">
        <v>8406</v>
      </c>
      <c r="G1027" t="s">
        <v>394</v>
      </c>
      <c r="H1027" t="s">
        <v>38</v>
      </c>
      <c r="I1027">
        <v>49171</v>
      </c>
      <c r="J1027">
        <v>37896</v>
      </c>
      <c r="K1027">
        <v>11275</v>
      </c>
      <c r="L1027">
        <v>32300</v>
      </c>
      <c r="M1027">
        <v>21100</v>
      </c>
      <c r="N1027">
        <v>11200</v>
      </c>
    </row>
    <row r="1028" spans="1:14" ht="14.4">
      <c r="A1028">
        <v>13367</v>
      </c>
      <c r="B1028">
        <v>13368</v>
      </c>
      <c r="C1028">
        <v>4086</v>
      </c>
      <c r="D1028" t="s">
        <v>390</v>
      </c>
      <c r="E1028" t="s">
        <v>400</v>
      </c>
      <c r="F1028">
        <v>8940</v>
      </c>
      <c r="G1028" t="s">
        <v>394</v>
      </c>
      <c r="H1028" t="s">
        <v>38</v>
      </c>
      <c r="I1028">
        <v>17050</v>
      </c>
      <c r="J1028">
        <v>0</v>
      </c>
      <c r="K1028">
        <v>17050</v>
      </c>
      <c r="L1028">
        <v>0</v>
      </c>
      <c r="M1028">
        <v>0</v>
      </c>
      <c r="N1028">
        <v>0</v>
      </c>
    </row>
    <row r="1029" spans="1:14" ht="14.4">
      <c r="A1029">
        <v>13367</v>
      </c>
      <c r="B1029">
        <v>13368</v>
      </c>
      <c r="C1029">
        <v>4086</v>
      </c>
      <c r="D1029" t="s">
        <v>390</v>
      </c>
      <c r="E1029" t="s">
        <v>401</v>
      </c>
      <c r="F1029">
        <v>7716</v>
      </c>
      <c r="G1029" t="s">
        <v>392</v>
      </c>
      <c r="H1029" t="s">
        <v>38</v>
      </c>
      <c r="I1029">
        <v>1023474</v>
      </c>
      <c r="J1029">
        <v>749049</v>
      </c>
      <c r="K1029">
        <v>274425</v>
      </c>
      <c r="L1029">
        <v>599700</v>
      </c>
      <c r="M1029">
        <v>446200</v>
      </c>
      <c r="N1029">
        <v>153500</v>
      </c>
    </row>
    <row r="1030" spans="1:14" ht="14.4">
      <c r="A1030">
        <v>13367</v>
      </c>
      <c r="B1030">
        <v>13368</v>
      </c>
      <c r="C1030">
        <v>4086</v>
      </c>
      <c r="D1030" t="s">
        <v>390</v>
      </c>
      <c r="E1030" t="s">
        <v>1429</v>
      </c>
      <c r="F1030">
        <v>8401</v>
      </c>
      <c r="G1030" t="s">
        <v>394</v>
      </c>
      <c r="H1030" t="s">
        <v>38</v>
      </c>
      <c r="I1030">
        <v>10695</v>
      </c>
      <c r="J1030">
        <v>0</v>
      </c>
      <c r="K1030">
        <v>10695</v>
      </c>
      <c r="L1030">
        <v>10700</v>
      </c>
      <c r="M1030">
        <v>0</v>
      </c>
      <c r="N1030">
        <v>10700</v>
      </c>
    </row>
    <row r="1031" spans="1:14" ht="14.4">
      <c r="A1031">
        <v>13367</v>
      </c>
      <c r="B1031">
        <v>13368</v>
      </c>
      <c r="C1031">
        <v>4086</v>
      </c>
      <c r="D1031" t="s">
        <v>390</v>
      </c>
      <c r="E1031" t="s">
        <v>403</v>
      </c>
      <c r="F1031">
        <v>8202</v>
      </c>
      <c r="G1031" t="s">
        <v>404</v>
      </c>
      <c r="H1031" t="s">
        <v>38</v>
      </c>
      <c r="I1031">
        <v>1119602</v>
      </c>
      <c r="J1031">
        <v>864642</v>
      </c>
      <c r="K1031">
        <v>254960</v>
      </c>
      <c r="L1031">
        <v>472400</v>
      </c>
      <c r="M1031">
        <v>384900</v>
      </c>
      <c r="N1031">
        <v>87500</v>
      </c>
    </row>
    <row r="1032" spans="1:14" ht="14.4">
      <c r="A1032">
        <v>13367</v>
      </c>
      <c r="B1032">
        <v>13368</v>
      </c>
      <c r="C1032">
        <v>4086</v>
      </c>
      <c r="D1032" t="s">
        <v>390</v>
      </c>
      <c r="E1032" t="s">
        <v>405</v>
      </c>
      <c r="F1032">
        <v>7001</v>
      </c>
      <c r="G1032" t="s">
        <v>406</v>
      </c>
      <c r="H1032" t="s">
        <v>38</v>
      </c>
      <c r="I1032">
        <v>288204</v>
      </c>
      <c r="J1032">
        <v>242534</v>
      </c>
      <c r="K1032">
        <v>45670</v>
      </c>
      <c r="L1032">
        <v>109700</v>
      </c>
      <c r="M1032">
        <v>97800</v>
      </c>
      <c r="N1032">
        <v>11900</v>
      </c>
    </row>
    <row r="1033" spans="1:14" ht="14.4">
      <c r="A1033">
        <v>13367</v>
      </c>
      <c r="B1033">
        <v>13368</v>
      </c>
      <c r="C1033">
        <v>4086</v>
      </c>
      <c r="D1033" t="s">
        <v>390</v>
      </c>
      <c r="E1033" t="s">
        <v>407</v>
      </c>
      <c r="F1033">
        <v>7717</v>
      </c>
      <c r="G1033" t="s">
        <v>392</v>
      </c>
      <c r="H1033" t="s">
        <v>38</v>
      </c>
      <c r="I1033">
        <v>531408</v>
      </c>
      <c r="J1033">
        <v>336788</v>
      </c>
      <c r="K1033">
        <v>194620</v>
      </c>
      <c r="L1033">
        <v>271700</v>
      </c>
      <c r="M1033">
        <v>172200</v>
      </c>
      <c r="N1033">
        <v>99500</v>
      </c>
    </row>
    <row r="1034" spans="1:14" ht="14.4">
      <c r="A1034">
        <v>13367</v>
      </c>
      <c r="B1034">
        <v>13368</v>
      </c>
      <c r="C1034">
        <v>4086</v>
      </c>
      <c r="D1034" t="s">
        <v>390</v>
      </c>
      <c r="E1034" t="s">
        <v>409</v>
      </c>
      <c r="F1034">
        <v>7717</v>
      </c>
      <c r="G1034" t="s">
        <v>392</v>
      </c>
      <c r="H1034" t="s">
        <v>38</v>
      </c>
      <c r="I1034">
        <v>4112749</v>
      </c>
      <c r="J1034">
        <v>3056369</v>
      </c>
      <c r="K1034">
        <v>1056380</v>
      </c>
      <c r="L1034">
        <v>1354300</v>
      </c>
      <c r="M1034">
        <v>913800</v>
      </c>
      <c r="N1034">
        <v>440500</v>
      </c>
    </row>
    <row r="1035" spans="1:14" ht="14.4">
      <c r="A1035">
        <v>13367</v>
      </c>
      <c r="B1035">
        <v>13368</v>
      </c>
      <c r="C1035">
        <v>4086</v>
      </c>
      <c r="D1035" t="s">
        <v>390</v>
      </c>
      <c r="E1035" t="s">
        <v>1430</v>
      </c>
      <c r="F1035">
        <v>7717</v>
      </c>
      <c r="G1035" t="s">
        <v>392</v>
      </c>
      <c r="H1035" t="s">
        <v>38</v>
      </c>
      <c r="I1035">
        <v>368720</v>
      </c>
      <c r="J1035">
        <v>251270</v>
      </c>
      <c r="K1035">
        <v>117450</v>
      </c>
      <c r="L1035">
        <v>58600</v>
      </c>
      <c r="M1035">
        <v>12600</v>
      </c>
      <c r="N1035">
        <v>46000</v>
      </c>
    </row>
    <row r="1036" spans="1:14" ht="14.4">
      <c r="A1036">
        <v>13367</v>
      </c>
      <c r="B1036">
        <v>13368</v>
      </c>
      <c r="C1036">
        <v>4086</v>
      </c>
      <c r="D1036" t="s">
        <v>390</v>
      </c>
      <c r="E1036" t="s">
        <v>410</v>
      </c>
      <c r="F1036">
        <v>8005</v>
      </c>
      <c r="G1036" t="s">
        <v>402</v>
      </c>
      <c r="H1036" t="s">
        <v>38</v>
      </c>
      <c r="I1036">
        <v>4283184</v>
      </c>
      <c r="J1036">
        <v>3273628</v>
      </c>
      <c r="K1036">
        <v>1009556</v>
      </c>
      <c r="L1036">
        <v>2164900</v>
      </c>
      <c r="M1036">
        <v>1604000</v>
      </c>
      <c r="N1036">
        <v>560900</v>
      </c>
    </row>
    <row r="1037" spans="1:14" ht="14.4">
      <c r="A1037">
        <v>13367</v>
      </c>
      <c r="B1037">
        <v>13368</v>
      </c>
      <c r="C1037">
        <v>4086</v>
      </c>
      <c r="D1037" t="s">
        <v>390</v>
      </c>
      <c r="E1037" t="s">
        <v>411</v>
      </c>
      <c r="F1037">
        <v>8006</v>
      </c>
      <c r="G1037" t="s">
        <v>402</v>
      </c>
      <c r="H1037" t="s">
        <v>38</v>
      </c>
      <c r="I1037">
        <v>109480</v>
      </c>
      <c r="J1037">
        <v>80555</v>
      </c>
      <c r="K1037">
        <v>28925</v>
      </c>
      <c r="L1037">
        <v>0</v>
      </c>
      <c r="M1037">
        <v>0</v>
      </c>
      <c r="N1037">
        <v>0</v>
      </c>
    </row>
    <row r="1038" spans="1:14" ht="14.4">
      <c r="A1038">
        <v>13367</v>
      </c>
      <c r="B1038">
        <v>13368</v>
      </c>
      <c r="C1038">
        <v>4086</v>
      </c>
      <c r="D1038" t="s">
        <v>390</v>
      </c>
      <c r="E1038" t="s">
        <v>412</v>
      </c>
      <c r="F1038">
        <v>7920</v>
      </c>
      <c r="G1038" t="s">
        <v>413</v>
      </c>
      <c r="H1038" t="s">
        <v>38</v>
      </c>
      <c r="I1038">
        <v>531788</v>
      </c>
      <c r="J1038">
        <v>434338</v>
      </c>
      <c r="K1038">
        <v>97450</v>
      </c>
      <c r="L1038">
        <v>157600</v>
      </c>
      <c r="M1038">
        <v>144700</v>
      </c>
      <c r="N1038">
        <v>12900</v>
      </c>
    </row>
    <row r="1039" spans="1:14" ht="14.4">
      <c r="A1039">
        <v>13367</v>
      </c>
      <c r="B1039">
        <v>13368</v>
      </c>
      <c r="C1039">
        <v>4086</v>
      </c>
      <c r="D1039" t="s">
        <v>390</v>
      </c>
      <c r="E1039" t="s">
        <v>1431</v>
      </c>
      <c r="F1039">
        <v>8224</v>
      </c>
      <c r="G1039" t="s">
        <v>443</v>
      </c>
      <c r="H1039" t="s">
        <v>38</v>
      </c>
      <c r="I1039">
        <v>181117</v>
      </c>
      <c r="J1039">
        <v>69955</v>
      </c>
      <c r="K1039">
        <v>111162</v>
      </c>
      <c r="L1039">
        <v>78500</v>
      </c>
      <c r="M1039">
        <v>38500</v>
      </c>
      <c r="N1039">
        <v>40000</v>
      </c>
    </row>
    <row r="1040" spans="1:14" ht="14.4">
      <c r="A1040">
        <v>13367</v>
      </c>
      <c r="B1040">
        <v>13368</v>
      </c>
      <c r="C1040">
        <v>4086</v>
      </c>
      <c r="D1040" t="s">
        <v>390</v>
      </c>
      <c r="E1040" t="s">
        <v>1432</v>
      </c>
      <c r="F1040">
        <v>8215</v>
      </c>
      <c r="G1040" t="s">
        <v>443</v>
      </c>
      <c r="H1040" t="s">
        <v>38</v>
      </c>
      <c r="I1040">
        <v>50274</v>
      </c>
      <c r="J1040">
        <v>50274</v>
      </c>
      <c r="K1040">
        <v>0</v>
      </c>
      <c r="L1040">
        <v>5000</v>
      </c>
      <c r="M1040">
        <v>5000</v>
      </c>
      <c r="N1040">
        <v>0</v>
      </c>
    </row>
    <row r="1041" spans="1:14" ht="14.4">
      <c r="A1041">
        <v>13367</v>
      </c>
      <c r="B1041">
        <v>13368</v>
      </c>
      <c r="C1041">
        <v>4086</v>
      </c>
      <c r="D1041" t="s">
        <v>390</v>
      </c>
      <c r="E1041" t="s">
        <v>414</v>
      </c>
      <c r="F1041">
        <v>8550</v>
      </c>
      <c r="G1041" t="s">
        <v>402</v>
      </c>
      <c r="H1041" t="s">
        <v>38</v>
      </c>
      <c r="I1041">
        <v>144611</v>
      </c>
      <c r="J1041">
        <v>105611</v>
      </c>
      <c r="K1041">
        <v>39000</v>
      </c>
      <c r="L1041">
        <v>0</v>
      </c>
      <c r="M1041">
        <v>0</v>
      </c>
      <c r="N1041">
        <v>0</v>
      </c>
    </row>
    <row r="1042" spans="1:14" ht="14.4">
      <c r="A1042">
        <v>13367</v>
      </c>
      <c r="B1042">
        <v>13368</v>
      </c>
      <c r="C1042">
        <v>4086</v>
      </c>
      <c r="D1042" t="s">
        <v>390</v>
      </c>
      <c r="E1042" t="s">
        <v>414</v>
      </c>
      <c r="F1042">
        <v>8742</v>
      </c>
      <c r="G1042" t="s">
        <v>402</v>
      </c>
      <c r="H1042" t="s">
        <v>38</v>
      </c>
      <c r="I1042">
        <v>17780671</v>
      </c>
      <c r="J1042">
        <v>13000804</v>
      </c>
      <c r="K1042">
        <v>4779867</v>
      </c>
      <c r="L1042">
        <v>6927200</v>
      </c>
      <c r="M1042">
        <v>5035400</v>
      </c>
      <c r="N1042">
        <v>1891800</v>
      </c>
    </row>
    <row r="1043" spans="1:14" ht="14.4">
      <c r="A1043">
        <v>13367</v>
      </c>
      <c r="B1043">
        <v>13368</v>
      </c>
      <c r="C1043">
        <v>4086</v>
      </c>
      <c r="D1043" t="s">
        <v>390</v>
      </c>
      <c r="E1043" t="s">
        <v>414</v>
      </c>
      <c r="F1043">
        <v>8742</v>
      </c>
      <c r="G1043" t="s">
        <v>691</v>
      </c>
      <c r="H1043" t="s">
        <v>38</v>
      </c>
      <c r="I1043">
        <v>135740</v>
      </c>
      <c r="J1043">
        <v>100940</v>
      </c>
      <c r="K1043">
        <v>34800</v>
      </c>
      <c r="L1043">
        <v>0</v>
      </c>
      <c r="M1043">
        <v>0</v>
      </c>
      <c r="N1043">
        <v>0</v>
      </c>
    </row>
    <row r="1044" spans="1:14" ht="14.4">
      <c r="A1044">
        <v>13367</v>
      </c>
      <c r="B1044">
        <v>13368</v>
      </c>
      <c r="C1044">
        <v>4086</v>
      </c>
      <c r="D1044" t="s">
        <v>390</v>
      </c>
      <c r="E1044" t="s">
        <v>1433</v>
      </c>
      <c r="F1044">
        <v>7002</v>
      </c>
      <c r="G1044" t="s">
        <v>37</v>
      </c>
      <c r="H1044" t="s">
        <v>38</v>
      </c>
      <c r="I1044">
        <v>9725</v>
      </c>
      <c r="J1044">
        <v>0</v>
      </c>
      <c r="K1044">
        <v>9725</v>
      </c>
      <c r="L1044">
        <v>0</v>
      </c>
      <c r="M1044">
        <v>0</v>
      </c>
      <c r="N1044">
        <v>0</v>
      </c>
    </row>
    <row r="1045" spans="1:14" ht="14.4">
      <c r="A1045">
        <v>13367</v>
      </c>
      <c r="B1045">
        <v>13368</v>
      </c>
      <c r="C1045">
        <v>4086</v>
      </c>
      <c r="D1045" t="s">
        <v>390</v>
      </c>
      <c r="E1045" t="s">
        <v>36</v>
      </c>
      <c r="F1045">
        <v>7002</v>
      </c>
      <c r="G1045" t="s">
        <v>76</v>
      </c>
      <c r="H1045" t="s">
        <v>38</v>
      </c>
      <c r="I1045">
        <v>43490</v>
      </c>
      <c r="J1045">
        <v>0</v>
      </c>
      <c r="K1045">
        <v>43490</v>
      </c>
      <c r="L1045">
        <v>40000</v>
      </c>
      <c r="M1045">
        <v>0</v>
      </c>
      <c r="N1045">
        <v>40000</v>
      </c>
    </row>
    <row r="1046" spans="1:14" ht="14.4">
      <c r="A1046">
        <v>13367</v>
      </c>
      <c r="B1046">
        <v>13368</v>
      </c>
      <c r="C1046">
        <v>4086</v>
      </c>
      <c r="D1046" t="s">
        <v>390</v>
      </c>
      <c r="E1046" t="s">
        <v>36</v>
      </c>
      <c r="F1046">
        <v>7002</v>
      </c>
      <c r="G1046" t="s">
        <v>37</v>
      </c>
      <c r="H1046" t="s">
        <v>38</v>
      </c>
      <c r="I1046">
        <v>7358458</v>
      </c>
      <c r="J1046">
        <v>4378846</v>
      </c>
      <c r="K1046">
        <v>2979612</v>
      </c>
      <c r="L1046">
        <v>3004100</v>
      </c>
      <c r="M1046">
        <v>1837700</v>
      </c>
      <c r="N1046">
        <v>1166400</v>
      </c>
    </row>
    <row r="1047" spans="1:14" ht="14.4">
      <c r="A1047">
        <v>13367</v>
      </c>
      <c r="B1047">
        <v>13368</v>
      </c>
      <c r="C1047">
        <v>4086</v>
      </c>
      <c r="D1047" t="s">
        <v>390</v>
      </c>
      <c r="E1047" t="s">
        <v>36</v>
      </c>
      <c r="F1047">
        <v>7002</v>
      </c>
      <c r="G1047" t="s">
        <v>464</v>
      </c>
      <c r="H1047" t="s">
        <v>38</v>
      </c>
      <c r="I1047">
        <v>95187</v>
      </c>
      <c r="J1047">
        <v>32307</v>
      </c>
      <c r="K1047">
        <v>62880</v>
      </c>
      <c r="L1047">
        <v>0</v>
      </c>
      <c r="M1047">
        <v>0</v>
      </c>
      <c r="N1047">
        <v>0</v>
      </c>
    </row>
    <row r="1048" spans="1:14" ht="14.4">
      <c r="A1048">
        <v>13367</v>
      </c>
      <c r="B1048">
        <v>13368</v>
      </c>
      <c r="C1048">
        <v>4086</v>
      </c>
      <c r="D1048" t="s">
        <v>390</v>
      </c>
      <c r="E1048" t="s">
        <v>1434</v>
      </c>
      <c r="F1048">
        <v>8203</v>
      </c>
      <c r="G1048" t="s">
        <v>394</v>
      </c>
      <c r="H1048" t="s">
        <v>38</v>
      </c>
      <c r="I1048">
        <v>19925</v>
      </c>
      <c r="J1048">
        <v>0</v>
      </c>
      <c r="K1048">
        <v>19925</v>
      </c>
      <c r="L1048">
        <v>0</v>
      </c>
      <c r="M1048">
        <v>0</v>
      </c>
      <c r="N1048">
        <v>0</v>
      </c>
    </row>
    <row r="1049" spans="1:14" ht="14.4">
      <c r="A1049">
        <v>13367</v>
      </c>
      <c r="B1049">
        <v>13368</v>
      </c>
      <c r="C1049">
        <v>4086</v>
      </c>
      <c r="D1049" t="s">
        <v>390</v>
      </c>
      <c r="E1049" t="s">
        <v>1435</v>
      </c>
      <c r="F1049">
        <v>8721</v>
      </c>
      <c r="G1049" t="s">
        <v>402</v>
      </c>
      <c r="H1049" t="s">
        <v>38</v>
      </c>
      <c r="I1049">
        <v>55272</v>
      </c>
      <c r="J1049">
        <v>53772</v>
      </c>
      <c r="K1049">
        <v>1500</v>
      </c>
      <c r="L1049">
        <v>46300</v>
      </c>
      <c r="M1049">
        <v>44800</v>
      </c>
      <c r="N1049">
        <v>1500</v>
      </c>
    </row>
    <row r="1050" spans="1:14" ht="14.4">
      <c r="A1050">
        <v>13367</v>
      </c>
      <c r="B1050">
        <v>13368</v>
      </c>
      <c r="C1050">
        <v>4086</v>
      </c>
      <c r="D1050" t="s">
        <v>390</v>
      </c>
      <c r="E1050" t="s">
        <v>41</v>
      </c>
      <c r="F1050">
        <v>8721</v>
      </c>
      <c r="G1050" t="s">
        <v>392</v>
      </c>
      <c r="H1050" t="s">
        <v>38</v>
      </c>
      <c r="I1050">
        <v>86988</v>
      </c>
      <c r="J1050">
        <v>76088</v>
      </c>
      <c r="K1050">
        <v>10900</v>
      </c>
      <c r="L1050">
        <v>0</v>
      </c>
      <c r="M1050">
        <v>0</v>
      </c>
      <c r="N1050">
        <v>0</v>
      </c>
    </row>
    <row r="1051" spans="1:14" ht="14.4">
      <c r="A1051">
        <v>13367</v>
      </c>
      <c r="B1051">
        <v>13368</v>
      </c>
      <c r="C1051">
        <v>4086</v>
      </c>
      <c r="D1051" t="s">
        <v>390</v>
      </c>
      <c r="E1051" t="s">
        <v>41</v>
      </c>
      <c r="F1051">
        <v>8721</v>
      </c>
      <c r="G1051" t="s">
        <v>402</v>
      </c>
      <c r="H1051" t="s">
        <v>38</v>
      </c>
      <c r="I1051">
        <v>28406309</v>
      </c>
      <c r="J1051">
        <v>21271895</v>
      </c>
      <c r="K1051">
        <v>7134414</v>
      </c>
      <c r="L1051">
        <v>11196200</v>
      </c>
      <c r="M1051">
        <v>8088700</v>
      </c>
      <c r="N1051">
        <v>3107500</v>
      </c>
    </row>
    <row r="1052" spans="1:14" ht="14.4">
      <c r="A1052">
        <v>13367</v>
      </c>
      <c r="B1052">
        <v>13368</v>
      </c>
      <c r="C1052">
        <v>4086</v>
      </c>
      <c r="D1052" t="s">
        <v>390</v>
      </c>
      <c r="E1052" t="s">
        <v>41</v>
      </c>
      <c r="F1052">
        <v>8722</v>
      </c>
      <c r="G1052" t="s">
        <v>402</v>
      </c>
      <c r="H1052" t="s">
        <v>38</v>
      </c>
      <c r="I1052">
        <v>103457</v>
      </c>
      <c r="J1052">
        <v>56632</v>
      </c>
      <c r="K1052">
        <v>46825</v>
      </c>
      <c r="L1052">
        <v>0</v>
      </c>
      <c r="M1052">
        <v>0</v>
      </c>
      <c r="N1052">
        <v>0</v>
      </c>
    </row>
    <row r="1053" spans="1:14" ht="14.4">
      <c r="A1053">
        <v>13367</v>
      </c>
      <c r="B1053">
        <v>13368</v>
      </c>
      <c r="C1053">
        <v>4086</v>
      </c>
      <c r="D1053" t="s">
        <v>390</v>
      </c>
      <c r="E1053" t="s">
        <v>41</v>
      </c>
      <c r="F1053">
        <v>8734</v>
      </c>
      <c r="G1053" t="s">
        <v>402</v>
      </c>
      <c r="H1053" t="s">
        <v>38</v>
      </c>
      <c r="I1053">
        <v>145036</v>
      </c>
      <c r="J1053">
        <v>118436</v>
      </c>
      <c r="K1053">
        <v>26600</v>
      </c>
      <c r="L1053">
        <v>104200</v>
      </c>
      <c r="M1053">
        <v>77600</v>
      </c>
      <c r="N1053">
        <v>26600</v>
      </c>
    </row>
    <row r="1054" spans="1:14" ht="14.4">
      <c r="A1054">
        <v>13367</v>
      </c>
      <c r="B1054">
        <v>13368</v>
      </c>
      <c r="C1054">
        <v>4086</v>
      </c>
      <c r="D1054" t="s">
        <v>390</v>
      </c>
      <c r="E1054" t="s">
        <v>41</v>
      </c>
      <c r="F1054">
        <v>8751</v>
      </c>
      <c r="G1054" t="s">
        <v>402</v>
      </c>
      <c r="H1054" t="s">
        <v>38</v>
      </c>
      <c r="I1054">
        <v>78397</v>
      </c>
      <c r="J1054">
        <v>65553</v>
      </c>
      <c r="K1054">
        <v>12844</v>
      </c>
      <c r="L1054">
        <v>0</v>
      </c>
      <c r="M1054">
        <v>0</v>
      </c>
      <c r="N1054">
        <v>0</v>
      </c>
    </row>
    <row r="1055" spans="1:14" ht="14.4">
      <c r="A1055">
        <v>13367</v>
      </c>
      <c r="B1055">
        <v>13368</v>
      </c>
      <c r="C1055">
        <v>4086</v>
      </c>
      <c r="D1055" t="s">
        <v>390</v>
      </c>
      <c r="E1055" t="s">
        <v>1436</v>
      </c>
      <c r="F1055">
        <v>8008</v>
      </c>
      <c r="G1055" t="s">
        <v>402</v>
      </c>
      <c r="H1055" t="s">
        <v>38</v>
      </c>
      <c r="I1055">
        <v>18057</v>
      </c>
      <c r="J1055">
        <v>6057</v>
      </c>
      <c r="K1055">
        <v>12000</v>
      </c>
      <c r="L1055">
        <v>0</v>
      </c>
      <c r="M1055">
        <v>0</v>
      </c>
      <c r="N1055">
        <v>0</v>
      </c>
    </row>
    <row r="1056" spans="1:14" ht="14.4">
      <c r="A1056">
        <v>13367</v>
      </c>
      <c r="B1056">
        <v>13368</v>
      </c>
      <c r="C1056">
        <v>4086</v>
      </c>
      <c r="D1056" t="s">
        <v>390</v>
      </c>
      <c r="E1056" t="s">
        <v>417</v>
      </c>
      <c r="F1056">
        <v>8008</v>
      </c>
      <c r="G1056" t="s">
        <v>402</v>
      </c>
      <c r="H1056" t="s">
        <v>38</v>
      </c>
      <c r="I1056">
        <v>16976665</v>
      </c>
      <c r="J1056">
        <v>11764262</v>
      </c>
      <c r="K1056">
        <v>5212403</v>
      </c>
      <c r="L1056">
        <v>5843900</v>
      </c>
      <c r="M1056">
        <v>3776800</v>
      </c>
      <c r="N1056">
        <v>2067100</v>
      </c>
    </row>
    <row r="1057" spans="1:14" ht="14.4">
      <c r="A1057">
        <v>13367</v>
      </c>
      <c r="B1057">
        <v>13368</v>
      </c>
      <c r="C1057">
        <v>4086</v>
      </c>
      <c r="D1057" t="s">
        <v>390</v>
      </c>
      <c r="E1057" t="s">
        <v>418</v>
      </c>
      <c r="F1057">
        <v>8008</v>
      </c>
      <c r="G1057" t="s">
        <v>402</v>
      </c>
      <c r="H1057" t="s">
        <v>38</v>
      </c>
      <c r="I1057">
        <v>805349</v>
      </c>
      <c r="J1057">
        <v>619958</v>
      </c>
      <c r="K1057">
        <v>185391</v>
      </c>
      <c r="L1057">
        <v>303800</v>
      </c>
      <c r="M1057">
        <v>217800</v>
      </c>
      <c r="N1057">
        <v>86000</v>
      </c>
    </row>
    <row r="1058" spans="1:14" ht="14.4">
      <c r="A1058">
        <v>13367</v>
      </c>
      <c r="B1058">
        <v>13368</v>
      </c>
      <c r="C1058">
        <v>4086</v>
      </c>
      <c r="D1058" t="s">
        <v>390</v>
      </c>
      <c r="E1058" t="s">
        <v>420</v>
      </c>
      <c r="F1058">
        <v>8008</v>
      </c>
      <c r="G1058" t="s">
        <v>402</v>
      </c>
      <c r="H1058" t="s">
        <v>38</v>
      </c>
      <c r="I1058">
        <v>492922</v>
      </c>
      <c r="J1058">
        <v>326492</v>
      </c>
      <c r="K1058">
        <v>166430</v>
      </c>
      <c r="L1058">
        <v>197800</v>
      </c>
      <c r="M1058">
        <v>134200</v>
      </c>
      <c r="N1058">
        <v>63600</v>
      </c>
    </row>
    <row r="1059" spans="1:14" ht="14.4">
      <c r="A1059">
        <v>13367</v>
      </c>
      <c r="B1059">
        <v>13368</v>
      </c>
      <c r="C1059">
        <v>4086</v>
      </c>
      <c r="D1059" t="s">
        <v>390</v>
      </c>
      <c r="E1059" t="s">
        <v>420</v>
      </c>
      <c r="F1059">
        <v>8009</v>
      </c>
      <c r="G1059" t="s">
        <v>402</v>
      </c>
      <c r="H1059" t="s">
        <v>38</v>
      </c>
      <c r="I1059">
        <v>90226</v>
      </c>
      <c r="J1059">
        <v>49576</v>
      </c>
      <c r="K1059">
        <v>40650</v>
      </c>
      <c r="L1059">
        <v>0</v>
      </c>
      <c r="M1059">
        <v>0</v>
      </c>
      <c r="N1059">
        <v>0</v>
      </c>
    </row>
    <row r="1060" spans="1:14" ht="14.4">
      <c r="A1060">
        <v>13367</v>
      </c>
      <c r="B1060">
        <v>13368</v>
      </c>
      <c r="C1060">
        <v>4086</v>
      </c>
      <c r="D1060" t="s">
        <v>390</v>
      </c>
      <c r="E1060" t="s">
        <v>421</v>
      </c>
      <c r="F1060">
        <v>8008</v>
      </c>
      <c r="G1060" t="s">
        <v>402</v>
      </c>
      <c r="H1060" t="s">
        <v>38</v>
      </c>
      <c r="I1060">
        <v>497298</v>
      </c>
      <c r="J1060">
        <v>345123</v>
      </c>
      <c r="K1060">
        <v>152175</v>
      </c>
      <c r="L1060">
        <v>69900</v>
      </c>
      <c r="M1060">
        <v>39400</v>
      </c>
      <c r="N1060">
        <v>30500</v>
      </c>
    </row>
    <row r="1061" spans="1:14" ht="14.4">
      <c r="A1061">
        <v>13367</v>
      </c>
      <c r="B1061">
        <v>13368</v>
      </c>
      <c r="C1061">
        <v>4086</v>
      </c>
      <c r="D1061" t="s">
        <v>390</v>
      </c>
      <c r="E1061" t="s">
        <v>1437</v>
      </c>
      <c r="F1061">
        <v>8008</v>
      </c>
      <c r="G1061" t="s">
        <v>402</v>
      </c>
      <c r="H1061" t="s">
        <v>38</v>
      </c>
      <c r="I1061">
        <v>93413</v>
      </c>
      <c r="J1061">
        <v>73813</v>
      </c>
      <c r="K1061">
        <v>19600</v>
      </c>
      <c r="L1061">
        <v>0</v>
      </c>
      <c r="M1061">
        <v>0</v>
      </c>
      <c r="N1061">
        <v>0</v>
      </c>
    </row>
    <row r="1062" spans="1:14" ht="14.4">
      <c r="A1062">
        <v>13367</v>
      </c>
      <c r="B1062">
        <v>13368</v>
      </c>
      <c r="C1062">
        <v>4086</v>
      </c>
      <c r="D1062" t="s">
        <v>390</v>
      </c>
      <c r="E1062" t="s">
        <v>1438</v>
      </c>
      <c r="F1062">
        <v>8008</v>
      </c>
      <c r="G1062" t="s">
        <v>402</v>
      </c>
      <c r="H1062" t="s">
        <v>38</v>
      </c>
      <c r="I1062">
        <v>67946</v>
      </c>
      <c r="J1062">
        <v>47346</v>
      </c>
      <c r="K1062">
        <v>20600</v>
      </c>
      <c r="L1062">
        <v>58000</v>
      </c>
      <c r="M1062">
        <v>47400</v>
      </c>
      <c r="N1062">
        <v>10600</v>
      </c>
    </row>
    <row r="1063" spans="1:14" ht="14.4">
      <c r="A1063">
        <v>13367</v>
      </c>
      <c r="B1063">
        <v>13368</v>
      </c>
      <c r="C1063">
        <v>4086</v>
      </c>
      <c r="D1063" t="s">
        <v>390</v>
      </c>
      <c r="E1063" t="s">
        <v>422</v>
      </c>
      <c r="F1063">
        <v>8008</v>
      </c>
      <c r="G1063" t="s">
        <v>402</v>
      </c>
      <c r="H1063" t="s">
        <v>38</v>
      </c>
      <c r="I1063">
        <v>593084</v>
      </c>
      <c r="J1063">
        <v>397319</v>
      </c>
      <c r="K1063">
        <v>195765</v>
      </c>
      <c r="L1063">
        <v>148300</v>
      </c>
      <c r="M1063">
        <v>108300</v>
      </c>
      <c r="N1063">
        <v>40000</v>
      </c>
    </row>
    <row r="1064" spans="1:14" ht="14.4">
      <c r="A1064">
        <v>13367</v>
      </c>
      <c r="B1064">
        <v>13368</v>
      </c>
      <c r="C1064">
        <v>4086</v>
      </c>
      <c r="D1064" t="s">
        <v>390</v>
      </c>
      <c r="E1064" t="s">
        <v>423</v>
      </c>
      <c r="F1064">
        <v>7066</v>
      </c>
      <c r="G1064" t="s">
        <v>402</v>
      </c>
      <c r="H1064" t="s">
        <v>38</v>
      </c>
      <c r="I1064">
        <v>196538</v>
      </c>
      <c r="J1064">
        <v>163238</v>
      </c>
      <c r="K1064">
        <v>33300</v>
      </c>
      <c r="L1064">
        <v>0</v>
      </c>
      <c r="M1064">
        <v>0</v>
      </c>
      <c r="N1064">
        <v>0</v>
      </c>
    </row>
    <row r="1065" spans="1:14" ht="14.4">
      <c r="A1065">
        <v>13367</v>
      </c>
      <c r="B1065">
        <v>13368</v>
      </c>
      <c r="C1065">
        <v>4086</v>
      </c>
      <c r="D1065" t="s">
        <v>390</v>
      </c>
      <c r="E1065" t="s">
        <v>423</v>
      </c>
      <c r="F1065">
        <v>8050</v>
      </c>
      <c r="G1065" t="s">
        <v>402</v>
      </c>
      <c r="H1065" t="s">
        <v>38</v>
      </c>
      <c r="I1065">
        <v>115018</v>
      </c>
      <c r="J1065">
        <v>98498</v>
      </c>
      <c r="K1065">
        <v>16520</v>
      </c>
      <c r="L1065">
        <v>0</v>
      </c>
      <c r="M1065">
        <v>0</v>
      </c>
      <c r="N1065">
        <v>0</v>
      </c>
    </row>
    <row r="1066" spans="1:14" ht="14.4">
      <c r="A1066">
        <v>13367</v>
      </c>
      <c r="B1066">
        <v>13368</v>
      </c>
      <c r="C1066">
        <v>4086</v>
      </c>
      <c r="D1066" t="s">
        <v>390</v>
      </c>
      <c r="E1066" t="s">
        <v>1439</v>
      </c>
      <c r="F1066">
        <v>8008</v>
      </c>
      <c r="G1066" t="s">
        <v>402</v>
      </c>
      <c r="H1066" t="s">
        <v>38</v>
      </c>
      <c r="I1066">
        <v>90619</v>
      </c>
      <c r="J1066">
        <v>58919</v>
      </c>
      <c r="K1066">
        <v>31700</v>
      </c>
      <c r="L1066">
        <v>0</v>
      </c>
      <c r="M1066">
        <v>0</v>
      </c>
      <c r="N1066">
        <v>0</v>
      </c>
    </row>
    <row r="1067" spans="1:14" ht="14.4">
      <c r="A1067">
        <v>13367</v>
      </c>
      <c r="B1067">
        <v>13368</v>
      </c>
      <c r="C1067">
        <v>4086</v>
      </c>
      <c r="D1067" t="s">
        <v>390</v>
      </c>
      <c r="E1067" t="s">
        <v>1440</v>
      </c>
      <c r="F1067">
        <v>8050</v>
      </c>
      <c r="G1067" t="s">
        <v>402</v>
      </c>
      <c r="H1067" t="s">
        <v>38</v>
      </c>
      <c r="I1067">
        <v>171955</v>
      </c>
      <c r="J1067">
        <v>126155</v>
      </c>
      <c r="K1067">
        <v>45800</v>
      </c>
      <c r="L1067">
        <v>0</v>
      </c>
      <c r="M1067">
        <v>0</v>
      </c>
      <c r="N1067">
        <v>0</v>
      </c>
    </row>
    <row r="1068" spans="1:14" ht="14.4">
      <c r="A1068">
        <v>13367</v>
      </c>
      <c r="B1068">
        <v>13368</v>
      </c>
      <c r="C1068">
        <v>4086</v>
      </c>
      <c r="D1068" t="s">
        <v>390</v>
      </c>
      <c r="E1068" t="s">
        <v>424</v>
      </c>
      <c r="F1068">
        <v>8722</v>
      </c>
      <c r="G1068" t="s">
        <v>402</v>
      </c>
      <c r="H1068" t="s">
        <v>38</v>
      </c>
      <c r="I1068">
        <v>421712</v>
      </c>
      <c r="J1068">
        <v>341588</v>
      </c>
      <c r="K1068">
        <v>80124</v>
      </c>
      <c r="L1068">
        <v>156600</v>
      </c>
      <c r="M1068">
        <v>133200</v>
      </c>
      <c r="N1068">
        <v>23400</v>
      </c>
    </row>
    <row r="1069" spans="1:14" ht="14.4">
      <c r="A1069">
        <v>13367</v>
      </c>
      <c r="B1069">
        <v>13368</v>
      </c>
      <c r="C1069">
        <v>4086</v>
      </c>
      <c r="D1069" t="s">
        <v>390</v>
      </c>
      <c r="E1069" t="s">
        <v>424</v>
      </c>
      <c r="F1069">
        <v>8752</v>
      </c>
      <c r="G1069" t="s">
        <v>402</v>
      </c>
      <c r="H1069" t="s">
        <v>38</v>
      </c>
      <c r="I1069">
        <v>71024</v>
      </c>
      <c r="J1069">
        <v>70574</v>
      </c>
      <c r="K1069">
        <v>450</v>
      </c>
      <c r="L1069">
        <v>0</v>
      </c>
      <c r="M1069">
        <v>0</v>
      </c>
      <c r="N1069">
        <v>0</v>
      </c>
    </row>
    <row r="1070" spans="1:14" ht="14.4">
      <c r="A1070">
        <v>13367</v>
      </c>
      <c r="B1070">
        <v>13368</v>
      </c>
      <c r="C1070">
        <v>4086</v>
      </c>
      <c r="D1070" t="s">
        <v>390</v>
      </c>
      <c r="E1070" t="s">
        <v>1441</v>
      </c>
      <c r="F1070">
        <v>8223</v>
      </c>
      <c r="G1070" t="s">
        <v>404</v>
      </c>
      <c r="H1070" t="s">
        <v>38</v>
      </c>
      <c r="I1070">
        <v>25639</v>
      </c>
      <c r="J1070">
        <v>25639</v>
      </c>
      <c r="K1070">
        <v>0</v>
      </c>
      <c r="L1070">
        <v>23600</v>
      </c>
      <c r="M1070">
        <v>23600</v>
      </c>
      <c r="N1070">
        <v>0</v>
      </c>
    </row>
    <row r="1071" spans="1:14" ht="14.4">
      <c r="A1071">
        <v>13367</v>
      </c>
      <c r="B1071">
        <v>13368</v>
      </c>
      <c r="C1071">
        <v>4086</v>
      </c>
      <c r="D1071" t="s">
        <v>390</v>
      </c>
      <c r="E1071" t="s">
        <v>426</v>
      </c>
      <c r="F1071">
        <v>7701</v>
      </c>
      <c r="G1071" t="s">
        <v>392</v>
      </c>
      <c r="H1071" t="s">
        <v>38</v>
      </c>
      <c r="I1071">
        <v>4100</v>
      </c>
      <c r="J1071">
        <v>0</v>
      </c>
      <c r="K1071">
        <v>4100</v>
      </c>
      <c r="L1071">
        <v>0</v>
      </c>
      <c r="M1071">
        <v>0</v>
      </c>
      <c r="N1071">
        <v>0</v>
      </c>
    </row>
    <row r="1072" spans="1:14" ht="14.4">
      <c r="A1072">
        <v>13367</v>
      </c>
      <c r="B1072">
        <v>13368</v>
      </c>
      <c r="C1072">
        <v>4086</v>
      </c>
      <c r="D1072" t="s">
        <v>390</v>
      </c>
      <c r="E1072" t="s">
        <v>426</v>
      </c>
      <c r="F1072">
        <v>7718</v>
      </c>
      <c r="G1072" t="s">
        <v>392</v>
      </c>
      <c r="H1072" t="s">
        <v>38</v>
      </c>
      <c r="I1072">
        <v>4233312</v>
      </c>
      <c r="J1072">
        <v>2930108</v>
      </c>
      <c r="K1072">
        <v>1303204</v>
      </c>
      <c r="L1072">
        <v>2074300</v>
      </c>
      <c r="M1072">
        <v>1382800</v>
      </c>
      <c r="N1072">
        <v>691500</v>
      </c>
    </row>
    <row r="1073" spans="1:14" ht="14.4">
      <c r="A1073">
        <v>13367</v>
      </c>
      <c r="B1073">
        <v>13368</v>
      </c>
      <c r="C1073">
        <v>4086</v>
      </c>
      <c r="D1073" t="s">
        <v>390</v>
      </c>
      <c r="E1073" t="s">
        <v>1442</v>
      </c>
      <c r="F1073">
        <v>8502</v>
      </c>
      <c r="G1073" t="s">
        <v>413</v>
      </c>
      <c r="H1073" t="s">
        <v>38</v>
      </c>
      <c r="I1073">
        <v>135766</v>
      </c>
      <c r="J1073">
        <v>128926</v>
      </c>
      <c r="K1073">
        <v>6840</v>
      </c>
      <c r="L1073">
        <v>52300</v>
      </c>
      <c r="M1073">
        <v>48800</v>
      </c>
      <c r="N1073">
        <v>3500</v>
      </c>
    </row>
    <row r="1074" spans="1:14" ht="14.4">
      <c r="A1074">
        <v>13367</v>
      </c>
      <c r="B1074">
        <v>13368</v>
      </c>
      <c r="C1074">
        <v>4086</v>
      </c>
      <c r="D1074" t="s">
        <v>390</v>
      </c>
      <c r="E1074" t="s">
        <v>427</v>
      </c>
      <c r="F1074">
        <v>7109</v>
      </c>
      <c r="G1074" t="s">
        <v>428</v>
      </c>
      <c r="H1074" t="s">
        <v>38</v>
      </c>
      <c r="I1074">
        <v>236393</v>
      </c>
      <c r="J1074">
        <v>165233</v>
      </c>
      <c r="K1074">
        <v>71160</v>
      </c>
      <c r="L1074">
        <v>87000</v>
      </c>
      <c r="M1074">
        <v>50500</v>
      </c>
      <c r="N1074">
        <v>36500</v>
      </c>
    </row>
    <row r="1075" spans="1:14" ht="14.4">
      <c r="A1075">
        <v>13367</v>
      </c>
      <c r="B1075">
        <v>13368</v>
      </c>
      <c r="C1075">
        <v>4086</v>
      </c>
      <c r="D1075" t="s">
        <v>390</v>
      </c>
      <c r="E1075" t="s">
        <v>430</v>
      </c>
      <c r="F1075">
        <v>7029</v>
      </c>
      <c r="G1075" t="s">
        <v>392</v>
      </c>
      <c r="H1075" t="s">
        <v>38</v>
      </c>
      <c r="I1075">
        <v>38761</v>
      </c>
      <c r="J1075">
        <v>18011</v>
      </c>
      <c r="K1075">
        <v>20750</v>
      </c>
      <c r="L1075">
        <v>0</v>
      </c>
      <c r="M1075">
        <v>0</v>
      </c>
      <c r="N1075">
        <v>0</v>
      </c>
    </row>
    <row r="1076" spans="1:14" ht="14.4">
      <c r="A1076">
        <v>13367</v>
      </c>
      <c r="B1076">
        <v>13368</v>
      </c>
      <c r="C1076">
        <v>4086</v>
      </c>
      <c r="D1076" t="s">
        <v>390</v>
      </c>
      <c r="E1076" t="s">
        <v>430</v>
      </c>
      <c r="F1076">
        <v>7719</v>
      </c>
      <c r="G1076" t="s">
        <v>37</v>
      </c>
      <c r="H1076" t="s">
        <v>38</v>
      </c>
      <c r="I1076">
        <v>69730</v>
      </c>
      <c r="J1076">
        <v>54980</v>
      </c>
      <c r="K1076">
        <v>14750</v>
      </c>
      <c r="L1076">
        <v>0</v>
      </c>
      <c r="M1076">
        <v>0</v>
      </c>
      <c r="N1076">
        <v>0</v>
      </c>
    </row>
    <row r="1077" spans="1:14" ht="14.4">
      <c r="A1077">
        <v>13367</v>
      </c>
      <c r="B1077">
        <v>13368</v>
      </c>
      <c r="C1077">
        <v>4086</v>
      </c>
      <c r="D1077" t="s">
        <v>390</v>
      </c>
      <c r="E1077" t="s">
        <v>430</v>
      </c>
      <c r="F1077">
        <v>7719</v>
      </c>
      <c r="G1077" t="s">
        <v>392</v>
      </c>
      <c r="H1077" t="s">
        <v>38</v>
      </c>
      <c r="I1077">
        <v>10538575</v>
      </c>
      <c r="J1077">
        <v>7546152</v>
      </c>
      <c r="K1077">
        <v>2992423</v>
      </c>
      <c r="L1077">
        <v>5078900</v>
      </c>
      <c r="M1077">
        <v>3467300</v>
      </c>
      <c r="N1077">
        <v>1611600</v>
      </c>
    </row>
    <row r="1078" spans="1:14" ht="14.4">
      <c r="A1078">
        <v>13367</v>
      </c>
      <c r="B1078">
        <v>13368</v>
      </c>
      <c r="C1078">
        <v>4086</v>
      </c>
      <c r="D1078" t="s">
        <v>390</v>
      </c>
      <c r="E1078" t="s">
        <v>430</v>
      </c>
      <c r="F1078">
        <v>8750</v>
      </c>
      <c r="G1078" t="s">
        <v>392</v>
      </c>
      <c r="H1078" t="s">
        <v>38</v>
      </c>
      <c r="I1078">
        <v>101027</v>
      </c>
      <c r="J1078">
        <v>63897</v>
      </c>
      <c r="K1078">
        <v>37130</v>
      </c>
      <c r="L1078">
        <v>62500</v>
      </c>
      <c r="M1078">
        <v>27400</v>
      </c>
      <c r="N1078">
        <v>35100</v>
      </c>
    </row>
    <row r="1079" spans="1:14" ht="14.4">
      <c r="A1079">
        <v>13367</v>
      </c>
      <c r="B1079">
        <v>13368</v>
      </c>
      <c r="C1079">
        <v>4086</v>
      </c>
      <c r="D1079" t="s">
        <v>390</v>
      </c>
      <c r="E1079" t="s">
        <v>430</v>
      </c>
      <c r="F1079">
        <v>8857</v>
      </c>
      <c r="G1079" t="s">
        <v>392</v>
      </c>
      <c r="H1079" t="s">
        <v>38</v>
      </c>
      <c r="I1079">
        <v>65312</v>
      </c>
      <c r="J1079">
        <v>48287</v>
      </c>
      <c r="K1079">
        <v>17025</v>
      </c>
      <c r="L1079">
        <v>44100</v>
      </c>
      <c r="M1079">
        <v>27100</v>
      </c>
      <c r="N1079">
        <v>17000</v>
      </c>
    </row>
    <row r="1080" spans="1:14" ht="14.4">
      <c r="A1080">
        <v>13367</v>
      </c>
      <c r="B1080">
        <v>13368</v>
      </c>
      <c r="C1080">
        <v>4086</v>
      </c>
      <c r="D1080" t="s">
        <v>390</v>
      </c>
      <c r="E1080" t="s">
        <v>433</v>
      </c>
      <c r="F1080">
        <v>7621</v>
      </c>
      <c r="G1080" t="s">
        <v>76</v>
      </c>
      <c r="H1080" t="s">
        <v>38</v>
      </c>
      <c r="I1080">
        <v>354550</v>
      </c>
      <c r="J1080">
        <v>278440</v>
      </c>
      <c r="K1080">
        <v>76110</v>
      </c>
      <c r="L1080">
        <v>123200</v>
      </c>
      <c r="M1080">
        <v>114800</v>
      </c>
      <c r="N1080">
        <v>8400</v>
      </c>
    </row>
    <row r="1081" spans="1:14" ht="14.4">
      <c r="A1081">
        <v>13367</v>
      </c>
      <c r="B1081">
        <v>13368</v>
      </c>
      <c r="C1081">
        <v>4086</v>
      </c>
      <c r="D1081" t="s">
        <v>390</v>
      </c>
      <c r="E1081" t="s">
        <v>915</v>
      </c>
      <c r="F1081">
        <v>8721</v>
      </c>
      <c r="G1081" t="s">
        <v>402</v>
      </c>
      <c r="H1081" t="s">
        <v>38</v>
      </c>
      <c r="I1081">
        <v>79395</v>
      </c>
      <c r="J1081">
        <v>47260</v>
      </c>
      <c r="K1081">
        <v>32135</v>
      </c>
      <c r="L1081">
        <v>0</v>
      </c>
      <c r="M1081">
        <v>0</v>
      </c>
      <c r="N1081">
        <v>0</v>
      </c>
    </row>
    <row r="1082" spans="1:14" ht="14.4">
      <c r="A1082">
        <v>13367</v>
      </c>
      <c r="B1082">
        <v>13368</v>
      </c>
      <c r="C1082">
        <v>4086</v>
      </c>
      <c r="D1082" t="s">
        <v>390</v>
      </c>
      <c r="E1082" t="s">
        <v>434</v>
      </c>
      <c r="F1082">
        <v>7922</v>
      </c>
      <c r="G1082" t="s">
        <v>435</v>
      </c>
      <c r="H1082" t="s">
        <v>38</v>
      </c>
      <c r="I1082">
        <v>52893</v>
      </c>
      <c r="J1082">
        <v>38061</v>
      </c>
      <c r="K1082">
        <v>14832</v>
      </c>
      <c r="L1082">
        <v>13400</v>
      </c>
      <c r="M1082">
        <v>10900</v>
      </c>
      <c r="N1082">
        <v>2500</v>
      </c>
    </row>
    <row r="1083" spans="1:14" ht="14.4">
      <c r="A1083">
        <v>13367</v>
      </c>
      <c r="B1083">
        <v>13368</v>
      </c>
      <c r="C1083">
        <v>4086</v>
      </c>
      <c r="D1083" t="s">
        <v>390</v>
      </c>
      <c r="E1083" t="s">
        <v>1443</v>
      </c>
      <c r="F1083">
        <v>8752</v>
      </c>
      <c r="G1083" t="s">
        <v>402</v>
      </c>
      <c r="H1083" t="s">
        <v>38</v>
      </c>
      <c r="I1083">
        <v>103437</v>
      </c>
      <c r="J1083">
        <v>88877</v>
      </c>
      <c r="K1083">
        <v>14560</v>
      </c>
      <c r="L1083">
        <v>0</v>
      </c>
      <c r="M1083">
        <v>0</v>
      </c>
      <c r="N1083">
        <v>0</v>
      </c>
    </row>
    <row r="1084" spans="1:14" ht="14.4">
      <c r="A1084">
        <v>13367</v>
      </c>
      <c r="B1084">
        <v>13368</v>
      </c>
      <c r="C1084">
        <v>4086</v>
      </c>
      <c r="D1084" t="s">
        <v>390</v>
      </c>
      <c r="E1084" t="s">
        <v>1444</v>
      </c>
      <c r="F1084">
        <v>8009</v>
      </c>
      <c r="G1084" t="s">
        <v>465</v>
      </c>
      <c r="H1084" t="s">
        <v>38</v>
      </c>
      <c r="I1084">
        <v>22887</v>
      </c>
      <c r="J1084">
        <v>22887</v>
      </c>
      <c r="K1084">
        <v>0</v>
      </c>
      <c r="L1084">
        <v>0</v>
      </c>
      <c r="M1084">
        <v>0</v>
      </c>
      <c r="N1084">
        <v>0</v>
      </c>
    </row>
    <row r="1085" spans="1:14" ht="14.4">
      <c r="A1085">
        <v>13367</v>
      </c>
      <c r="B1085">
        <v>13368</v>
      </c>
      <c r="C1085">
        <v>4086</v>
      </c>
      <c r="D1085" t="s">
        <v>390</v>
      </c>
      <c r="E1085" t="s">
        <v>437</v>
      </c>
      <c r="F1085">
        <v>7924</v>
      </c>
      <c r="G1085" t="s">
        <v>413</v>
      </c>
      <c r="H1085" t="s">
        <v>38</v>
      </c>
      <c r="I1085">
        <v>578167</v>
      </c>
      <c r="J1085">
        <v>574192</v>
      </c>
      <c r="K1085">
        <v>3975</v>
      </c>
      <c r="L1085">
        <v>309600</v>
      </c>
      <c r="M1085">
        <v>308700</v>
      </c>
      <c r="N1085">
        <v>900</v>
      </c>
    </row>
    <row r="1086" spans="1:14" ht="14.4">
      <c r="A1086">
        <v>13367</v>
      </c>
      <c r="B1086">
        <v>13368</v>
      </c>
      <c r="C1086">
        <v>4086</v>
      </c>
      <c r="D1086" t="s">
        <v>390</v>
      </c>
      <c r="E1086" t="s">
        <v>1445</v>
      </c>
      <c r="F1086">
        <v>8012</v>
      </c>
      <c r="G1086" t="s">
        <v>465</v>
      </c>
      <c r="H1086" t="s">
        <v>38</v>
      </c>
      <c r="I1086">
        <v>11917</v>
      </c>
      <c r="J1086">
        <v>11917</v>
      </c>
      <c r="K1086">
        <v>0</v>
      </c>
      <c r="L1086">
        <v>6000</v>
      </c>
      <c r="M1086">
        <v>6000</v>
      </c>
      <c r="N1086">
        <v>0</v>
      </c>
    </row>
    <row r="1087" spans="1:14" ht="14.4">
      <c r="A1087">
        <v>13367</v>
      </c>
      <c r="B1087">
        <v>13368</v>
      </c>
      <c r="C1087">
        <v>4086</v>
      </c>
      <c r="D1087" t="s">
        <v>390</v>
      </c>
      <c r="E1087" t="s">
        <v>1446</v>
      </c>
      <c r="F1087">
        <v>7825</v>
      </c>
      <c r="G1087" t="s">
        <v>398</v>
      </c>
      <c r="H1087" t="s">
        <v>38</v>
      </c>
      <c r="I1087">
        <v>75869</v>
      </c>
      <c r="J1087">
        <v>74319</v>
      </c>
      <c r="K1087">
        <v>1550</v>
      </c>
      <c r="L1087">
        <v>54700</v>
      </c>
      <c r="M1087">
        <v>53200</v>
      </c>
      <c r="N1087">
        <v>1500</v>
      </c>
    </row>
    <row r="1088" spans="1:14" ht="14.4">
      <c r="A1088">
        <v>13367</v>
      </c>
      <c r="B1088">
        <v>13368</v>
      </c>
      <c r="C1088">
        <v>4086</v>
      </c>
      <c r="D1088" t="s">
        <v>390</v>
      </c>
      <c r="E1088" t="s">
        <v>439</v>
      </c>
      <c r="F1088">
        <v>7003</v>
      </c>
      <c r="G1088" t="s">
        <v>428</v>
      </c>
      <c r="H1088" t="s">
        <v>38</v>
      </c>
      <c r="I1088">
        <v>378042</v>
      </c>
      <c r="J1088">
        <v>345592</v>
      </c>
      <c r="K1088">
        <v>32450</v>
      </c>
      <c r="L1088">
        <v>131100</v>
      </c>
      <c r="M1088">
        <v>120900</v>
      </c>
      <c r="N1088">
        <v>10200</v>
      </c>
    </row>
    <row r="1089" spans="1:14" ht="14.4">
      <c r="A1089">
        <v>13367</v>
      </c>
      <c r="B1089">
        <v>13368</v>
      </c>
      <c r="C1089">
        <v>4086</v>
      </c>
      <c r="D1089" t="s">
        <v>390</v>
      </c>
      <c r="E1089" t="s">
        <v>1447</v>
      </c>
      <c r="F1089">
        <v>8804</v>
      </c>
      <c r="G1089" t="s">
        <v>464</v>
      </c>
      <c r="H1089" t="s">
        <v>38</v>
      </c>
      <c r="I1089">
        <v>16034</v>
      </c>
      <c r="J1089">
        <v>16034</v>
      </c>
      <c r="K1089">
        <v>0</v>
      </c>
      <c r="L1089">
        <v>6300</v>
      </c>
      <c r="M1089">
        <v>6300</v>
      </c>
      <c r="N1089">
        <v>0</v>
      </c>
    </row>
    <row r="1090" spans="1:14" ht="14.4">
      <c r="A1090">
        <v>13367</v>
      </c>
      <c r="B1090">
        <v>13368</v>
      </c>
      <c r="C1090">
        <v>4086</v>
      </c>
      <c r="D1090" t="s">
        <v>390</v>
      </c>
      <c r="E1090" t="s">
        <v>1448</v>
      </c>
      <c r="F1090">
        <v>7603</v>
      </c>
      <c r="G1090" t="s">
        <v>76</v>
      </c>
      <c r="H1090" t="s">
        <v>38</v>
      </c>
      <c r="I1090">
        <v>41844</v>
      </c>
      <c r="J1090">
        <v>36694</v>
      </c>
      <c r="K1090">
        <v>5150</v>
      </c>
      <c r="L1090">
        <v>22900</v>
      </c>
      <c r="M1090">
        <v>19900</v>
      </c>
      <c r="N1090">
        <v>3000</v>
      </c>
    </row>
    <row r="1091" spans="1:14" ht="14.4">
      <c r="A1091">
        <v>13367</v>
      </c>
      <c r="B1091">
        <v>13368</v>
      </c>
      <c r="C1091">
        <v>4086</v>
      </c>
      <c r="D1091" t="s">
        <v>390</v>
      </c>
      <c r="E1091" t="s">
        <v>440</v>
      </c>
      <c r="F1091">
        <v>7005</v>
      </c>
      <c r="G1091" t="s">
        <v>441</v>
      </c>
      <c r="H1091" t="s">
        <v>38</v>
      </c>
      <c r="I1091">
        <v>461834</v>
      </c>
      <c r="J1091">
        <v>439234</v>
      </c>
      <c r="K1091">
        <v>22600</v>
      </c>
      <c r="L1091">
        <v>97600</v>
      </c>
      <c r="M1091">
        <v>97600</v>
      </c>
      <c r="N1091">
        <v>0</v>
      </c>
    </row>
    <row r="1092" spans="1:14" ht="14.4">
      <c r="A1092">
        <v>13367</v>
      </c>
      <c r="B1092">
        <v>13368</v>
      </c>
      <c r="C1092">
        <v>4086</v>
      </c>
      <c r="D1092" t="s">
        <v>390</v>
      </c>
      <c r="E1092" t="s">
        <v>442</v>
      </c>
      <c r="F1092">
        <v>8505</v>
      </c>
      <c r="G1092" t="s">
        <v>443</v>
      </c>
      <c r="H1092" t="s">
        <v>38</v>
      </c>
      <c r="I1092">
        <v>13768</v>
      </c>
      <c r="J1092">
        <v>13768</v>
      </c>
      <c r="K1092">
        <v>0</v>
      </c>
      <c r="L1092">
        <v>0</v>
      </c>
      <c r="M1092">
        <v>0</v>
      </c>
      <c r="N1092">
        <v>0</v>
      </c>
    </row>
    <row r="1093" spans="1:14" ht="14.4">
      <c r="A1093">
        <v>13367</v>
      </c>
      <c r="B1093">
        <v>13368</v>
      </c>
      <c r="C1093">
        <v>4086</v>
      </c>
      <c r="D1093" t="s">
        <v>390</v>
      </c>
      <c r="E1093" t="s">
        <v>444</v>
      </c>
      <c r="F1093">
        <v>8805</v>
      </c>
      <c r="G1093" t="s">
        <v>413</v>
      </c>
      <c r="H1093" t="s">
        <v>38</v>
      </c>
      <c r="I1093">
        <v>104724</v>
      </c>
      <c r="J1093">
        <v>101274</v>
      </c>
      <c r="K1093">
        <v>3450</v>
      </c>
      <c r="L1093">
        <v>66000</v>
      </c>
      <c r="M1093">
        <v>63800</v>
      </c>
      <c r="N1093">
        <v>2200</v>
      </c>
    </row>
    <row r="1094" spans="1:14" ht="14.4">
      <c r="A1094">
        <v>13367</v>
      </c>
      <c r="B1094">
        <v>13368</v>
      </c>
      <c r="C1094">
        <v>4086</v>
      </c>
      <c r="D1094" t="s">
        <v>390</v>
      </c>
      <c r="E1094" t="s">
        <v>445</v>
      </c>
      <c r="F1094">
        <v>7720</v>
      </c>
      <c r="G1094" t="s">
        <v>392</v>
      </c>
      <c r="H1094" t="s">
        <v>38</v>
      </c>
      <c r="I1094">
        <v>1294314</v>
      </c>
      <c r="J1094">
        <v>984990</v>
      </c>
      <c r="K1094">
        <v>309324</v>
      </c>
      <c r="L1094">
        <v>786800</v>
      </c>
      <c r="M1094">
        <v>587400</v>
      </c>
      <c r="N1094">
        <v>199400</v>
      </c>
    </row>
    <row r="1095" spans="1:14" ht="14.4">
      <c r="A1095">
        <v>13367</v>
      </c>
      <c r="B1095">
        <v>13368</v>
      </c>
      <c r="C1095">
        <v>4086</v>
      </c>
      <c r="D1095" t="s">
        <v>390</v>
      </c>
      <c r="E1095" t="s">
        <v>446</v>
      </c>
      <c r="F1095">
        <v>8853</v>
      </c>
      <c r="G1095" t="s">
        <v>413</v>
      </c>
      <c r="H1095" t="s">
        <v>38</v>
      </c>
      <c r="I1095">
        <v>113077</v>
      </c>
      <c r="J1095">
        <v>113077</v>
      </c>
      <c r="K1095">
        <v>0</v>
      </c>
      <c r="L1095">
        <v>90800</v>
      </c>
      <c r="M1095">
        <v>90800</v>
      </c>
      <c r="N1095">
        <v>0</v>
      </c>
    </row>
    <row r="1096" spans="1:14" ht="14.4">
      <c r="A1096">
        <v>13367</v>
      </c>
      <c r="B1096">
        <v>13368</v>
      </c>
      <c r="C1096">
        <v>4086</v>
      </c>
      <c r="D1096" t="s">
        <v>390</v>
      </c>
      <c r="E1096" t="s">
        <v>1449</v>
      </c>
      <c r="F1096">
        <v>7826</v>
      </c>
      <c r="G1096" t="s">
        <v>462</v>
      </c>
      <c r="H1096" t="s">
        <v>38</v>
      </c>
      <c r="I1096">
        <v>284104</v>
      </c>
      <c r="J1096">
        <v>260289</v>
      </c>
      <c r="K1096">
        <v>23815</v>
      </c>
      <c r="L1096">
        <v>176900</v>
      </c>
      <c r="M1096">
        <v>155300</v>
      </c>
      <c r="N1096">
        <v>21600</v>
      </c>
    </row>
    <row r="1097" spans="1:14" ht="14.4">
      <c r="A1097">
        <v>13367</v>
      </c>
      <c r="B1097">
        <v>13368</v>
      </c>
      <c r="C1097">
        <v>4086</v>
      </c>
      <c r="D1097" t="s">
        <v>390</v>
      </c>
      <c r="E1097" t="s">
        <v>447</v>
      </c>
      <c r="F1097">
        <v>8008</v>
      </c>
      <c r="G1097" t="s">
        <v>402</v>
      </c>
      <c r="H1097" t="s">
        <v>38</v>
      </c>
      <c r="I1097">
        <v>3391753</v>
      </c>
      <c r="J1097">
        <v>2397513</v>
      </c>
      <c r="K1097">
        <v>994240</v>
      </c>
      <c r="L1097">
        <v>1314500</v>
      </c>
      <c r="M1097">
        <v>891500</v>
      </c>
      <c r="N1097">
        <v>423000</v>
      </c>
    </row>
    <row r="1098" spans="1:14" ht="14.4">
      <c r="A1098">
        <v>13367</v>
      </c>
      <c r="B1098">
        <v>13368</v>
      </c>
      <c r="C1098">
        <v>4086</v>
      </c>
      <c r="D1098" t="s">
        <v>390</v>
      </c>
      <c r="E1098" t="s">
        <v>448</v>
      </c>
      <c r="F1098">
        <v>7044</v>
      </c>
      <c r="G1098" t="s">
        <v>402</v>
      </c>
      <c r="H1098" t="s">
        <v>38</v>
      </c>
      <c r="I1098">
        <v>37111</v>
      </c>
      <c r="J1098">
        <v>29771</v>
      </c>
      <c r="K1098">
        <v>7340</v>
      </c>
      <c r="L1098">
        <v>0</v>
      </c>
      <c r="M1098">
        <v>0</v>
      </c>
      <c r="N1098">
        <v>0</v>
      </c>
    </row>
    <row r="1099" spans="1:14" ht="14.4">
      <c r="A1099">
        <v>13367</v>
      </c>
      <c r="B1099">
        <v>13368</v>
      </c>
      <c r="C1099">
        <v>4086</v>
      </c>
      <c r="D1099" t="s">
        <v>390</v>
      </c>
      <c r="E1099" t="s">
        <v>448</v>
      </c>
      <c r="F1099">
        <v>8003</v>
      </c>
      <c r="G1099" t="s">
        <v>402</v>
      </c>
      <c r="H1099" t="s">
        <v>38</v>
      </c>
      <c r="I1099">
        <v>102660</v>
      </c>
      <c r="J1099">
        <v>81960</v>
      </c>
      <c r="K1099">
        <v>20700</v>
      </c>
      <c r="L1099">
        <v>0</v>
      </c>
      <c r="M1099">
        <v>0</v>
      </c>
      <c r="N1099">
        <v>0</v>
      </c>
    </row>
    <row r="1100" spans="1:14" ht="14.4">
      <c r="A1100">
        <v>13367</v>
      </c>
      <c r="B1100">
        <v>13368</v>
      </c>
      <c r="C1100">
        <v>4086</v>
      </c>
      <c r="D1100" t="s">
        <v>390</v>
      </c>
      <c r="E1100" t="s">
        <v>448</v>
      </c>
      <c r="F1100">
        <v>8005</v>
      </c>
      <c r="G1100" t="s">
        <v>402</v>
      </c>
      <c r="H1100" t="s">
        <v>38</v>
      </c>
      <c r="I1100">
        <v>4250</v>
      </c>
      <c r="J1100">
        <v>0</v>
      </c>
      <c r="K1100">
        <v>4250</v>
      </c>
      <c r="L1100">
        <v>0</v>
      </c>
      <c r="M1100">
        <v>0</v>
      </c>
      <c r="N1100">
        <v>0</v>
      </c>
    </row>
    <row r="1101" spans="1:14" ht="14.4">
      <c r="A1101">
        <v>13367</v>
      </c>
      <c r="B1101">
        <v>13368</v>
      </c>
      <c r="C1101">
        <v>4086</v>
      </c>
      <c r="D1101" t="s">
        <v>390</v>
      </c>
      <c r="E1101" t="s">
        <v>448</v>
      </c>
      <c r="F1101">
        <v>8215</v>
      </c>
      <c r="G1101" t="s">
        <v>402</v>
      </c>
      <c r="H1101" t="s">
        <v>38</v>
      </c>
      <c r="I1101">
        <v>5287</v>
      </c>
      <c r="J1101">
        <v>0</v>
      </c>
      <c r="K1101">
        <v>5287</v>
      </c>
      <c r="L1101">
        <v>0</v>
      </c>
      <c r="M1101">
        <v>0</v>
      </c>
      <c r="N1101">
        <v>0</v>
      </c>
    </row>
    <row r="1102" spans="1:14" ht="14.4">
      <c r="A1102">
        <v>13367</v>
      </c>
      <c r="B1102">
        <v>13368</v>
      </c>
      <c r="C1102">
        <v>4086</v>
      </c>
      <c r="D1102" t="s">
        <v>390</v>
      </c>
      <c r="E1102" t="s">
        <v>448</v>
      </c>
      <c r="F1102">
        <v>8512</v>
      </c>
      <c r="G1102" t="s">
        <v>402</v>
      </c>
      <c r="H1102" t="s">
        <v>38</v>
      </c>
      <c r="I1102">
        <v>5218</v>
      </c>
      <c r="J1102">
        <v>3018</v>
      </c>
      <c r="K1102">
        <v>2200</v>
      </c>
      <c r="L1102">
        <v>5300</v>
      </c>
      <c r="M1102">
        <v>3100</v>
      </c>
      <c r="N1102">
        <v>2200</v>
      </c>
    </row>
    <row r="1103" spans="1:14" ht="14.4">
      <c r="A1103">
        <v>13367</v>
      </c>
      <c r="B1103">
        <v>13368</v>
      </c>
      <c r="C1103">
        <v>4086</v>
      </c>
      <c r="D1103" t="s">
        <v>390</v>
      </c>
      <c r="E1103" t="s">
        <v>448</v>
      </c>
      <c r="F1103">
        <v>8624</v>
      </c>
      <c r="G1103" t="s">
        <v>402</v>
      </c>
      <c r="H1103" t="s">
        <v>38</v>
      </c>
      <c r="I1103">
        <v>161353</v>
      </c>
      <c r="J1103">
        <v>130633</v>
      </c>
      <c r="K1103">
        <v>30720</v>
      </c>
      <c r="L1103">
        <v>0</v>
      </c>
      <c r="M1103">
        <v>0</v>
      </c>
      <c r="N1103">
        <v>0</v>
      </c>
    </row>
    <row r="1104" spans="1:14" ht="14.4">
      <c r="A1104">
        <v>13367</v>
      </c>
      <c r="B1104">
        <v>13368</v>
      </c>
      <c r="C1104">
        <v>4086</v>
      </c>
      <c r="D1104" t="s">
        <v>390</v>
      </c>
      <c r="E1104" t="s">
        <v>448</v>
      </c>
      <c r="F1104">
        <v>8723</v>
      </c>
      <c r="G1104" t="s">
        <v>392</v>
      </c>
      <c r="H1104" t="s">
        <v>38</v>
      </c>
      <c r="I1104">
        <v>157455</v>
      </c>
      <c r="J1104">
        <v>119055</v>
      </c>
      <c r="K1104">
        <v>38400</v>
      </c>
      <c r="L1104">
        <v>71400</v>
      </c>
      <c r="M1104">
        <v>38000</v>
      </c>
      <c r="N1104">
        <v>33400</v>
      </c>
    </row>
    <row r="1105" spans="1:14" ht="14.4">
      <c r="A1105">
        <v>13367</v>
      </c>
      <c r="B1105">
        <v>13368</v>
      </c>
      <c r="C1105">
        <v>4086</v>
      </c>
      <c r="D1105" t="s">
        <v>390</v>
      </c>
      <c r="E1105" t="s">
        <v>448</v>
      </c>
      <c r="F1105">
        <v>8723</v>
      </c>
      <c r="G1105" t="s">
        <v>441</v>
      </c>
      <c r="H1105" t="s">
        <v>38</v>
      </c>
      <c r="I1105">
        <v>62182</v>
      </c>
      <c r="J1105">
        <v>41682</v>
      </c>
      <c r="K1105">
        <v>20500</v>
      </c>
      <c r="L1105">
        <v>18300</v>
      </c>
      <c r="M1105">
        <v>0</v>
      </c>
      <c r="N1105">
        <v>18300</v>
      </c>
    </row>
    <row r="1106" spans="1:14" ht="14.4">
      <c r="A1106">
        <v>13367</v>
      </c>
      <c r="B1106">
        <v>13368</v>
      </c>
      <c r="C1106">
        <v>4086</v>
      </c>
      <c r="D1106" t="s">
        <v>390</v>
      </c>
      <c r="E1106" t="s">
        <v>448</v>
      </c>
      <c r="F1106">
        <v>8723</v>
      </c>
      <c r="G1106" t="s">
        <v>402</v>
      </c>
      <c r="H1106" t="s">
        <v>38</v>
      </c>
      <c r="I1106">
        <v>111665315</v>
      </c>
      <c r="J1106">
        <v>78514401</v>
      </c>
      <c r="K1106">
        <v>33150914</v>
      </c>
      <c r="L1106">
        <v>46184400</v>
      </c>
      <c r="M1106">
        <v>31244200</v>
      </c>
      <c r="N1106">
        <v>14871900</v>
      </c>
    </row>
    <row r="1107" spans="1:14" ht="14.4">
      <c r="A1107">
        <v>13367</v>
      </c>
      <c r="B1107">
        <v>13368</v>
      </c>
      <c r="C1107">
        <v>4086</v>
      </c>
      <c r="D1107" t="s">
        <v>390</v>
      </c>
      <c r="E1107" t="s">
        <v>448</v>
      </c>
      <c r="F1107">
        <v>8724</v>
      </c>
      <c r="G1107" t="s">
        <v>402</v>
      </c>
      <c r="H1107" t="s">
        <v>38</v>
      </c>
      <c r="I1107">
        <v>20223792</v>
      </c>
      <c r="J1107">
        <v>14763529</v>
      </c>
      <c r="K1107">
        <v>5460263</v>
      </c>
      <c r="L1107">
        <v>7179100</v>
      </c>
      <c r="M1107">
        <v>5068900</v>
      </c>
      <c r="N1107">
        <v>2110200</v>
      </c>
    </row>
    <row r="1108" spans="1:14" ht="14.4">
      <c r="A1108">
        <v>13367</v>
      </c>
      <c r="B1108">
        <v>13368</v>
      </c>
      <c r="C1108">
        <v>4086</v>
      </c>
      <c r="D1108" t="s">
        <v>390</v>
      </c>
      <c r="E1108" t="s">
        <v>448</v>
      </c>
      <c r="F1108">
        <v>8728</v>
      </c>
      <c r="G1108" t="s">
        <v>402</v>
      </c>
      <c r="H1108" t="s">
        <v>38</v>
      </c>
      <c r="I1108">
        <v>156736</v>
      </c>
      <c r="J1108">
        <v>136111</v>
      </c>
      <c r="K1108">
        <v>20625</v>
      </c>
      <c r="L1108">
        <v>0</v>
      </c>
      <c r="M1108">
        <v>0</v>
      </c>
      <c r="N1108">
        <v>0</v>
      </c>
    </row>
    <row r="1109" spans="1:14" ht="14.4">
      <c r="A1109">
        <v>13367</v>
      </c>
      <c r="B1109">
        <v>13368</v>
      </c>
      <c r="C1109">
        <v>4086</v>
      </c>
      <c r="D1109" t="s">
        <v>390</v>
      </c>
      <c r="E1109" t="s">
        <v>448</v>
      </c>
      <c r="F1109">
        <v>8732</v>
      </c>
      <c r="G1109" t="s">
        <v>402</v>
      </c>
      <c r="H1109" t="s">
        <v>38</v>
      </c>
      <c r="I1109">
        <v>44238</v>
      </c>
      <c r="J1109">
        <v>39168</v>
      </c>
      <c r="K1109">
        <v>5070</v>
      </c>
      <c r="L1109">
        <v>41000</v>
      </c>
      <c r="M1109">
        <v>35900</v>
      </c>
      <c r="N1109">
        <v>5100</v>
      </c>
    </row>
    <row r="1110" spans="1:14" ht="14.4">
      <c r="A1110">
        <v>13367</v>
      </c>
      <c r="B1110">
        <v>13368</v>
      </c>
      <c r="C1110">
        <v>4086</v>
      </c>
      <c r="D1110" t="s">
        <v>390</v>
      </c>
      <c r="E1110" t="s">
        <v>448</v>
      </c>
      <c r="F1110">
        <v>8736</v>
      </c>
      <c r="G1110" t="s">
        <v>402</v>
      </c>
      <c r="H1110" t="s">
        <v>38</v>
      </c>
      <c r="I1110">
        <v>37446</v>
      </c>
      <c r="J1110">
        <v>29946</v>
      </c>
      <c r="K1110">
        <v>7500</v>
      </c>
      <c r="L1110">
        <v>24500</v>
      </c>
      <c r="M1110">
        <v>17200</v>
      </c>
      <c r="N1110">
        <v>7300</v>
      </c>
    </row>
    <row r="1111" spans="1:14" ht="14.4">
      <c r="A1111">
        <v>13367</v>
      </c>
      <c r="B1111">
        <v>13368</v>
      </c>
      <c r="C1111">
        <v>4086</v>
      </c>
      <c r="D1111" t="s">
        <v>390</v>
      </c>
      <c r="E1111" t="s">
        <v>448</v>
      </c>
      <c r="F1111">
        <v>8738</v>
      </c>
      <c r="G1111" t="s">
        <v>402</v>
      </c>
      <c r="H1111" t="s">
        <v>38</v>
      </c>
      <c r="I1111">
        <v>937743</v>
      </c>
      <c r="J1111">
        <v>734103</v>
      </c>
      <c r="K1111">
        <v>203640</v>
      </c>
      <c r="L1111">
        <v>543900</v>
      </c>
      <c r="M1111">
        <v>443900</v>
      </c>
      <c r="N1111">
        <v>100000</v>
      </c>
    </row>
    <row r="1112" spans="1:14" ht="14.4">
      <c r="A1112">
        <v>13367</v>
      </c>
      <c r="B1112">
        <v>13368</v>
      </c>
      <c r="C1112">
        <v>4086</v>
      </c>
      <c r="D1112" t="s">
        <v>390</v>
      </c>
      <c r="E1112" t="s">
        <v>448</v>
      </c>
      <c r="F1112">
        <v>8739</v>
      </c>
      <c r="G1112" t="s">
        <v>402</v>
      </c>
      <c r="H1112" t="s">
        <v>38</v>
      </c>
      <c r="I1112">
        <v>532631</v>
      </c>
      <c r="J1112">
        <v>465031</v>
      </c>
      <c r="K1112">
        <v>67600</v>
      </c>
      <c r="L1112">
        <v>0</v>
      </c>
      <c r="M1112">
        <v>0</v>
      </c>
      <c r="N1112">
        <v>0</v>
      </c>
    </row>
    <row r="1113" spans="1:14" ht="14.4">
      <c r="A1113">
        <v>13367</v>
      </c>
      <c r="B1113">
        <v>13368</v>
      </c>
      <c r="C1113">
        <v>4086</v>
      </c>
      <c r="D1113" t="s">
        <v>390</v>
      </c>
      <c r="E1113" t="s">
        <v>448</v>
      </c>
      <c r="F1113">
        <v>8753</v>
      </c>
      <c r="G1113" t="s">
        <v>402</v>
      </c>
      <c r="H1113" t="s">
        <v>38</v>
      </c>
      <c r="I1113">
        <v>10767</v>
      </c>
      <c r="J1113">
        <v>7767</v>
      </c>
      <c r="K1113">
        <v>3000</v>
      </c>
      <c r="L1113">
        <v>0</v>
      </c>
      <c r="M1113">
        <v>0</v>
      </c>
      <c r="N1113">
        <v>0</v>
      </c>
    </row>
    <row r="1114" spans="1:14" ht="14.4">
      <c r="A1114">
        <v>13367</v>
      </c>
      <c r="B1114">
        <v>13368</v>
      </c>
      <c r="C1114">
        <v>4086</v>
      </c>
      <c r="D1114" t="s">
        <v>390</v>
      </c>
      <c r="E1114" t="s">
        <v>449</v>
      </c>
      <c r="F1114">
        <v>8723</v>
      </c>
      <c r="G1114" t="s">
        <v>402</v>
      </c>
      <c r="H1114" t="s">
        <v>38</v>
      </c>
      <c r="I1114">
        <v>45840</v>
      </c>
      <c r="J1114">
        <v>40840</v>
      </c>
      <c r="K1114">
        <v>5000</v>
      </c>
      <c r="L1114">
        <v>0</v>
      </c>
      <c r="M1114">
        <v>0</v>
      </c>
      <c r="N1114">
        <v>0</v>
      </c>
    </row>
    <row r="1115" spans="1:14" ht="14.4">
      <c r="A1115">
        <v>13367</v>
      </c>
      <c r="B1115">
        <v>13368</v>
      </c>
      <c r="C1115">
        <v>4086</v>
      </c>
      <c r="D1115" t="s">
        <v>390</v>
      </c>
      <c r="E1115" t="s">
        <v>449</v>
      </c>
      <c r="F1115">
        <v>8724</v>
      </c>
      <c r="G1115" t="s">
        <v>402</v>
      </c>
      <c r="H1115" t="s">
        <v>38</v>
      </c>
      <c r="I1115">
        <v>67166</v>
      </c>
      <c r="J1115">
        <v>46116</v>
      </c>
      <c r="K1115">
        <v>21050</v>
      </c>
      <c r="L1115">
        <v>14000</v>
      </c>
      <c r="M1115">
        <v>0</v>
      </c>
      <c r="N1115">
        <v>14000</v>
      </c>
    </row>
    <row r="1116" spans="1:14" ht="14.4">
      <c r="A1116">
        <v>13367</v>
      </c>
      <c r="B1116">
        <v>13368</v>
      </c>
      <c r="C1116">
        <v>4086</v>
      </c>
      <c r="D1116" t="s">
        <v>390</v>
      </c>
      <c r="E1116" t="s">
        <v>450</v>
      </c>
      <c r="F1116">
        <v>8723</v>
      </c>
      <c r="G1116" t="s">
        <v>402</v>
      </c>
      <c r="H1116" t="s">
        <v>38</v>
      </c>
      <c r="I1116">
        <v>83639</v>
      </c>
      <c r="J1116">
        <v>59539</v>
      </c>
      <c r="K1116">
        <v>24100</v>
      </c>
      <c r="L1116">
        <v>0</v>
      </c>
      <c r="M1116">
        <v>0</v>
      </c>
      <c r="N1116">
        <v>0</v>
      </c>
    </row>
    <row r="1117" spans="1:14" ht="14.4">
      <c r="A1117">
        <v>13367</v>
      </c>
      <c r="B1117">
        <v>13368</v>
      </c>
      <c r="C1117">
        <v>4086</v>
      </c>
      <c r="D1117" t="s">
        <v>390</v>
      </c>
      <c r="E1117" t="s">
        <v>450</v>
      </c>
      <c r="F1117">
        <v>8738</v>
      </c>
      <c r="G1117" t="s">
        <v>402</v>
      </c>
      <c r="H1117" t="s">
        <v>38</v>
      </c>
      <c r="I1117">
        <v>174144</v>
      </c>
      <c r="J1117">
        <v>132444</v>
      </c>
      <c r="K1117">
        <v>41700</v>
      </c>
      <c r="L1117">
        <v>138100</v>
      </c>
      <c r="M1117">
        <v>98100</v>
      </c>
      <c r="N1117">
        <v>40000</v>
      </c>
    </row>
    <row r="1118" spans="1:14" ht="14.4">
      <c r="A1118">
        <v>13367</v>
      </c>
      <c r="B1118">
        <v>13368</v>
      </c>
      <c r="C1118">
        <v>4086</v>
      </c>
      <c r="D1118" t="s">
        <v>390</v>
      </c>
      <c r="E1118" t="s">
        <v>1450</v>
      </c>
      <c r="F1118">
        <v>8723</v>
      </c>
      <c r="G1118" t="s">
        <v>402</v>
      </c>
      <c r="H1118" t="s">
        <v>38</v>
      </c>
      <c r="I1118">
        <v>185230</v>
      </c>
      <c r="J1118">
        <v>131105</v>
      </c>
      <c r="K1118">
        <v>54125</v>
      </c>
      <c r="L1118">
        <v>0</v>
      </c>
      <c r="M1118">
        <v>0</v>
      </c>
      <c r="N1118">
        <v>0</v>
      </c>
    </row>
    <row r="1119" spans="1:14" ht="14.4">
      <c r="A1119">
        <v>13367</v>
      </c>
      <c r="B1119">
        <v>13368</v>
      </c>
      <c r="C1119">
        <v>4086</v>
      </c>
      <c r="D1119" t="s">
        <v>390</v>
      </c>
      <c r="E1119" t="s">
        <v>1451</v>
      </c>
      <c r="F1119">
        <v>8723</v>
      </c>
      <c r="G1119" t="s">
        <v>402</v>
      </c>
      <c r="H1119" t="s">
        <v>38</v>
      </c>
      <c r="I1119">
        <v>606868</v>
      </c>
      <c r="J1119">
        <v>435500</v>
      </c>
      <c r="K1119">
        <v>171368</v>
      </c>
      <c r="L1119">
        <v>318600</v>
      </c>
      <c r="M1119">
        <v>226700</v>
      </c>
      <c r="N1119">
        <v>91900</v>
      </c>
    </row>
    <row r="1120" spans="1:14" ht="14.4">
      <c r="A1120">
        <v>13367</v>
      </c>
      <c r="B1120">
        <v>13368</v>
      </c>
      <c r="C1120">
        <v>4086</v>
      </c>
      <c r="D1120" t="s">
        <v>390</v>
      </c>
      <c r="E1120" t="s">
        <v>839</v>
      </c>
      <c r="F1120">
        <v>8014</v>
      </c>
      <c r="G1120" t="s">
        <v>1452</v>
      </c>
      <c r="H1120" t="s">
        <v>38</v>
      </c>
      <c r="I1120">
        <v>171251</v>
      </c>
      <c r="J1120">
        <v>154276</v>
      </c>
      <c r="K1120">
        <v>16975</v>
      </c>
      <c r="L1120">
        <v>0</v>
      </c>
      <c r="M1120">
        <v>0</v>
      </c>
      <c r="N1120">
        <v>0</v>
      </c>
    </row>
    <row r="1121" spans="1:14" ht="14.4">
      <c r="A1121">
        <v>13367</v>
      </c>
      <c r="B1121">
        <v>13368</v>
      </c>
      <c r="C1121">
        <v>4086</v>
      </c>
      <c r="D1121" t="s">
        <v>390</v>
      </c>
      <c r="E1121" t="s">
        <v>451</v>
      </c>
      <c r="F1121">
        <v>8302</v>
      </c>
      <c r="G1121" t="s">
        <v>452</v>
      </c>
      <c r="H1121" t="s">
        <v>38</v>
      </c>
      <c r="I1121">
        <v>14826</v>
      </c>
      <c r="J1121">
        <v>1676</v>
      </c>
      <c r="K1121">
        <v>13150</v>
      </c>
      <c r="L1121">
        <v>0</v>
      </c>
      <c r="M1121">
        <v>0</v>
      </c>
      <c r="N1121">
        <v>0</v>
      </c>
    </row>
    <row r="1122" spans="1:14" ht="14.4">
      <c r="A1122">
        <v>13367</v>
      </c>
      <c r="B1122">
        <v>13368</v>
      </c>
      <c r="C1122">
        <v>4086</v>
      </c>
      <c r="D1122" t="s">
        <v>390</v>
      </c>
      <c r="E1122" t="s">
        <v>453</v>
      </c>
      <c r="F1122">
        <v>8807</v>
      </c>
      <c r="G1122" t="s">
        <v>413</v>
      </c>
      <c r="H1122" t="s">
        <v>38</v>
      </c>
      <c r="I1122">
        <v>554414</v>
      </c>
      <c r="J1122">
        <v>522739</v>
      </c>
      <c r="K1122">
        <v>31675</v>
      </c>
      <c r="L1122">
        <v>152600</v>
      </c>
      <c r="M1122">
        <v>138200</v>
      </c>
      <c r="N1122">
        <v>14400</v>
      </c>
    </row>
    <row r="1123" spans="1:14" ht="14.4">
      <c r="A1123">
        <v>13367</v>
      </c>
      <c r="B1123">
        <v>13368</v>
      </c>
      <c r="C1123">
        <v>4086</v>
      </c>
      <c r="D1123" t="s">
        <v>390</v>
      </c>
      <c r="E1123" t="s">
        <v>1453</v>
      </c>
      <c r="F1123">
        <v>8730</v>
      </c>
      <c r="G1123" t="s">
        <v>392</v>
      </c>
      <c r="H1123" t="s">
        <v>38</v>
      </c>
      <c r="I1123">
        <v>177426</v>
      </c>
      <c r="J1123">
        <v>152476</v>
      </c>
      <c r="K1123">
        <v>24950</v>
      </c>
      <c r="L1123">
        <v>0</v>
      </c>
      <c r="M1123">
        <v>0</v>
      </c>
      <c r="N1123">
        <v>0</v>
      </c>
    </row>
    <row r="1124" spans="1:14" ht="14.4">
      <c r="A1124">
        <v>13367</v>
      </c>
      <c r="B1124">
        <v>13368</v>
      </c>
      <c r="C1124">
        <v>4086</v>
      </c>
      <c r="D1124" t="s">
        <v>390</v>
      </c>
      <c r="E1124" t="s">
        <v>454</v>
      </c>
      <c r="F1124">
        <v>8730</v>
      </c>
      <c r="G1124" t="s">
        <v>392</v>
      </c>
      <c r="H1124" t="s">
        <v>38</v>
      </c>
      <c r="I1124">
        <v>5892767</v>
      </c>
      <c r="J1124">
        <v>4219812</v>
      </c>
      <c r="K1124">
        <v>1672955</v>
      </c>
      <c r="L1124">
        <v>2066200</v>
      </c>
      <c r="M1124">
        <v>1440800</v>
      </c>
      <c r="N1124">
        <v>625400</v>
      </c>
    </row>
    <row r="1125" spans="1:14" ht="14.4">
      <c r="A1125">
        <v>13367</v>
      </c>
      <c r="B1125">
        <v>13368</v>
      </c>
      <c r="C1125">
        <v>4086</v>
      </c>
      <c r="D1125" t="s">
        <v>390</v>
      </c>
      <c r="E1125" t="s">
        <v>1454</v>
      </c>
      <c r="F1125">
        <v>8203</v>
      </c>
      <c r="G1125" t="s">
        <v>394</v>
      </c>
      <c r="H1125" t="s">
        <v>38</v>
      </c>
      <c r="I1125">
        <v>40714</v>
      </c>
      <c r="J1125">
        <v>30039</v>
      </c>
      <c r="K1125">
        <v>10675</v>
      </c>
      <c r="L1125">
        <v>10500</v>
      </c>
      <c r="M1125">
        <v>2400</v>
      </c>
      <c r="N1125">
        <v>8100</v>
      </c>
    </row>
    <row r="1126" spans="1:14" ht="14.4">
      <c r="A1126">
        <v>13367</v>
      </c>
      <c r="B1126">
        <v>13368</v>
      </c>
      <c r="C1126">
        <v>4086</v>
      </c>
      <c r="D1126" t="s">
        <v>390</v>
      </c>
      <c r="E1126" t="s">
        <v>456</v>
      </c>
      <c r="F1126">
        <v>8023</v>
      </c>
      <c r="G1126" t="s">
        <v>394</v>
      </c>
      <c r="H1126" t="s">
        <v>38</v>
      </c>
      <c r="I1126">
        <v>89727</v>
      </c>
      <c r="J1126">
        <v>52177</v>
      </c>
      <c r="K1126">
        <v>37550</v>
      </c>
      <c r="L1126">
        <v>44600</v>
      </c>
      <c r="M1126">
        <v>19000</v>
      </c>
      <c r="N1126">
        <v>25600</v>
      </c>
    </row>
    <row r="1127" spans="1:14" ht="14.4">
      <c r="A1127">
        <v>13367</v>
      </c>
      <c r="B1127">
        <v>13368</v>
      </c>
      <c r="C1127">
        <v>4086</v>
      </c>
      <c r="D1127" t="s">
        <v>390</v>
      </c>
      <c r="E1127" t="s">
        <v>456</v>
      </c>
      <c r="F1127">
        <v>8203</v>
      </c>
      <c r="G1127" t="s">
        <v>394</v>
      </c>
      <c r="H1127" t="s">
        <v>38</v>
      </c>
      <c r="I1127">
        <v>24583438</v>
      </c>
      <c r="J1127">
        <v>18596507</v>
      </c>
      <c r="K1127">
        <v>5986931</v>
      </c>
      <c r="L1127">
        <v>8395000</v>
      </c>
      <c r="M1127">
        <v>5950600</v>
      </c>
      <c r="N1127">
        <v>2444400</v>
      </c>
    </row>
    <row r="1128" spans="1:14" ht="14.4">
      <c r="A1128">
        <v>13367</v>
      </c>
      <c r="B1128">
        <v>13368</v>
      </c>
      <c r="C1128">
        <v>4086</v>
      </c>
      <c r="D1128" t="s">
        <v>390</v>
      </c>
      <c r="E1128" t="s">
        <v>456</v>
      </c>
      <c r="F1128">
        <v>8232</v>
      </c>
      <c r="G1128" t="s">
        <v>394</v>
      </c>
      <c r="H1128" t="s">
        <v>38</v>
      </c>
      <c r="I1128">
        <v>120532</v>
      </c>
      <c r="J1128">
        <v>94232</v>
      </c>
      <c r="K1128">
        <v>26300</v>
      </c>
      <c r="L1128">
        <v>57400</v>
      </c>
      <c r="M1128">
        <v>31100</v>
      </c>
      <c r="N1128">
        <v>26300</v>
      </c>
    </row>
    <row r="1129" spans="1:14" ht="14.4">
      <c r="A1129">
        <v>13367</v>
      </c>
      <c r="B1129">
        <v>13368</v>
      </c>
      <c r="C1129">
        <v>4086</v>
      </c>
      <c r="D1129" t="s">
        <v>390</v>
      </c>
      <c r="E1129" t="s">
        <v>456</v>
      </c>
      <c r="F1129">
        <v>8403</v>
      </c>
      <c r="G1129" t="s">
        <v>394</v>
      </c>
      <c r="H1129" t="s">
        <v>38</v>
      </c>
      <c r="I1129">
        <v>54370</v>
      </c>
      <c r="J1129">
        <v>54370</v>
      </c>
      <c r="K1129">
        <v>0</v>
      </c>
      <c r="L1129">
        <v>48600</v>
      </c>
      <c r="M1129">
        <v>48600</v>
      </c>
      <c r="N1129">
        <v>0</v>
      </c>
    </row>
    <row r="1130" spans="1:14" ht="14.4">
      <c r="A1130">
        <v>13367</v>
      </c>
      <c r="B1130">
        <v>13368</v>
      </c>
      <c r="C1130">
        <v>4086</v>
      </c>
      <c r="D1130" t="s">
        <v>390</v>
      </c>
      <c r="E1130" t="s">
        <v>1455</v>
      </c>
      <c r="F1130">
        <v>8203</v>
      </c>
      <c r="G1130" t="s">
        <v>394</v>
      </c>
      <c r="H1130" t="s">
        <v>38</v>
      </c>
      <c r="I1130">
        <v>134408</v>
      </c>
      <c r="J1130">
        <v>100578</v>
      </c>
      <c r="K1130">
        <v>33830</v>
      </c>
      <c r="L1130">
        <v>46200</v>
      </c>
      <c r="M1130">
        <v>16600</v>
      </c>
      <c r="N1130">
        <v>29600</v>
      </c>
    </row>
    <row r="1131" spans="1:14" ht="14.4">
      <c r="A1131">
        <v>13367</v>
      </c>
      <c r="B1131">
        <v>13368</v>
      </c>
      <c r="C1131">
        <v>4086</v>
      </c>
      <c r="D1131" t="s">
        <v>390</v>
      </c>
      <c r="E1131" t="s">
        <v>458</v>
      </c>
      <c r="F1131">
        <v>8008</v>
      </c>
      <c r="G1131" t="s">
        <v>402</v>
      </c>
      <c r="H1131" t="s">
        <v>38</v>
      </c>
      <c r="I1131">
        <v>274960</v>
      </c>
      <c r="J1131">
        <v>202260</v>
      </c>
      <c r="K1131">
        <v>72700</v>
      </c>
      <c r="L1131">
        <v>64400</v>
      </c>
      <c r="M1131">
        <v>38200</v>
      </c>
      <c r="N1131">
        <v>26200</v>
      </c>
    </row>
    <row r="1132" spans="1:14" ht="14.4">
      <c r="A1132">
        <v>13367</v>
      </c>
      <c r="B1132">
        <v>13368</v>
      </c>
      <c r="C1132">
        <v>4086</v>
      </c>
      <c r="D1132" t="s">
        <v>390</v>
      </c>
      <c r="E1132" t="s">
        <v>1456</v>
      </c>
      <c r="F1132">
        <v>8015</v>
      </c>
      <c r="G1132" t="s">
        <v>443</v>
      </c>
      <c r="H1132" t="s">
        <v>38</v>
      </c>
      <c r="I1132">
        <v>31027</v>
      </c>
      <c r="J1132">
        <v>30877</v>
      </c>
      <c r="K1132">
        <v>150</v>
      </c>
      <c r="L1132">
        <v>700</v>
      </c>
      <c r="M1132">
        <v>500</v>
      </c>
      <c r="N1132">
        <v>200</v>
      </c>
    </row>
    <row r="1133" spans="1:14" ht="14.4">
      <c r="A1133">
        <v>13367</v>
      </c>
      <c r="B1133">
        <v>13368</v>
      </c>
      <c r="C1133">
        <v>4086</v>
      </c>
      <c r="D1133" t="s">
        <v>390</v>
      </c>
      <c r="E1133" t="s">
        <v>1457</v>
      </c>
      <c r="F1133">
        <v>8015</v>
      </c>
      <c r="G1133" t="s">
        <v>443</v>
      </c>
      <c r="H1133" t="s">
        <v>38</v>
      </c>
      <c r="I1133">
        <v>25095</v>
      </c>
      <c r="J1133">
        <v>25095</v>
      </c>
      <c r="K1133">
        <v>0</v>
      </c>
      <c r="L1133">
        <v>23000</v>
      </c>
      <c r="M1133">
        <v>23000</v>
      </c>
      <c r="N1133">
        <v>0</v>
      </c>
    </row>
    <row r="1134" spans="1:14" ht="14.4">
      <c r="A1134">
        <v>13367</v>
      </c>
      <c r="B1134">
        <v>13368</v>
      </c>
      <c r="C1134">
        <v>4086</v>
      </c>
      <c r="D1134" t="s">
        <v>390</v>
      </c>
      <c r="E1134" t="s">
        <v>460</v>
      </c>
      <c r="F1134">
        <v>7828</v>
      </c>
      <c r="G1134" t="s">
        <v>441</v>
      </c>
      <c r="H1134" t="s">
        <v>38</v>
      </c>
      <c r="I1134">
        <v>354285</v>
      </c>
      <c r="J1134">
        <v>310840</v>
      </c>
      <c r="K1134">
        <v>43445</v>
      </c>
      <c r="L1134">
        <v>49500</v>
      </c>
      <c r="M1134">
        <v>39200</v>
      </c>
      <c r="N1134">
        <v>10300</v>
      </c>
    </row>
    <row r="1135" spans="1:14" ht="14.4">
      <c r="A1135">
        <v>13367</v>
      </c>
      <c r="B1135">
        <v>13368</v>
      </c>
      <c r="C1135">
        <v>4086</v>
      </c>
      <c r="D1135" t="s">
        <v>390</v>
      </c>
      <c r="E1135" t="s">
        <v>1458</v>
      </c>
      <c r="F1135">
        <v>8310</v>
      </c>
      <c r="G1135" t="s">
        <v>394</v>
      </c>
      <c r="H1135" t="s">
        <v>38</v>
      </c>
      <c r="I1135">
        <v>1923</v>
      </c>
      <c r="J1135">
        <v>1923</v>
      </c>
      <c r="K1135">
        <v>0</v>
      </c>
      <c r="L1135">
        <v>0</v>
      </c>
      <c r="M1135">
        <v>0</v>
      </c>
      <c r="N1135">
        <v>0</v>
      </c>
    </row>
    <row r="1136" spans="1:14" ht="14.4">
      <c r="A1136">
        <v>13367</v>
      </c>
      <c r="B1136">
        <v>13368</v>
      </c>
      <c r="C1136">
        <v>4086</v>
      </c>
      <c r="D1136" t="s">
        <v>390</v>
      </c>
      <c r="E1136" t="s">
        <v>443</v>
      </c>
      <c r="F1136">
        <v>8016</v>
      </c>
      <c r="G1136" t="s">
        <v>443</v>
      </c>
      <c r="H1136" t="s">
        <v>38</v>
      </c>
      <c r="I1136">
        <v>98265</v>
      </c>
      <c r="J1136">
        <v>79940</v>
      </c>
      <c r="K1136">
        <v>18325</v>
      </c>
      <c r="L1136">
        <v>14000</v>
      </c>
      <c r="M1136">
        <v>14000</v>
      </c>
      <c r="N1136">
        <v>0</v>
      </c>
    </row>
    <row r="1137" spans="1:14" ht="14.4">
      <c r="A1137">
        <v>13367</v>
      </c>
      <c r="B1137">
        <v>13368</v>
      </c>
      <c r="C1137">
        <v>4086</v>
      </c>
      <c r="D1137" t="s">
        <v>390</v>
      </c>
      <c r="E1137" t="s">
        <v>1459</v>
      </c>
      <c r="F1137">
        <v>8016</v>
      </c>
      <c r="G1137" t="s">
        <v>443</v>
      </c>
      <c r="H1137" t="s">
        <v>38</v>
      </c>
      <c r="I1137">
        <v>25625</v>
      </c>
      <c r="J1137">
        <v>25625</v>
      </c>
      <c r="K1137">
        <v>0</v>
      </c>
      <c r="L1137">
        <v>14000</v>
      </c>
      <c r="M1137">
        <v>14000</v>
      </c>
      <c r="N1137">
        <v>0</v>
      </c>
    </row>
    <row r="1138" spans="1:14" ht="14.4">
      <c r="A1138">
        <v>13367</v>
      </c>
      <c r="B1138">
        <v>13368</v>
      </c>
      <c r="C1138">
        <v>4086</v>
      </c>
      <c r="D1138" t="s">
        <v>390</v>
      </c>
      <c r="E1138" t="s">
        <v>461</v>
      </c>
      <c r="F1138">
        <v>7821</v>
      </c>
      <c r="G1138" t="s">
        <v>462</v>
      </c>
      <c r="H1138" t="s">
        <v>38</v>
      </c>
      <c r="I1138">
        <v>102837</v>
      </c>
      <c r="J1138">
        <v>90997</v>
      </c>
      <c r="K1138">
        <v>11840</v>
      </c>
      <c r="L1138">
        <v>102900</v>
      </c>
      <c r="M1138">
        <v>91100</v>
      </c>
      <c r="N1138">
        <v>11800</v>
      </c>
    </row>
    <row r="1139" spans="1:14" ht="14.4">
      <c r="A1139">
        <v>13367</v>
      </c>
      <c r="B1139">
        <v>13368</v>
      </c>
      <c r="C1139">
        <v>4086</v>
      </c>
      <c r="D1139" t="s">
        <v>390</v>
      </c>
      <c r="E1139" t="s">
        <v>1460</v>
      </c>
      <c r="F1139">
        <v>7006</v>
      </c>
      <c r="G1139" t="s">
        <v>428</v>
      </c>
      <c r="H1139" t="s">
        <v>38</v>
      </c>
      <c r="I1139">
        <v>14787</v>
      </c>
      <c r="J1139">
        <v>14287</v>
      </c>
      <c r="K1139">
        <v>500</v>
      </c>
      <c r="L1139">
        <v>11300</v>
      </c>
      <c r="M1139">
        <v>10900</v>
      </c>
      <c r="N1139">
        <v>400</v>
      </c>
    </row>
    <row r="1140" spans="1:14" ht="14.4">
      <c r="A1140">
        <v>13367</v>
      </c>
      <c r="B1140">
        <v>13368</v>
      </c>
      <c r="C1140">
        <v>4086</v>
      </c>
      <c r="D1140" t="s">
        <v>390</v>
      </c>
      <c r="E1140" t="s">
        <v>463</v>
      </c>
      <c r="F1140">
        <v>7830</v>
      </c>
      <c r="G1140" t="s">
        <v>464</v>
      </c>
      <c r="H1140" t="s">
        <v>38</v>
      </c>
      <c r="I1140">
        <v>313651</v>
      </c>
      <c r="J1140">
        <v>299826</v>
      </c>
      <c r="K1140">
        <v>13825</v>
      </c>
      <c r="L1140">
        <v>234900</v>
      </c>
      <c r="M1140">
        <v>226400</v>
      </c>
      <c r="N1140">
        <v>8500</v>
      </c>
    </row>
    <row r="1141" spans="1:14" ht="14.4">
      <c r="A1141">
        <v>13367</v>
      </c>
      <c r="B1141">
        <v>13368</v>
      </c>
      <c r="C1141">
        <v>4086</v>
      </c>
      <c r="D1141" t="s">
        <v>390</v>
      </c>
      <c r="E1141" t="s">
        <v>463</v>
      </c>
      <c r="F1141">
        <v>7830</v>
      </c>
      <c r="G1141" t="s">
        <v>441</v>
      </c>
      <c r="H1141" t="s">
        <v>38</v>
      </c>
      <c r="I1141">
        <v>63521</v>
      </c>
      <c r="J1141">
        <v>63521</v>
      </c>
      <c r="K1141">
        <v>0</v>
      </c>
      <c r="L1141">
        <v>55200</v>
      </c>
      <c r="M1141">
        <v>55200</v>
      </c>
      <c r="N1141">
        <v>0</v>
      </c>
    </row>
    <row r="1142" spans="1:14" ht="14.4">
      <c r="A1142">
        <v>13367</v>
      </c>
      <c r="B1142">
        <v>13368</v>
      </c>
      <c r="C1142">
        <v>4086</v>
      </c>
      <c r="D1142" t="s">
        <v>390</v>
      </c>
      <c r="E1142" t="s">
        <v>465</v>
      </c>
      <c r="F1142">
        <v>8103</v>
      </c>
      <c r="G1142" t="s">
        <v>465</v>
      </c>
      <c r="H1142" t="s">
        <v>38</v>
      </c>
      <c r="I1142">
        <v>12249</v>
      </c>
      <c r="J1142">
        <v>399</v>
      </c>
      <c r="K1142">
        <v>11850</v>
      </c>
      <c r="L1142">
        <v>11900</v>
      </c>
      <c r="M1142">
        <v>0</v>
      </c>
      <c r="N1142">
        <v>11900</v>
      </c>
    </row>
    <row r="1143" spans="1:14" ht="14.4">
      <c r="A1143">
        <v>13367</v>
      </c>
      <c r="B1143">
        <v>13368</v>
      </c>
      <c r="C1143">
        <v>4086</v>
      </c>
      <c r="D1143" t="s">
        <v>390</v>
      </c>
      <c r="E1143" t="s">
        <v>465</v>
      </c>
      <c r="F1143">
        <v>8104</v>
      </c>
      <c r="G1143" t="s">
        <v>465</v>
      </c>
      <c r="H1143" t="s">
        <v>38</v>
      </c>
      <c r="I1143">
        <v>122854</v>
      </c>
      <c r="J1143">
        <v>104004</v>
      </c>
      <c r="K1143">
        <v>18850</v>
      </c>
      <c r="L1143">
        <v>31400</v>
      </c>
      <c r="M1143">
        <v>26400</v>
      </c>
      <c r="N1143">
        <v>5000</v>
      </c>
    </row>
    <row r="1144" spans="1:14" ht="14.4">
      <c r="A1144">
        <v>13367</v>
      </c>
      <c r="B1144">
        <v>13368</v>
      </c>
      <c r="C1144">
        <v>4086</v>
      </c>
      <c r="D1144" t="s">
        <v>390</v>
      </c>
      <c r="E1144" t="s">
        <v>404</v>
      </c>
      <c r="F1144">
        <v>8204</v>
      </c>
      <c r="G1144" t="s">
        <v>404</v>
      </c>
      <c r="H1144" t="s">
        <v>38</v>
      </c>
      <c r="I1144">
        <v>242807</v>
      </c>
      <c r="J1144">
        <v>234957</v>
      </c>
      <c r="K1144">
        <v>7850</v>
      </c>
      <c r="L1144">
        <v>149700</v>
      </c>
      <c r="M1144">
        <v>144000</v>
      </c>
      <c r="N1144">
        <v>5700</v>
      </c>
    </row>
    <row r="1145" spans="1:14" ht="14.4">
      <c r="A1145">
        <v>13367</v>
      </c>
      <c r="B1145">
        <v>13368</v>
      </c>
      <c r="C1145">
        <v>4086</v>
      </c>
      <c r="D1145" t="s">
        <v>390</v>
      </c>
      <c r="E1145" t="s">
        <v>404</v>
      </c>
      <c r="F1145">
        <v>8243</v>
      </c>
      <c r="G1145" t="s">
        <v>404</v>
      </c>
      <c r="H1145" t="s">
        <v>38</v>
      </c>
      <c r="I1145">
        <v>5175</v>
      </c>
      <c r="J1145">
        <v>0</v>
      </c>
      <c r="K1145">
        <v>5175</v>
      </c>
      <c r="L1145">
        <v>0</v>
      </c>
      <c r="M1145">
        <v>0</v>
      </c>
      <c r="N1145">
        <v>0</v>
      </c>
    </row>
    <row r="1146" spans="1:14" ht="14.4">
      <c r="A1146">
        <v>13367</v>
      </c>
      <c r="B1146">
        <v>13368</v>
      </c>
      <c r="C1146">
        <v>4086</v>
      </c>
      <c r="D1146" t="s">
        <v>390</v>
      </c>
      <c r="E1146" t="s">
        <v>1461</v>
      </c>
      <c r="F1146">
        <v>8243</v>
      </c>
      <c r="G1146" t="s">
        <v>404</v>
      </c>
      <c r="H1146" t="s">
        <v>38</v>
      </c>
      <c r="I1146">
        <v>3400</v>
      </c>
      <c r="J1146">
        <v>0</v>
      </c>
      <c r="K1146">
        <v>3400</v>
      </c>
      <c r="L1146">
        <v>0</v>
      </c>
      <c r="M1146">
        <v>0</v>
      </c>
      <c r="N1146">
        <v>0</v>
      </c>
    </row>
    <row r="1147" spans="1:14" ht="14.4">
      <c r="A1147">
        <v>13367</v>
      </c>
      <c r="B1147">
        <v>13368</v>
      </c>
      <c r="C1147">
        <v>4086</v>
      </c>
      <c r="D1147" t="s">
        <v>390</v>
      </c>
      <c r="E1147" t="s">
        <v>466</v>
      </c>
      <c r="F1147">
        <v>8210</v>
      </c>
      <c r="G1147" t="s">
        <v>404</v>
      </c>
      <c r="H1147" t="s">
        <v>38</v>
      </c>
      <c r="I1147">
        <v>703737</v>
      </c>
      <c r="J1147">
        <v>655312</v>
      </c>
      <c r="K1147">
        <v>48425</v>
      </c>
      <c r="L1147">
        <v>201100</v>
      </c>
      <c r="M1147">
        <v>182800</v>
      </c>
      <c r="N1147">
        <v>18300</v>
      </c>
    </row>
    <row r="1148" spans="1:14" ht="14.4">
      <c r="A1148">
        <v>13367</v>
      </c>
      <c r="B1148">
        <v>13368</v>
      </c>
      <c r="C1148">
        <v>4086</v>
      </c>
      <c r="D1148" t="s">
        <v>390</v>
      </c>
      <c r="E1148" t="s">
        <v>1462</v>
      </c>
      <c r="F1148">
        <v>8210</v>
      </c>
      <c r="G1148" t="s">
        <v>404</v>
      </c>
      <c r="H1148" t="s">
        <v>38</v>
      </c>
      <c r="I1148">
        <v>12708</v>
      </c>
      <c r="J1148">
        <v>12708</v>
      </c>
      <c r="K1148">
        <v>0</v>
      </c>
      <c r="L1148">
        <v>11500</v>
      </c>
      <c r="M1148">
        <v>11500</v>
      </c>
      <c r="N1148">
        <v>0</v>
      </c>
    </row>
    <row r="1149" spans="1:14" ht="14.4">
      <c r="A1149">
        <v>13367</v>
      </c>
      <c r="B1149">
        <v>13368</v>
      </c>
      <c r="C1149">
        <v>4086</v>
      </c>
      <c r="D1149" t="s">
        <v>390</v>
      </c>
      <c r="E1149" t="s">
        <v>1463</v>
      </c>
      <c r="F1149">
        <v>8210</v>
      </c>
      <c r="G1149" t="s">
        <v>404</v>
      </c>
      <c r="H1149" t="s">
        <v>38</v>
      </c>
      <c r="I1149">
        <v>30565</v>
      </c>
      <c r="J1149">
        <v>30565</v>
      </c>
      <c r="K1149">
        <v>0</v>
      </c>
      <c r="L1149">
        <v>23100</v>
      </c>
      <c r="M1149">
        <v>23100</v>
      </c>
      <c r="N1149">
        <v>0</v>
      </c>
    </row>
    <row r="1150" spans="1:14" ht="14.4">
      <c r="A1150">
        <v>13367</v>
      </c>
      <c r="B1150">
        <v>13368</v>
      </c>
      <c r="C1150">
        <v>4086</v>
      </c>
      <c r="D1150" t="s">
        <v>390</v>
      </c>
      <c r="E1150" t="s">
        <v>75</v>
      </c>
      <c r="F1150">
        <v>7072</v>
      </c>
      <c r="G1150" t="s">
        <v>76</v>
      </c>
      <c r="H1150" t="s">
        <v>38</v>
      </c>
      <c r="I1150">
        <v>93484</v>
      </c>
      <c r="J1150">
        <v>12688</v>
      </c>
      <c r="K1150">
        <v>80796</v>
      </c>
      <c r="L1150">
        <v>0</v>
      </c>
      <c r="M1150">
        <v>0</v>
      </c>
      <c r="N1150">
        <v>0</v>
      </c>
    </row>
    <row r="1151" spans="1:14" ht="14.4">
      <c r="A1151">
        <v>13367</v>
      </c>
      <c r="B1151">
        <v>13368</v>
      </c>
      <c r="C1151">
        <v>4086</v>
      </c>
      <c r="D1151" t="s">
        <v>390</v>
      </c>
      <c r="E1151" t="s">
        <v>75</v>
      </c>
      <c r="F1151">
        <v>7072</v>
      </c>
      <c r="G1151" t="s">
        <v>37</v>
      </c>
      <c r="H1151" t="s">
        <v>38</v>
      </c>
      <c r="I1151">
        <v>9825</v>
      </c>
      <c r="J1151">
        <v>0</v>
      </c>
      <c r="K1151">
        <v>9825</v>
      </c>
      <c r="L1151">
        <v>9900</v>
      </c>
      <c r="M1151">
        <v>0</v>
      </c>
      <c r="N1151">
        <v>9900</v>
      </c>
    </row>
    <row r="1152" spans="1:14" ht="14.4">
      <c r="A1152">
        <v>13367</v>
      </c>
      <c r="B1152">
        <v>13368</v>
      </c>
      <c r="C1152">
        <v>4086</v>
      </c>
      <c r="D1152" t="s">
        <v>390</v>
      </c>
      <c r="E1152" t="s">
        <v>1464</v>
      </c>
      <c r="F1152">
        <v>8069</v>
      </c>
      <c r="G1152" t="s">
        <v>691</v>
      </c>
      <c r="H1152" t="s">
        <v>38</v>
      </c>
      <c r="I1152">
        <v>63134</v>
      </c>
      <c r="J1152">
        <v>59684</v>
      </c>
      <c r="K1152">
        <v>3450</v>
      </c>
      <c r="L1152">
        <v>52500</v>
      </c>
      <c r="M1152">
        <v>50000</v>
      </c>
      <c r="N1152">
        <v>2500</v>
      </c>
    </row>
    <row r="1153" spans="1:14" ht="14.4">
      <c r="A1153">
        <v>13367</v>
      </c>
      <c r="B1153">
        <v>13368</v>
      </c>
      <c r="C1153">
        <v>4086</v>
      </c>
      <c r="D1153" t="s">
        <v>390</v>
      </c>
      <c r="E1153" t="s">
        <v>468</v>
      </c>
      <c r="F1153">
        <v>7008</v>
      </c>
      <c r="G1153" t="s">
        <v>406</v>
      </c>
      <c r="H1153" t="s">
        <v>38</v>
      </c>
      <c r="I1153">
        <v>2651076</v>
      </c>
      <c r="J1153">
        <v>1959907</v>
      </c>
      <c r="K1153">
        <v>691169</v>
      </c>
      <c r="L1153">
        <v>1052200</v>
      </c>
      <c r="M1153">
        <v>762900</v>
      </c>
      <c r="N1153">
        <v>289300</v>
      </c>
    </row>
    <row r="1154" spans="1:14" ht="14.4">
      <c r="A1154">
        <v>13367</v>
      </c>
      <c r="B1154">
        <v>13368</v>
      </c>
      <c r="C1154">
        <v>4086</v>
      </c>
      <c r="D1154" t="s">
        <v>390</v>
      </c>
      <c r="E1154" t="s">
        <v>1465</v>
      </c>
      <c r="F1154">
        <v>8050</v>
      </c>
      <c r="G1154" t="s">
        <v>402</v>
      </c>
      <c r="H1154" t="s">
        <v>38</v>
      </c>
      <c r="I1154">
        <v>30471</v>
      </c>
      <c r="J1154">
        <v>22721</v>
      </c>
      <c r="K1154">
        <v>7750</v>
      </c>
      <c r="L1154">
        <v>0</v>
      </c>
      <c r="M1154">
        <v>0</v>
      </c>
      <c r="N1154">
        <v>0</v>
      </c>
    </row>
    <row r="1155" spans="1:14" ht="14.4">
      <c r="A1155">
        <v>13367</v>
      </c>
      <c r="B1155">
        <v>13368</v>
      </c>
      <c r="C1155">
        <v>4086</v>
      </c>
      <c r="D1155" t="s">
        <v>390</v>
      </c>
      <c r="E1155" t="s">
        <v>1466</v>
      </c>
      <c r="F1155">
        <v>7009</v>
      </c>
      <c r="G1155" t="s">
        <v>428</v>
      </c>
      <c r="H1155" t="s">
        <v>38</v>
      </c>
      <c r="I1155">
        <v>24941</v>
      </c>
      <c r="J1155">
        <v>24941</v>
      </c>
      <c r="K1155">
        <v>0</v>
      </c>
      <c r="L1155">
        <v>0</v>
      </c>
      <c r="M1155">
        <v>0</v>
      </c>
      <c r="N1155">
        <v>0</v>
      </c>
    </row>
    <row r="1156" spans="1:14" ht="14.4">
      <c r="A1156">
        <v>13367</v>
      </c>
      <c r="B1156">
        <v>13368</v>
      </c>
      <c r="C1156">
        <v>4086</v>
      </c>
      <c r="D1156" t="s">
        <v>390</v>
      </c>
      <c r="E1156" t="s">
        <v>469</v>
      </c>
      <c r="F1156">
        <v>8092</v>
      </c>
      <c r="G1156" t="s">
        <v>402</v>
      </c>
      <c r="H1156" t="s">
        <v>38</v>
      </c>
      <c r="I1156">
        <v>194896</v>
      </c>
      <c r="J1156">
        <v>132271</v>
      </c>
      <c r="K1156">
        <v>62625</v>
      </c>
      <c r="L1156">
        <v>71500</v>
      </c>
      <c r="M1156">
        <v>54200</v>
      </c>
      <c r="N1156">
        <v>17300</v>
      </c>
    </row>
    <row r="1157" spans="1:14" ht="14.4">
      <c r="A1157">
        <v>13367</v>
      </c>
      <c r="B1157">
        <v>13368</v>
      </c>
      <c r="C1157">
        <v>4086</v>
      </c>
      <c r="D1157" t="s">
        <v>390</v>
      </c>
      <c r="E1157" t="s">
        <v>470</v>
      </c>
      <c r="F1157">
        <v>8311</v>
      </c>
      <c r="G1157" t="s">
        <v>452</v>
      </c>
      <c r="H1157" t="s">
        <v>38</v>
      </c>
      <c r="I1157">
        <v>522383</v>
      </c>
      <c r="J1157">
        <v>437283</v>
      </c>
      <c r="K1157">
        <v>85100</v>
      </c>
      <c r="L1157">
        <v>70800</v>
      </c>
      <c r="M1157">
        <v>69200</v>
      </c>
      <c r="N1157">
        <v>1600</v>
      </c>
    </row>
    <row r="1158" spans="1:14" ht="14.4">
      <c r="A1158">
        <v>13367</v>
      </c>
      <c r="B1158">
        <v>13368</v>
      </c>
      <c r="C1158">
        <v>4086</v>
      </c>
      <c r="D1158" t="s">
        <v>390</v>
      </c>
      <c r="E1158" t="s">
        <v>1467</v>
      </c>
      <c r="F1158">
        <v>8735</v>
      </c>
      <c r="G1158" t="s">
        <v>402</v>
      </c>
      <c r="H1158" t="s">
        <v>38</v>
      </c>
      <c r="I1158">
        <v>186422</v>
      </c>
      <c r="J1158">
        <v>109472</v>
      </c>
      <c r="K1158">
        <v>76950</v>
      </c>
      <c r="L1158">
        <v>118600</v>
      </c>
      <c r="M1158">
        <v>79600</v>
      </c>
      <c r="N1158">
        <v>39000</v>
      </c>
    </row>
    <row r="1159" spans="1:14" ht="14.4">
      <c r="A1159">
        <v>13367</v>
      </c>
      <c r="B1159">
        <v>13368</v>
      </c>
      <c r="C1159">
        <v>4086</v>
      </c>
      <c r="D1159" t="s">
        <v>390</v>
      </c>
      <c r="E1159" t="s">
        <v>471</v>
      </c>
      <c r="F1159">
        <v>8735</v>
      </c>
      <c r="G1159" t="s">
        <v>402</v>
      </c>
      <c r="H1159" t="s">
        <v>38</v>
      </c>
      <c r="I1159">
        <v>668236</v>
      </c>
      <c r="J1159">
        <v>543816</v>
      </c>
      <c r="K1159">
        <v>124420</v>
      </c>
      <c r="L1159">
        <v>285500</v>
      </c>
      <c r="M1159">
        <v>273600</v>
      </c>
      <c r="N1159">
        <v>11900</v>
      </c>
    </row>
    <row r="1160" spans="1:14" ht="14.4">
      <c r="A1160">
        <v>13367</v>
      </c>
      <c r="B1160">
        <v>13368</v>
      </c>
      <c r="C1160">
        <v>4086</v>
      </c>
      <c r="D1160" t="s">
        <v>390</v>
      </c>
      <c r="E1160" t="s">
        <v>471</v>
      </c>
      <c r="F1160">
        <v>8739</v>
      </c>
      <c r="G1160" t="s">
        <v>402</v>
      </c>
      <c r="H1160" t="s">
        <v>38</v>
      </c>
      <c r="I1160">
        <v>423106</v>
      </c>
      <c r="J1160">
        <v>326881</v>
      </c>
      <c r="K1160">
        <v>96225</v>
      </c>
      <c r="L1160">
        <v>0</v>
      </c>
      <c r="M1160">
        <v>0</v>
      </c>
      <c r="N1160">
        <v>0</v>
      </c>
    </row>
    <row r="1161" spans="1:14" ht="14.4">
      <c r="A1161">
        <v>13367</v>
      </c>
      <c r="B1161">
        <v>13368</v>
      </c>
      <c r="C1161">
        <v>4086</v>
      </c>
      <c r="D1161" t="s">
        <v>390</v>
      </c>
      <c r="E1161" t="s">
        <v>1468</v>
      </c>
      <c r="F1161">
        <v>8735</v>
      </c>
      <c r="G1161" t="s">
        <v>402</v>
      </c>
      <c r="H1161" t="s">
        <v>38</v>
      </c>
      <c r="I1161">
        <v>139530</v>
      </c>
      <c r="J1161">
        <v>132342</v>
      </c>
      <c r="K1161">
        <v>7188</v>
      </c>
      <c r="L1161">
        <v>55200</v>
      </c>
      <c r="M1161">
        <v>55200</v>
      </c>
      <c r="N1161">
        <v>0</v>
      </c>
    </row>
    <row r="1162" spans="1:14" ht="14.4">
      <c r="A1162">
        <v>13367</v>
      </c>
      <c r="B1162">
        <v>13368</v>
      </c>
      <c r="C1162">
        <v>4086</v>
      </c>
      <c r="D1162" t="s">
        <v>390</v>
      </c>
      <c r="E1162" t="s">
        <v>1468</v>
      </c>
      <c r="F1162">
        <v>8739</v>
      </c>
      <c r="G1162" t="s">
        <v>402</v>
      </c>
      <c r="H1162" t="s">
        <v>38</v>
      </c>
      <c r="I1162">
        <v>94280</v>
      </c>
      <c r="J1162">
        <v>67955</v>
      </c>
      <c r="K1162">
        <v>26325</v>
      </c>
      <c r="L1162">
        <v>0</v>
      </c>
      <c r="M1162">
        <v>0</v>
      </c>
      <c r="N1162">
        <v>0</v>
      </c>
    </row>
    <row r="1163" spans="1:14" ht="14.4">
      <c r="A1163">
        <v>13367</v>
      </c>
      <c r="B1163">
        <v>13368</v>
      </c>
      <c r="C1163">
        <v>4086</v>
      </c>
      <c r="D1163" t="s">
        <v>390</v>
      </c>
      <c r="E1163" t="s">
        <v>1469</v>
      </c>
      <c r="F1163">
        <v>8735</v>
      </c>
      <c r="G1163" t="s">
        <v>402</v>
      </c>
      <c r="H1163" t="s">
        <v>38</v>
      </c>
      <c r="I1163">
        <v>126446</v>
      </c>
      <c r="J1163">
        <v>98996</v>
      </c>
      <c r="K1163">
        <v>27450</v>
      </c>
      <c r="L1163">
        <v>6300</v>
      </c>
      <c r="M1163">
        <v>3000</v>
      </c>
      <c r="N1163">
        <v>3300</v>
      </c>
    </row>
    <row r="1164" spans="1:14" ht="14.4">
      <c r="A1164">
        <v>13367</v>
      </c>
      <c r="B1164">
        <v>13368</v>
      </c>
      <c r="C1164">
        <v>4086</v>
      </c>
      <c r="D1164" t="s">
        <v>390</v>
      </c>
      <c r="E1164" t="s">
        <v>1470</v>
      </c>
      <c r="F1164">
        <v>8735</v>
      </c>
      <c r="G1164" t="s">
        <v>402</v>
      </c>
      <c r="H1164" t="s">
        <v>38</v>
      </c>
      <c r="I1164">
        <v>154010</v>
      </c>
      <c r="J1164">
        <v>108050</v>
      </c>
      <c r="K1164">
        <v>45960</v>
      </c>
      <c r="L1164">
        <v>0</v>
      </c>
      <c r="M1164">
        <v>0</v>
      </c>
      <c r="N1164">
        <v>0</v>
      </c>
    </row>
    <row r="1165" spans="1:14" ht="14.4">
      <c r="A1165">
        <v>13367</v>
      </c>
      <c r="B1165">
        <v>13368</v>
      </c>
      <c r="C1165">
        <v>4086</v>
      </c>
      <c r="D1165" t="s">
        <v>390</v>
      </c>
      <c r="E1165" t="s">
        <v>472</v>
      </c>
      <c r="F1165">
        <v>7928</v>
      </c>
      <c r="G1165" t="s">
        <v>441</v>
      </c>
      <c r="H1165" t="s">
        <v>38</v>
      </c>
      <c r="I1165">
        <v>85817</v>
      </c>
      <c r="J1165">
        <v>76680</v>
      </c>
      <c r="K1165">
        <v>9137</v>
      </c>
      <c r="L1165">
        <v>23600</v>
      </c>
      <c r="M1165">
        <v>22200</v>
      </c>
      <c r="N1165">
        <v>1400</v>
      </c>
    </row>
    <row r="1166" spans="1:14" ht="14.4">
      <c r="A1166">
        <v>13367</v>
      </c>
      <c r="B1166">
        <v>13368</v>
      </c>
      <c r="C1166">
        <v>4086</v>
      </c>
      <c r="D1166" t="s">
        <v>390</v>
      </c>
      <c r="E1166" t="s">
        <v>1471</v>
      </c>
      <c r="F1166">
        <v>7928</v>
      </c>
      <c r="G1166" t="s">
        <v>441</v>
      </c>
      <c r="H1166" t="s">
        <v>38</v>
      </c>
      <c r="I1166">
        <v>24094</v>
      </c>
      <c r="J1166">
        <v>23744</v>
      </c>
      <c r="K1166">
        <v>350</v>
      </c>
      <c r="L1166">
        <v>9900</v>
      </c>
      <c r="M1166">
        <v>9900</v>
      </c>
      <c r="N1166">
        <v>0</v>
      </c>
    </row>
    <row r="1167" spans="1:14" ht="14.4">
      <c r="A1167">
        <v>13367</v>
      </c>
      <c r="B1167">
        <v>13368</v>
      </c>
      <c r="C1167">
        <v>4086</v>
      </c>
      <c r="D1167" t="s">
        <v>390</v>
      </c>
      <c r="E1167" t="s">
        <v>1472</v>
      </c>
      <c r="F1167">
        <v>8003</v>
      </c>
      <c r="G1167" t="s">
        <v>465</v>
      </c>
      <c r="H1167" t="s">
        <v>38</v>
      </c>
      <c r="I1167">
        <v>17830</v>
      </c>
      <c r="J1167">
        <v>17830</v>
      </c>
      <c r="K1167">
        <v>0</v>
      </c>
      <c r="L1167">
        <v>2800</v>
      </c>
      <c r="M1167">
        <v>2800</v>
      </c>
      <c r="N1167">
        <v>0</v>
      </c>
    </row>
    <row r="1168" spans="1:14" ht="14.4">
      <c r="A1168">
        <v>13367</v>
      </c>
      <c r="B1168">
        <v>13368</v>
      </c>
      <c r="C1168">
        <v>4086</v>
      </c>
      <c r="D1168" t="s">
        <v>390</v>
      </c>
      <c r="E1168" t="s">
        <v>1472</v>
      </c>
      <c r="F1168">
        <v>8034</v>
      </c>
      <c r="G1168" t="s">
        <v>465</v>
      </c>
      <c r="H1168" t="s">
        <v>38</v>
      </c>
      <c r="I1168">
        <v>71127</v>
      </c>
      <c r="J1168">
        <v>60807</v>
      </c>
      <c r="K1168">
        <v>10320</v>
      </c>
      <c r="L1168">
        <v>11700</v>
      </c>
      <c r="M1168">
        <v>11700</v>
      </c>
      <c r="N1168">
        <v>0</v>
      </c>
    </row>
    <row r="1169" spans="1:14" ht="14.4">
      <c r="A1169">
        <v>13367</v>
      </c>
      <c r="B1169">
        <v>13368</v>
      </c>
      <c r="C1169">
        <v>4086</v>
      </c>
      <c r="D1169" t="s">
        <v>390</v>
      </c>
      <c r="E1169" t="s">
        <v>473</v>
      </c>
      <c r="F1169">
        <v>7930</v>
      </c>
      <c r="G1169" t="s">
        <v>441</v>
      </c>
      <c r="H1169" t="s">
        <v>38</v>
      </c>
      <c r="I1169">
        <v>944248</v>
      </c>
      <c r="J1169">
        <v>876988</v>
      </c>
      <c r="K1169">
        <v>67260</v>
      </c>
      <c r="L1169">
        <v>215100</v>
      </c>
      <c r="M1169">
        <v>198900</v>
      </c>
      <c r="N1169">
        <v>16200</v>
      </c>
    </row>
    <row r="1170" spans="1:14" ht="14.4">
      <c r="A1170">
        <v>13367</v>
      </c>
      <c r="B1170">
        <v>13368</v>
      </c>
      <c r="C1170">
        <v>4086</v>
      </c>
      <c r="D1170" t="s">
        <v>390</v>
      </c>
      <c r="E1170" t="s">
        <v>1473</v>
      </c>
      <c r="F1170">
        <v>7066</v>
      </c>
      <c r="G1170" t="s">
        <v>435</v>
      </c>
      <c r="H1170" t="s">
        <v>38</v>
      </c>
      <c r="I1170">
        <v>48213</v>
      </c>
      <c r="J1170">
        <v>33238</v>
      </c>
      <c r="K1170">
        <v>14975</v>
      </c>
      <c r="L1170">
        <v>26200</v>
      </c>
      <c r="M1170">
        <v>18400</v>
      </c>
      <c r="N1170">
        <v>7800</v>
      </c>
    </row>
    <row r="1171" spans="1:14" ht="14.4">
      <c r="A1171">
        <v>13367</v>
      </c>
      <c r="B1171">
        <v>13368</v>
      </c>
      <c r="C1171">
        <v>4086</v>
      </c>
      <c r="D1171" t="s">
        <v>390</v>
      </c>
      <c r="E1171" t="s">
        <v>1474</v>
      </c>
      <c r="F1171">
        <v>8020</v>
      </c>
      <c r="G1171" t="s">
        <v>1452</v>
      </c>
      <c r="H1171" t="s">
        <v>38</v>
      </c>
      <c r="I1171">
        <v>19725</v>
      </c>
      <c r="J1171">
        <v>0</v>
      </c>
      <c r="K1171">
        <v>19725</v>
      </c>
      <c r="L1171">
        <v>0</v>
      </c>
      <c r="M1171">
        <v>0</v>
      </c>
      <c r="N1171">
        <v>0</v>
      </c>
    </row>
    <row r="1172" spans="1:14" ht="14.4">
      <c r="A1172">
        <v>13367</v>
      </c>
      <c r="B1172">
        <v>13368</v>
      </c>
      <c r="C1172">
        <v>4086</v>
      </c>
      <c r="D1172" t="s">
        <v>390</v>
      </c>
      <c r="E1172" t="s">
        <v>1475</v>
      </c>
      <c r="F1172">
        <v>8510</v>
      </c>
      <c r="G1172" t="s">
        <v>392</v>
      </c>
      <c r="H1172" t="s">
        <v>38</v>
      </c>
      <c r="I1172">
        <v>3990</v>
      </c>
      <c r="J1172">
        <v>3990</v>
      </c>
      <c r="K1172">
        <v>0</v>
      </c>
      <c r="L1172">
        <v>0</v>
      </c>
      <c r="M1172">
        <v>0</v>
      </c>
      <c r="N1172">
        <v>0</v>
      </c>
    </row>
    <row r="1173" spans="1:14" ht="14.4">
      <c r="A1173">
        <v>13367</v>
      </c>
      <c r="B1173">
        <v>13368</v>
      </c>
      <c r="C1173">
        <v>4086</v>
      </c>
      <c r="D1173" t="s">
        <v>390</v>
      </c>
      <c r="E1173" t="s">
        <v>1476</v>
      </c>
      <c r="F1173">
        <v>8312</v>
      </c>
      <c r="G1173" t="s">
        <v>1452</v>
      </c>
      <c r="H1173" t="s">
        <v>38</v>
      </c>
      <c r="I1173">
        <v>44835</v>
      </c>
      <c r="J1173">
        <v>43585</v>
      </c>
      <c r="K1173">
        <v>1250</v>
      </c>
      <c r="L1173">
        <v>16400</v>
      </c>
      <c r="M1173">
        <v>16400</v>
      </c>
      <c r="N1173">
        <v>0</v>
      </c>
    </row>
    <row r="1174" spans="1:14" ht="14.4">
      <c r="A1174">
        <v>13367</v>
      </c>
      <c r="B1174">
        <v>13368</v>
      </c>
      <c r="C1174">
        <v>4086</v>
      </c>
      <c r="D1174" t="s">
        <v>390</v>
      </c>
      <c r="E1174" t="s">
        <v>1477</v>
      </c>
      <c r="F1174">
        <v>8021</v>
      </c>
      <c r="G1174" t="s">
        <v>465</v>
      </c>
      <c r="H1174" t="s">
        <v>38</v>
      </c>
      <c r="I1174">
        <v>5400</v>
      </c>
      <c r="J1174">
        <v>5400</v>
      </c>
      <c r="K1174">
        <v>0</v>
      </c>
      <c r="L1174">
        <v>5400</v>
      </c>
      <c r="M1174">
        <v>5400</v>
      </c>
      <c r="N1174">
        <v>0</v>
      </c>
    </row>
    <row r="1175" spans="1:14" ht="14.4">
      <c r="A1175">
        <v>13367</v>
      </c>
      <c r="B1175">
        <v>13368</v>
      </c>
      <c r="C1175">
        <v>4086</v>
      </c>
      <c r="D1175" t="s">
        <v>390</v>
      </c>
      <c r="E1175" t="s">
        <v>474</v>
      </c>
      <c r="F1175">
        <v>7010</v>
      </c>
      <c r="G1175" t="s">
        <v>76</v>
      </c>
      <c r="H1175" t="s">
        <v>38</v>
      </c>
      <c r="I1175">
        <v>93167</v>
      </c>
      <c r="J1175">
        <v>63547</v>
      </c>
      <c r="K1175">
        <v>29620</v>
      </c>
      <c r="L1175">
        <v>31800</v>
      </c>
      <c r="M1175">
        <v>28700</v>
      </c>
      <c r="N1175">
        <v>3100</v>
      </c>
    </row>
    <row r="1176" spans="1:14" ht="14.4">
      <c r="A1176">
        <v>13367</v>
      </c>
      <c r="B1176">
        <v>13368</v>
      </c>
      <c r="C1176">
        <v>4086</v>
      </c>
      <c r="D1176" t="s">
        <v>390</v>
      </c>
      <c r="E1176" t="s">
        <v>475</v>
      </c>
      <c r="F1176">
        <v>7721</v>
      </c>
      <c r="G1176" t="s">
        <v>392</v>
      </c>
      <c r="H1176" t="s">
        <v>38</v>
      </c>
      <c r="I1176">
        <v>26810</v>
      </c>
      <c r="J1176">
        <v>22780</v>
      </c>
      <c r="K1176">
        <v>4030</v>
      </c>
      <c r="L1176">
        <v>3700</v>
      </c>
      <c r="M1176">
        <v>3700</v>
      </c>
      <c r="N1176">
        <v>0</v>
      </c>
    </row>
    <row r="1177" spans="1:14" ht="14.4">
      <c r="A1177">
        <v>13367</v>
      </c>
      <c r="B1177">
        <v>13368</v>
      </c>
      <c r="C1177">
        <v>4086</v>
      </c>
      <c r="D1177" t="s">
        <v>390</v>
      </c>
      <c r="E1177" t="s">
        <v>476</v>
      </c>
      <c r="F1177">
        <v>7735</v>
      </c>
      <c r="G1177" t="s">
        <v>406</v>
      </c>
      <c r="H1177" t="s">
        <v>38</v>
      </c>
      <c r="I1177">
        <v>233869</v>
      </c>
      <c r="J1177">
        <v>176719</v>
      </c>
      <c r="K1177">
        <v>57150</v>
      </c>
      <c r="L1177">
        <v>49400</v>
      </c>
      <c r="M1177">
        <v>49400</v>
      </c>
      <c r="N1177">
        <v>0</v>
      </c>
    </row>
    <row r="1178" spans="1:14" ht="14.4">
      <c r="A1178">
        <v>13367</v>
      </c>
      <c r="B1178">
        <v>13368</v>
      </c>
      <c r="C1178">
        <v>4086</v>
      </c>
      <c r="D1178" t="s">
        <v>390</v>
      </c>
      <c r="E1178" t="s">
        <v>476</v>
      </c>
      <c r="F1178">
        <v>7735</v>
      </c>
      <c r="G1178" t="s">
        <v>392</v>
      </c>
      <c r="H1178" t="s">
        <v>38</v>
      </c>
      <c r="I1178">
        <v>103861</v>
      </c>
      <c r="J1178">
        <v>89561</v>
      </c>
      <c r="K1178">
        <v>14300</v>
      </c>
      <c r="L1178">
        <v>13600</v>
      </c>
      <c r="M1178">
        <v>12100</v>
      </c>
      <c r="N1178">
        <v>1500</v>
      </c>
    </row>
    <row r="1179" spans="1:14" ht="14.4">
      <c r="A1179">
        <v>13367</v>
      </c>
      <c r="B1179">
        <v>13368</v>
      </c>
      <c r="C1179">
        <v>4086</v>
      </c>
      <c r="D1179" t="s">
        <v>390</v>
      </c>
      <c r="E1179" t="s">
        <v>477</v>
      </c>
      <c r="F1179">
        <v>7011</v>
      </c>
      <c r="G1179" t="s">
        <v>429</v>
      </c>
      <c r="H1179" t="s">
        <v>38</v>
      </c>
      <c r="I1179">
        <v>114946</v>
      </c>
      <c r="J1179">
        <v>107106</v>
      </c>
      <c r="K1179">
        <v>7840</v>
      </c>
      <c r="L1179">
        <v>29300</v>
      </c>
      <c r="M1179">
        <v>23800</v>
      </c>
      <c r="N1179">
        <v>5500</v>
      </c>
    </row>
    <row r="1180" spans="1:14" ht="14.4">
      <c r="A1180">
        <v>13367</v>
      </c>
      <c r="B1180">
        <v>13368</v>
      </c>
      <c r="C1180">
        <v>4086</v>
      </c>
      <c r="D1180" t="s">
        <v>390</v>
      </c>
      <c r="E1180" t="s">
        <v>477</v>
      </c>
      <c r="F1180">
        <v>7013</v>
      </c>
      <c r="G1180" t="s">
        <v>429</v>
      </c>
      <c r="H1180" t="s">
        <v>38</v>
      </c>
      <c r="I1180">
        <v>84074</v>
      </c>
      <c r="J1180">
        <v>40299</v>
      </c>
      <c r="K1180">
        <v>43775</v>
      </c>
      <c r="L1180">
        <v>9700</v>
      </c>
      <c r="M1180">
        <v>0</v>
      </c>
      <c r="N1180">
        <v>9700</v>
      </c>
    </row>
    <row r="1181" spans="1:14" ht="14.4">
      <c r="A1181">
        <v>13367</v>
      </c>
      <c r="B1181">
        <v>13368</v>
      </c>
      <c r="C1181">
        <v>4086</v>
      </c>
      <c r="D1181" t="s">
        <v>390</v>
      </c>
      <c r="E1181" t="s">
        <v>477</v>
      </c>
      <c r="F1181">
        <v>7014</v>
      </c>
      <c r="G1181" t="s">
        <v>429</v>
      </c>
      <c r="H1181" t="s">
        <v>38</v>
      </c>
      <c r="I1181">
        <v>23758</v>
      </c>
      <c r="J1181">
        <v>23458</v>
      </c>
      <c r="K1181">
        <v>300</v>
      </c>
      <c r="L1181">
        <v>23800</v>
      </c>
      <c r="M1181">
        <v>23500</v>
      </c>
      <c r="N1181">
        <v>300</v>
      </c>
    </row>
    <row r="1182" spans="1:14" ht="14.4">
      <c r="A1182">
        <v>13367</v>
      </c>
      <c r="B1182">
        <v>13368</v>
      </c>
      <c r="C1182">
        <v>4086</v>
      </c>
      <c r="D1182" t="s">
        <v>390</v>
      </c>
      <c r="E1182" t="s">
        <v>478</v>
      </c>
      <c r="F1182">
        <v>8809</v>
      </c>
      <c r="G1182" t="s">
        <v>464</v>
      </c>
      <c r="H1182" t="s">
        <v>38</v>
      </c>
      <c r="I1182">
        <v>16694</v>
      </c>
      <c r="J1182">
        <v>16694</v>
      </c>
      <c r="K1182">
        <v>0</v>
      </c>
      <c r="L1182">
        <v>0</v>
      </c>
      <c r="M1182">
        <v>0</v>
      </c>
      <c r="N1182">
        <v>0</v>
      </c>
    </row>
    <row r="1183" spans="1:14" ht="14.4">
      <c r="A1183">
        <v>13367</v>
      </c>
      <c r="B1183">
        <v>13368</v>
      </c>
      <c r="C1183">
        <v>4086</v>
      </c>
      <c r="D1183" t="s">
        <v>390</v>
      </c>
      <c r="E1183" t="s">
        <v>479</v>
      </c>
      <c r="F1183">
        <v>7624</v>
      </c>
      <c r="G1183" t="s">
        <v>76</v>
      </c>
      <c r="H1183" t="s">
        <v>38</v>
      </c>
      <c r="I1183">
        <v>6900</v>
      </c>
      <c r="J1183">
        <v>0</v>
      </c>
      <c r="K1183">
        <v>6900</v>
      </c>
      <c r="L1183">
        <v>0</v>
      </c>
      <c r="M1183">
        <v>0</v>
      </c>
      <c r="N1183">
        <v>0</v>
      </c>
    </row>
    <row r="1184" spans="1:14" ht="14.4">
      <c r="A1184">
        <v>13367</v>
      </c>
      <c r="B1184">
        <v>13368</v>
      </c>
      <c r="C1184">
        <v>4086</v>
      </c>
      <c r="D1184" t="s">
        <v>390</v>
      </c>
      <c r="E1184" t="s">
        <v>480</v>
      </c>
      <c r="F1184">
        <v>7067</v>
      </c>
      <c r="G1184" t="s">
        <v>406</v>
      </c>
      <c r="H1184" t="s">
        <v>38</v>
      </c>
      <c r="I1184">
        <v>184088</v>
      </c>
      <c r="J1184">
        <v>175088</v>
      </c>
      <c r="K1184">
        <v>9000</v>
      </c>
      <c r="L1184">
        <v>128000</v>
      </c>
      <c r="M1184">
        <v>124000</v>
      </c>
      <c r="N1184">
        <v>4000</v>
      </c>
    </row>
    <row r="1185" spans="1:14" ht="14.4">
      <c r="A1185">
        <v>13367</v>
      </c>
      <c r="B1185">
        <v>13368</v>
      </c>
      <c r="C1185">
        <v>4086</v>
      </c>
      <c r="D1185" t="s">
        <v>390</v>
      </c>
      <c r="E1185" t="s">
        <v>481</v>
      </c>
      <c r="F1185">
        <v>7722</v>
      </c>
      <c r="G1185" t="s">
        <v>392</v>
      </c>
      <c r="H1185" t="s">
        <v>38</v>
      </c>
      <c r="I1185">
        <v>589556</v>
      </c>
      <c r="J1185">
        <v>522931</v>
      </c>
      <c r="K1185">
        <v>66625</v>
      </c>
      <c r="L1185">
        <v>291200</v>
      </c>
      <c r="M1185">
        <v>281500</v>
      </c>
      <c r="N1185">
        <v>9700</v>
      </c>
    </row>
    <row r="1186" spans="1:14" ht="14.4">
      <c r="A1186">
        <v>13367</v>
      </c>
      <c r="B1186">
        <v>13368</v>
      </c>
      <c r="C1186">
        <v>4086</v>
      </c>
      <c r="D1186" t="s">
        <v>390</v>
      </c>
      <c r="E1186" t="s">
        <v>62</v>
      </c>
      <c r="F1186">
        <v>7832</v>
      </c>
      <c r="G1186" t="s">
        <v>398</v>
      </c>
      <c r="H1186" t="s">
        <v>38</v>
      </c>
      <c r="I1186">
        <v>51558</v>
      </c>
      <c r="J1186">
        <v>51558</v>
      </c>
      <c r="K1186">
        <v>0</v>
      </c>
      <c r="L1186">
        <v>43300</v>
      </c>
      <c r="M1186">
        <v>43300</v>
      </c>
      <c r="N1186">
        <v>0</v>
      </c>
    </row>
    <row r="1187" spans="1:14" ht="14.4">
      <c r="A1187">
        <v>13367</v>
      </c>
      <c r="B1187">
        <v>13368</v>
      </c>
      <c r="C1187">
        <v>4086</v>
      </c>
      <c r="D1187" t="s">
        <v>390</v>
      </c>
      <c r="E1187" t="s">
        <v>1478</v>
      </c>
      <c r="F1187">
        <v>8022</v>
      </c>
      <c r="G1187" t="s">
        <v>443</v>
      </c>
      <c r="H1187" t="s">
        <v>38</v>
      </c>
      <c r="I1187">
        <v>24099</v>
      </c>
      <c r="J1187">
        <v>18099</v>
      </c>
      <c r="K1187">
        <v>6000</v>
      </c>
      <c r="L1187">
        <v>13500</v>
      </c>
      <c r="M1187">
        <v>13500</v>
      </c>
      <c r="N1187">
        <v>0</v>
      </c>
    </row>
    <row r="1188" spans="1:14" ht="14.4">
      <c r="A1188">
        <v>13367</v>
      </c>
      <c r="B1188">
        <v>13368</v>
      </c>
      <c r="C1188">
        <v>4086</v>
      </c>
      <c r="D1188" t="s">
        <v>390</v>
      </c>
      <c r="E1188" t="s">
        <v>1479</v>
      </c>
      <c r="F1188">
        <v>8270</v>
      </c>
      <c r="G1188" t="s">
        <v>394</v>
      </c>
      <c r="H1188" t="s">
        <v>38</v>
      </c>
      <c r="I1188">
        <v>352784</v>
      </c>
      <c r="J1188">
        <v>315748</v>
      </c>
      <c r="K1188">
        <v>37036</v>
      </c>
      <c r="L1188">
        <v>191800</v>
      </c>
      <c r="M1188">
        <v>177600</v>
      </c>
      <c r="N1188">
        <v>14200</v>
      </c>
    </row>
    <row r="1189" spans="1:14" ht="14.4">
      <c r="A1189">
        <v>13367</v>
      </c>
      <c r="B1189">
        <v>13368</v>
      </c>
      <c r="C1189">
        <v>4086</v>
      </c>
      <c r="D1189" t="s">
        <v>390</v>
      </c>
      <c r="E1189" t="s">
        <v>1480</v>
      </c>
      <c r="F1189">
        <v>8512</v>
      </c>
      <c r="G1189" t="s">
        <v>406</v>
      </c>
      <c r="H1189" t="s">
        <v>38</v>
      </c>
      <c r="I1189">
        <v>14756</v>
      </c>
      <c r="J1189">
        <v>13181</v>
      </c>
      <c r="K1189">
        <v>1575</v>
      </c>
      <c r="L1189">
        <v>0</v>
      </c>
      <c r="M1189">
        <v>0</v>
      </c>
      <c r="N1189">
        <v>0</v>
      </c>
    </row>
    <row r="1190" spans="1:14" ht="14.4">
      <c r="A1190">
        <v>13367</v>
      </c>
      <c r="B1190">
        <v>13368</v>
      </c>
      <c r="C1190">
        <v>4086</v>
      </c>
      <c r="D1190" t="s">
        <v>390</v>
      </c>
      <c r="E1190" t="s">
        <v>482</v>
      </c>
      <c r="F1190">
        <v>7016</v>
      </c>
      <c r="G1190" t="s">
        <v>435</v>
      </c>
      <c r="H1190" t="s">
        <v>38</v>
      </c>
      <c r="I1190">
        <v>206685</v>
      </c>
      <c r="J1190">
        <v>198295</v>
      </c>
      <c r="K1190">
        <v>8390</v>
      </c>
      <c r="L1190">
        <v>108900</v>
      </c>
      <c r="M1190">
        <v>104900</v>
      </c>
      <c r="N1190">
        <v>4000</v>
      </c>
    </row>
    <row r="1191" spans="1:14" ht="14.4">
      <c r="A1191">
        <v>13367</v>
      </c>
      <c r="B1191">
        <v>13368</v>
      </c>
      <c r="C1191">
        <v>4086</v>
      </c>
      <c r="D1191" t="s">
        <v>390</v>
      </c>
      <c r="E1191" t="s">
        <v>482</v>
      </c>
      <c r="F1191">
        <v>8753</v>
      </c>
      <c r="G1191" t="s">
        <v>435</v>
      </c>
      <c r="H1191" t="s">
        <v>38</v>
      </c>
      <c r="I1191">
        <v>1850</v>
      </c>
      <c r="J1191">
        <v>0</v>
      </c>
      <c r="K1191">
        <v>1850</v>
      </c>
      <c r="L1191">
        <v>0</v>
      </c>
      <c r="M1191">
        <v>0</v>
      </c>
      <c r="N1191">
        <v>0</v>
      </c>
    </row>
    <row r="1192" spans="1:14" ht="14.4">
      <c r="A1192">
        <v>13367</v>
      </c>
      <c r="B1192">
        <v>13368</v>
      </c>
      <c r="C1192">
        <v>4086</v>
      </c>
      <c r="D1192" t="s">
        <v>390</v>
      </c>
      <c r="E1192" t="s">
        <v>1481</v>
      </c>
      <c r="F1192">
        <v>8514</v>
      </c>
      <c r="G1192" t="s">
        <v>402</v>
      </c>
      <c r="H1192" t="s">
        <v>38</v>
      </c>
      <c r="I1192">
        <v>44374</v>
      </c>
      <c r="J1192">
        <v>43124</v>
      </c>
      <c r="K1192">
        <v>1250</v>
      </c>
      <c r="L1192">
        <v>0</v>
      </c>
      <c r="M1192">
        <v>0</v>
      </c>
      <c r="N1192">
        <v>0</v>
      </c>
    </row>
    <row r="1193" spans="1:14" ht="14.4">
      <c r="A1193">
        <v>13367</v>
      </c>
      <c r="B1193">
        <v>13368</v>
      </c>
      <c r="C1193">
        <v>4086</v>
      </c>
      <c r="D1193" t="s">
        <v>390</v>
      </c>
      <c r="E1193" t="s">
        <v>483</v>
      </c>
      <c r="F1193">
        <v>7723</v>
      </c>
      <c r="G1193" t="s">
        <v>392</v>
      </c>
      <c r="H1193" t="s">
        <v>38</v>
      </c>
      <c r="I1193">
        <v>75558</v>
      </c>
      <c r="J1193">
        <v>65333</v>
      </c>
      <c r="K1193">
        <v>10225</v>
      </c>
      <c r="L1193">
        <v>13800</v>
      </c>
      <c r="M1193">
        <v>12600</v>
      </c>
      <c r="N1193">
        <v>1200</v>
      </c>
    </row>
    <row r="1194" spans="1:14" ht="14.4">
      <c r="A1194">
        <v>13367</v>
      </c>
      <c r="B1194">
        <v>13368</v>
      </c>
      <c r="C1194">
        <v>4086</v>
      </c>
      <c r="D1194" t="s">
        <v>390</v>
      </c>
      <c r="E1194" t="s">
        <v>484</v>
      </c>
      <c r="F1194">
        <v>8251</v>
      </c>
      <c r="G1194" t="s">
        <v>404</v>
      </c>
      <c r="H1194" t="s">
        <v>38</v>
      </c>
      <c r="I1194">
        <v>258259</v>
      </c>
      <c r="J1194">
        <v>220659</v>
      </c>
      <c r="K1194">
        <v>37600</v>
      </c>
      <c r="L1194">
        <v>169700</v>
      </c>
      <c r="M1194">
        <v>140300</v>
      </c>
      <c r="N1194">
        <v>29400</v>
      </c>
    </row>
    <row r="1195" spans="1:14" ht="14.4">
      <c r="A1195">
        <v>13367</v>
      </c>
      <c r="B1195">
        <v>13368</v>
      </c>
      <c r="C1195">
        <v>4086</v>
      </c>
      <c r="D1195" t="s">
        <v>390</v>
      </c>
      <c r="E1195" t="s">
        <v>1482</v>
      </c>
      <c r="F1195">
        <v>8314</v>
      </c>
      <c r="G1195" t="s">
        <v>452</v>
      </c>
      <c r="H1195" t="s">
        <v>38</v>
      </c>
      <c r="I1195">
        <v>234627</v>
      </c>
      <c r="J1195">
        <v>165958</v>
      </c>
      <c r="K1195">
        <v>68669</v>
      </c>
      <c r="L1195">
        <v>99000</v>
      </c>
      <c r="M1195">
        <v>62500</v>
      </c>
      <c r="N1195">
        <v>36500</v>
      </c>
    </row>
    <row r="1196" spans="1:14" ht="14.4">
      <c r="A1196">
        <v>13367</v>
      </c>
      <c r="B1196">
        <v>13368</v>
      </c>
      <c r="C1196">
        <v>4086</v>
      </c>
      <c r="D1196" t="s">
        <v>390</v>
      </c>
      <c r="E1196" t="s">
        <v>1483</v>
      </c>
      <c r="F1196">
        <v>8075</v>
      </c>
      <c r="G1196" t="s">
        <v>443</v>
      </c>
      <c r="H1196" t="s">
        <v>38</v>
      </c>
      <c r="I1196">
        <v>6614</v>
      </c>
      <c r="J1196">
        <v>6614</v>
      </c>
      <c r="K1196">
        <v>0</v>
      </c>
      <c r="L1196">
        <v>0</v>
      </c>
      <c r="M1196">
        <v>0</v>
      </c>
      <c r="N1196">
        <v>0</v>
      </c>
    </row>
    <row r="1197" spans="1:14" ht="14.4">
      <c r="A1197">
        <v>13367</v>
      </c>
      <c r="B1197">
        <v>13368</v>
      </c>
      <c r="C1197">
        <v>4086</v>
      </c>
      <c r="D1197" t="s">
        <v>390</v>
      </c>
      <c r="E1197" t="s">
        <v>1484</v>
      </c>
      <c r="F1197">
        <v>8214</v>
      </c>
      <c r="G1197" t="s">
        <v>404</v>
      </c>
      <c r="H1197" t="s">
        <v>38</v>
      </c>
      <c r="I1197">
        <v>9305</v>
      </c>
      <c r="J1197">
        <v>9305</v>
      </c>
      <c r="K1197">
        <v>0</v>
      </c>
      <c r="L1197">
        <v>9400</v>
      </c>
      <c r="M1197">
        <v>9400</v>
      </c>
      <c r="N1197">
        <v>0</v>
      </c>
    </row>
    <row r="1198" spans="1:14" ht="14.4">
      <c r="A1198">
        <v>13367</v>
      </c>
      <c r="B1198">
        <v>13368</v>
      </c>
      <c r="C1198">
        <v>4086</v>
      </c>
      <c r="D1198" t="s">
        <v>390</v>
      </c>
      <c r="E1198" t="s">
        <v>1485</v>
      </c>
      <c r="F1198">
        <v>7834</v>
      </c>
      <c r="G1198" t="s">
        <v>441</v>
      </c>
      <c r="H1198" t="s">
        <v>38</v>
      </c>
      <c r="I1198">
        <v>47780</v>
      </c>
      <c r="J1198">
        <v>46280</v>
      </c>
      <c r="K1198">
        <v>1500</v>
      </c>
      <c r="L1198">
        <v>17600</v>
      </c>
      <c r="M1198">
        <v>16100</v>
      </c>
      <c r="N1198">
        <v>1500</v>
      </c>
    </row>
    <row r="1199" spans="1:14" ht="14.4">
      <c r="A1199">
        <v>13367</v>
      </c>
      <c r="B1199">
        <v>13368</v>
      </c>
      <c r="C1199">
        <v>4086</v>
      </c>
      <c r="D1199" t="s">
        <v>390</v>
      </c>
      <c r="E1199" t="s">
        <v>1486</v>
      </c>
      <c r="F1199">
        <v>7801</v>
      </c>
      <c r="G1199" t="s">
        <v>441</v>
      </c>
      <c r="H1199" t="s">
        <v>38</v>
      </c>
      <c r="I1199">
        <v>20715</v>
      </c>
      <c r="J1199">
        <v>20715</v>
      </c>
      <c r="K1199">
        <v>0</v>
      </c>
      <c r="L1199">
        <v>0</v>
      </c>
      <c r="M1199">
        <v>0</v>
      </c>
      <c r="N1199">
        <v>0</v>
      </c>
    </row>
    <row r="1200" spans="1:14" ht="14.4">
      <c r="A1200">
        <v>13367</v>
      </c>
      <c r="B1200">
        <v>13368</v>
      </c>
      <c r="C1200">
        <v>4086</v>
      </c>
      <c r="D1200" t="s">
        <v>390</v>
      </c>
      <c r="E1200" t="s">
        <v>488</v>
      </c>
      <c r="F1200">
        <v>7628</v>
      </c>
      <c r="G1200" t="s">
        <v>76</v>
      </c>
      <c r="H1200" t="s">
        <v>38</v>
      </c>
      <c r="I1200">
        <v>167472</v>
      </c>
      <c r="J1200">
        <v>138247</v>
      </c>
      <c r="K1200">
        <v>29225</v>
      </c>
      <c r="L1200">
        <v>400</v>
      </c>
      <c r="M1200">
        <v>0</v>
      </c>
      <c r="N1200">
        <v>400</v>
      </c>
    </row>
    <row r="1201" spans="1:14" ht="14.4">
      <c r="A1201">
        <v>13367</v>
      </c>
      <c r="B1201">
        <v>13368</v>
      </c>
      <c r="C1201">
        <v>4086</v>
      </c>
      <c r="D1201" t="s">
        <v>390</v>
      </c>
      <c r="E1201" t="s">
        <v>489</v>
      </c>
      <c r="F1201">
        <v>8812</v>
      </c>
      <c r="G1201" t="s">
        <v>406</v>
      </c>
      <c r="H1201" t="s">
        <v>38</v>
      </c>
      <c r="I1201">
        <v>103498</v>
      </c>
      <c r="J1201">
        <v>99698</v>
      </c>
      <c r="K1201">
        <v>3800</v>
      </c>
      <c r="L1201">
        <v>62300</v>
      </c>
      <c r="M1201">
        <v>62300</v>
      </c>
      <c r="N1201">
        <v>0</v>
      </c>
    </row>
    <row r="1202" spans="1:14" ht="14.4">
      <c r="A1202">
        <v>13367</v>
      </c>
      <c r="B1202">
        <v>13368</v>
      </c>
      <c r="C1202">
        <v>4086</v>
      </c>
      <c r="D1202" t="s">
        <v>390</v>
      </c>
      <c r="E1202" t="s">
        <v>490</v>
      </c>
      <c r="F1202">
        <v>8816</v>
      </c>
      <c r="G1202" t="s">
        <v>406</v>
      </c>
      <c r="H1202" t="s">
        <v>38</v>
      </c>
      <c r="I1202">
        <v>1189604</v>
      </c>
      <c r="J1202">
        <v>1041644</v>
      </c>
      <c r="K1202">
        <v>147960</v>
      </c>
      <c r="L1202">
        <v>545800</v>
      </c>
      <c r="M1202">
        <v>465900</v>
      </c>
      <c r="N1202">
        <v>79900</v>
      </c>
    </row>
    <row r="1203" spans="1:14" ht="14.4">
      <c r="A1203">
        <v>13367</v>
      </c>
      <c r="B1203">
        <v>13368</v>
      </c>
      <c r="C1203">
        <v>4086</v>
      </c>
      <c r="D1203" t="s">
        <v>390</v>
      </c>
      <c r="E1203" t="s">
        <v>491</v>
      </c>
      <c r="F1203">
        <v>7936</v>
      </c>
      <c r="G1203" t="s">
        <v>441</v>
      </c>
      <c r="H1203" t="s">
        <v>38</v>
      </c>
      <c r="I1203">
        <v>8281</v>
      </c>
      <c r="J1203">
        <v>8281</v>
      </c>
      <c r="K1203">
        <v>0</v>
      </c>
      <c r="L1203">
        <v>8300</v>
      </c>
      <c r="M1203">
        <v>8300</v>
      </c>
      <c r="N1203">
        <v>0</v>
      </c>
    </row>
    <row r="1204" spans="1:14" ht="14.4">
      <c r="A1204">
        <v>13367</v>
      </c>
      <c r="B1204">
        <v>13368</v>
      </c>
      <c r="C1204">
        <v>4086</v>
      </c>
      <c r="D1204" t="s">
        <v>390</v>
      </c>
      <c r="E1204" t="s">
        <v>493</v>
      </c>
      <c r="F1204">
        <v>7017</v>
      </c>
      <c r="G1204" t="s">
        <v>428</v>
      </c>
      <c r="H1204" t="s">
        <v>38</v>
      </c>
      <c r="I1204">
        <v>488064</v>
      </c>
      <c r="J1204">
        <v>458469</v>
      </c>
      <c r="K1204">
        <v>29595</v>
      </c>
      <c r="L1204">
        <v>148500</v>
      </c>
      <c r="M1204">
        <v>146000</v>
      </c>
      <c r="N1204">
        <v>2500</v>
      </c>
    </row>
    <row r="1205" spans="1:14" ht="14.4">
      <c r="A1205">
        <v>13367</v>
      </c>
      <c r="B1205">
        <v>13368</v>
      </c>
      <c r="C1205">
        <v>4086</v>
      </c>
      <c r="D1205" t="s">
        <v>390</v>
      </c>
      <c r="E1205" t="s">
        <v>493</v>
      </c>
      <c r="F1205">
        <v>7018</v>
      </c>
      <c r="G1205" t="s">
        <v>428</v>
      </c>
      <c r="H1205" t="s">
        <v>38</v>
      </c>
      <c r="I1205">
        <v>177921</v>
      </c>
      <c r="J1205">
        <v>165771</v>
      </c>
      <c r="K1205">
        <v>12150</v>
      </c>
      <c r="L1205">
        <v>68500</v>
      </c>
      <c r="M1205">
        <v>58100</v>
      </c>
      <c r="N1205">
        <v>10400</v>
      </c>
    </row>
    <row r="1206" spans="1:14" ht="14.4">
      <c r="A1206">
        <v>13367</v>
      </c>
      <c r="B1206">
        <v>13368</v>
      </c>
      <c r="C1206">
        <v>4086</v>
      </c>
      <c r="D1206" t="s">
        <v>390</v>
      </c>
      <c r="E1206" t="s">
        <v>494</v>
      </c>
      <c r="F1206">
        <v>7073</v>
      </c>
      <c r="G1206" t="s">
        <v>76</v>
      </c>
      <c r="H1206" t="s">
        <v>38</v>
      </c>
      <c r="I1206">
        <v>140471</v>
      </c>
      <c r="J1206">
        <v>62571</v>
      </c>
      <c r="K1206">
        <v>77900</v>
      </c>
      <c r="L1206">
        <v>70400</v>
      </c>
      <c r="M1206">
        <v>18700</v>
      </c>
      <c r="N1206">
        <v>51700</v>
      </c>
    </row>
    <row r="1207" spans="1:14" ht="14.4">
      <c r="A1207">
        <v>13367</v>
      </c>
      <c r="B1207">
        <v>13368</v>
      </c>
      <c r="C1207">
        <v>4086</v>
      </c>
      <c r="D1207" t="s">
        <v>390</v>
      </c>
      <c r="E1207" t="s">
        <v>495</v>
      </c>
      <c r="F1207">
        <v>8520</v>
      </c>
      <c r="G1207" t="s">
        <v>496</v>
      </c>
      <c r="H1207" t="s">
        <v>38</v>
      </c>
      <c r="I1207">
        <v>28645</v>
      </c>
      <c r="J1207">
        <v>10605</v>
      </c>
      <c r="K1207">
        <v>18040</v>
      </c>
      <c r="L1207">
        <v>16900</v>
      </c>
      <c r="M1207">
        <v>6800</v>
      </c>
      <c r="N1207">
        <v>10100</v>
      </c>
    </row>
    <row r="1208" spans="1:14" ht="14.4">
      <c r="A1208">
        <v>13367</v>
      </c>
      <c r="B1208">
        <v>13368</v>
      </c>
      <c r="C1208">
        <v>4086</v>
      </c>
      <c r="D1208" t="s">
        <v>390</v>
      </c>
      <c r="E1208" t="s">
        <v>1487</v>
      </c>
      <c r="F1208">
        <v>8060</v>
      </c>
      <c r="G1208" t="s">
        <v>443</v>
      </c>
      <c r="H1208" t="s">
        <v>38</v>
      </c>
      <c r="I1208">
        <v>43742</v>
      </c>
      <c r="J1208">
        <v>33742</v>
      </c>
      <c r="K1208">
        <v>10000</v>
      </c>
      <c r="L1208">
        <v>32100</v>
      </c>
      <c r="M1208">
        <v>29700</v>
      </c>
      <c r="N1208">
        <v>2400</v>
      </c>
    </row>
    <row r="1209" spans="1:14" ht="14.4">
      <c r="A1209">
        <v>13367</v>
      </c>
      <c r="B1209">
        <v>13368</v>
      </c>
      <c r="C1209">
        <v>4086</v>
      </c>
      <c r="D1209" t="s">
        <v>390</v>
      </c>
      <c r="E1209" t="s">
        <v>497</v>
      </c>
      <c r="F1209">
        <v>7724</v>
      </c>
      <c r="G1209" t="s">
        <v>392</v>
      </c>
      <c r="H1209" t="s">
        <v>38</v>
      </c>
      <c r="I1209">
        <v>148390</v>
      </c>
      <c r="J1209">
        <v>124515</v>
      </c>
      <c r="K1209">
        <v>23875</v>
      </c>
      <c r="L1209">
        <v>62800</v>
      </c>
      <c r="M1209">
        <v>58500</v>
      </c>
      <c r="N1209">
        <v>4300</v>
      </c>
    </row>
    <row r="1210" spans="1:14" ht="14.4">
      <c r="A1210">
        <v>13367</v>
      </c>
      <c r="B1210">
        <v>13368</v>
      </c>
      <c r="C1210">
        <v>4086</v>
      </c>
      <c r="D1210" t="s">
        <v>390</v>
      </c>
      <c r="E1210" t="s">
        <v>498</v>
      </c>
      <c r="F1210">
        <v>7020</v>
      </c>
      <c r="G1210" t="s">
        <v>76</v>
      </c>
      <c r="H1210" t="s">
        <v>38</v>
      </c>
      <c r="I1210">
        <v>277163</v>
      </c>
      <c r="J1210">
        <v>68728</v>
      </c>
      <c r="K1210">
        <v>208435</v>
      </c>
      <c r="L1210">
        <v>125400</v>
      </c>
      <c r="M1210">
        <v>63300</v>
      </c>
      <c r="N1210">
        <v>62100</v>
      </c>
    </row>
    <row r="1211" spans="1:14" ht="14.4">
      <c r="A1211">
        <v>13367</v>
      </c>
      <c r="B1211">
        <v>13368</v>
      </c>
      <c r="C1211">
        <v>4086</v>
      </c>
      <c r="D1211" t="s">
        <v>390</v>
      </c>
      <c r="E1211" t="s">
        <v>499</v>
      </c>
      <c r="F1211">
        <v>8758</v>
      </c>
      <c r="G1211" t="s">
        <v>402</v>
      </c>
      <c r="H1211" t="s">
        <v>38</v>
      </c>
      <c r="I1211">
        <v>208365</v>
      </c>
      <c r="J1211">
        <v>180785</v>
      </c>
      <c r="K1211">
        <v>27580</v>
      </c>
      <c r="L1211">
        <v>118900</v>
      </c>
      <c r="M1211">
        <v>91300</v>
      </c>
      <c r="N1211">
        <v>27600</v>
      </c>
    </row>
    <row r="1212" spans="1:14" ht="14.4">
      <c r="A1212">
        <v>13367</v>
      </c>
      <c r="B1212">
        <v>13368</v>
      </c>
      <c r="C1212">
        <v>4086</v>
      </c>
      <c r="D1212" t="s">
        <v>390</v>
      </c>
      <c r="E1212" t="s">
        <v>499</v>
      </c>
      <c r="F1212">
        <v>8817</v>
      </c>
      <c r="G1212" t="s">
        <v>406</v>
      </c>
      <c r="H1212" t="s">
        <v>38</v>
      </c>
      <c r="I1212">
        <v>400382</v>
      </c>
      <c r="J1212">
        <v>320632</v>
      </c>
      <c r="K1212">
        <v>79750</v>
      </c>
      <c r="L1212">
        <v>93700</v>
      </c>
      <c r="M1212">
        <v>69900</v>
      </c>
      <c r="N1212">
        <v>23800</v>
      </c>
    </row>
    <row r="1213" spans="1:14" ht="14.4">
      <c r="A1213">
        <v>13367</v>
      </c>
      <c r="B1213">
        <v>13368</v>
      </c>
      <c r="C1213">
        <v>4086</v>
      </c>
      <c r="D1213" t="s">
        <v>390</v>
      </c>
      <c r="E1213" t="s">
        <v>499</v>
      </c>
      <c r="F1213">
        <v>8820</v>
      </c>
      <c r="G1213" t="s">
        <v>406</v>
      </c>
      <c r="H1213" t="s">
        <v>38</v>
      </c>
      <c r="I1213">
        <v>244806</v>
      </c>
      <c r="J1213">
        <v>221631</v>
      </c>
      <c r="K1213">
        <v>23175</v>
      </c>
      <c r="L1213">
        <v>104600</v>
      </c>
      <c r="M1213">
        <v>82200</v>
      </c>
      <c r="N1213">
        <v>22400</v>
      </c>
    </row>
    <row r="1214" spans="1:14" ht="14.4">
      <c r="A1214">
        <v>13367</v>
      </c>
      <c r="B1214">
        <v>13368</v>
      </c>
      <c r="C1214">
        <v>4086</v>
      </c>
      <c r="D1214" t="s">
        <v>390</v>
      </c>
      <c r="E1214" t="s">
        <v>1488</v>
      </c>
      <c r="F1214">
        <v>8234</v>
      </c>
      <c r="G1214" t="s">
        <v>394</v>
      </c>
      <c r="H1214" t="s">
        <v>38</v>
      </c>
      <c r="I1214">
        <v>206084</v>
      </c>
      <c r="J1214">
        <v>178609</v>
      </c>
      <c r="K1214">
        <v>27475</v>
      </c>
      <c r="L1214">
        <v>126100</v>
      </c>
      <c r="M1214">
        <v>114000</v>
      </c>
      <c r="N1214">
        <v>12100</v>
      </c>
    </row>
    <row r="1215" spans="1:14" ht="14.4">
      <c r="A1215">
        <v>13367</v>
      </c>
      <c r="B1215">
        <v>13368</v>
      </c>
      <c r="C1215">
        <v>4086</v>
      </c>
      <c r="D1215" t="s">
        <v>390</v>
      </c>
      <c r="E1215" t="s">
        <v>1489</v>
      </c>
      <c r="F1215">
        <v>8215</v>
      </c>
      <c r="G1215" t="s">
        <v>394</v>
      </c>
      <c r="H1215" t="s">
        <v>38</v>
      </c>
      <c r="I1215">
        <v>21905</v>
      </c>
      <c r="J1215">
        <v>21155</v>
      </c>
      <c r="K1215">
        <v>750</v>
      </c>
      <c r="L1215">
        <v>14000</v>
      </c>
      <c r="M1215">
        <v>13200</v>
      </c>
      <c r="N1215">
        <v>800</v>
      </c>
    </row>
    <row r="1216" spans="1:14" ht="14.4">
      <c r="A1216">
        <v>13367</v>
      </c>
      <c r="B1216">
        <v>13368</v>
      </c>
      <c r="C1216">
        <v>4086</v>
      </c>
      <c r="D1216" t="s">
        <v>390</v>
      </c>
      <c r="E1216" t="s">
        <v>1489</v>
      </c>
      <c r="F1216">
        <v>8234</v>
      </c>
      <c r="G1216" t="s">
        <v>394</v>
      </c>
      <c r="H1216" t="s">
        <v>38</v>
      </c>
      <c r="I1216">
        <v>18861</v>
      </c>
      <c r="J1216">
        <v>18861</v>
      </c>
      <c r="K1216">
        <v>0</v>
      </c>
      <c r="L1216">
        <v>0</v>
      </c>
      <c r="M1216">
        <v>0</v>
      </c>
      <c r="N1216">
        <v>0</v>
      </c>
    </row>
    <row r="1217" spans="1:14" ht="14.4">
      <c r="A1217">
        <v>13367</v>
      </c>
      <c r="B1217">
        <v>13368</v>
      </c>
      <c r="C1217">
        <v>4086</v>
      </c>
      <c r="D1217" t="s">
        <v>390</v>
      </c>
      <c r="E1217" t="s">
        <v>500</v>
      </c>
      <c r="F1217">
        <v>8215</v>
      </c>
      <c r="G1217" t="s">
        <v>394</v>
      </c>
      <c r="H1217" t="s">
        <v>38</v>
      </c>
      <c r="I1217">
        <v>687518</v>
      </c>
      <c r="J1217">
        <v>575693</v>
      </c>
      <c r="K1217">
        <v>111825</v>
      </c>
      <c r="L1217">
        <v>458400</v>
      </c>
      <c r="M1217">
        <v>368400</v>
      </c>
      <c r="N1217">
        <v>90000</v>
      </c>
    </row>
    <row r="1218" spans="1:14" ht="14.4">
      <c r="A1218">
        <v>13367</v>
      </c>
      <c r="B1218">
        <v>13368</v>
      </c>
      <c r="C1218">
        <v>4086</v>
      </c>
      <c r="D1218" t="s">
        <v>390</v>
      </c>
      <c r="E1218" t="s">
        <v>500</v>
      </c>
      <c r="F1218">
        <v>8215</v>
      </c>
      <c r="G1218" t="s">
        <v>443</v>
      </c>
      <c r="H1218" t="s">
        <v>38</v>
      </c>
      <c r="I1218">
        <v>158981</v>
      </c>
      <c r="J1218">
        <v>134381</v>
      </c>
      <c r="K1218">
        <v>24600</v>
      </c>
      <c r="L1218">
        <v>46800</v>
      </c>
      <c r="M1218">
        <v>34200</v>
      </c>
      <c r="N1218">
        <v>12600</v>
      </c>
    </row>
    <row r="1219" spans="1:14" ht="14.4">
      <c r="A1219">
        <v>13367</v>
      </c>
      <c r="B1219">
        <v>13368</v>
      </c>
      <c r="C1219">
        <v>4086</v>
      </c>
      <c r="D1219" t="s">
        <v>390</v>
      </c>
      <c r="E1219" t="s">
        <v>501</v>
      </c>
      <c r="F1219">
        <v>8234</v>
      </c>
      <c r="G1219" t="s">
        <v>394</v>
      </c>
      <c r="H1219" t="s">
        <v>38</v>
      </c>
      <c r="I1219">
        <v>2523648</v>
      </c>
      <c r="J1219">
        <v>2050573</v>
      </c>
      <c r="K1219">
        <v>473075</v>
      </c>
      <c r="L1219">
        <v>1128700</v>
      </c>
      <c r="M1219">
        <v>888700</v>
      </c>
      <c r="N1219">
        <v>240000</v>
      </c>
    </row>
    <row r="1220" spans="1:14" ht="14.4">
      <c r="A1220">
        <v>13367</v>
      </c>
      <c r="B1220">
        <v>13368</v>
      </c>
      <c r="C1220">
        <v>4086</v>
      </c>
      <c r="D1220" t="s">
        <v>390</v>
      </c>
      <c r="E1220" t="s">
        <v>503</v>
      </c>
      <c r="F1220">
        <v>8232</v>
      </c>
      <c r="G1220" t="s">
        <v>394</v>
      </c>
      <c r="H1220" t="s">
        <v>38</v>
      </c>
      <c r="I1220">
        <v>91597</v>
      </c>
      <c r="J1220">
        <v>71897</v>
      </c>
      <c r="K1220">
        <v>19700</v>
      </c>
      <c r="L1220">
        <v>0</v>
      </c>
      <c r="M1220">
        <v>0</v>
      </c>
      <c r="N1220">
        <v>0</v>
      </c>
    </row>
    <row r="1221" spans="1:14" ht="14.4">
      <c r="A1221">
        <v>13367</v>
      </c>
      <c r="B1221">
        <v>13368</v>
      </c>
      <c r="C1221">
        <v>4086</v>
      </c>
      <c r="D1221" t="s">
        <v>390</v>
      </c>
      <c r="E1221" t="s">
        <v>503</v>
      </c>
      <c r="F1221">
        <v>8234</v>
      </c>
      <c r="G1221" t="s">
        <v>394</v>
      </c>
      <c r="H1221" t="s">
        <v>38</v>
      </c>
      <c r="I1221">
        <v>233755</v>
      </c>
      <c r="J1221">
        <v>196675</v>
      </c>
      <c r="K1221">
        <v>37080</v>
      </c>
      <c r="L1221">
        <v>104400</v>
      </c>
      <c r="M1221">
        <v>104400</v>
      </c>
      <c r="N1221">
        <v>0</v>
      </c>
    </row>
    <row r="1222" spans="1:14" ht="14.4">
      <c r="A1222">
        <v>13367</v>
      </c>
      <c r="B1222">
        <v>13368</v>
      </c>
      <c r="C1222">
        <v>4086</v>
      </c>
      <c r="D1222" t="s">
        <v>390</v>
      </c>
      <c r="E1222" t="s">
        <v>1490</v>
      </c>
      <c r="F1222">
        <v>8234</v>
      </c>
      <c r="G1222" t="s">
        <v>394</v>
      </c>
      <c r="H1222" t="s">
        <v>38</v>
      </c>
      <c r="I1222">
        <v>1514</v>
      </c>
      <c r="J1222">
        <v>1064</v>
      </c>
      <c r="K1222">
        <v>450</v>
      </c>
      <c r="L1222">
        <v>0</v>
      </c>
      <c r="M1222">
        <v>0</v>
      </c>
      <c r="N1222">
        <v>0</v>
      </c>
    </row>
    <row r="1223" spans="1:14" ht="14.4">
      <c r="A1223">
        <v>13367</v>
      </c>
      <c r="B1223">
        <v>13368</v>
      </c>
      <c r="C1223">
        <v>4086</v>
      </c>
      <c r="D1223" t="s">
        <v>390</v>
      </c>
      <c r="E1223" t="s">
        <v>1491</v>
      </c>
      <c r="F1223">
        <v>8330</v>
      </c>
      <c r="G1223" t="s">
        <v>394</v>
      </c>
      <c r="H1223" t="s">
        <v>38</v>
      </c>
      <c r="I1223">
        <v>123332</v>
      </c>
      <c r="J1223">
        <v>96582</v>
      </c>
      <c r="K1223">
        <v>26750</v>
      </c>
      <c r="L1223">
        <v>0</v>
      </c>
      <c r="M1223">
        <v>0</v>
      </c>
      <c r="N1223">
        <v>0</v>
      </c>
    </row>
    <row r="1224" spans="1:14" ht="14.4">
      <c r="A1224">
        <v>13367</v>
      </c>
      <c r="B1224">
        <v>13368</v>
      </c>
      <c r="C1224">
        <v>4086</v>
      </c>
      <c r="D1224" t="s">
        <v>390</v>
      </c>
      <c r="E1224" t="s">
        <v>1492</v>
      </c>
      <c r="F1224">
        <v>8234</v>
      </c>
      <c r="G1224" t="s">
        <v>394</v>
      </c>
      <c r="H1224" t="s">
        <v>38</v>
      </c>
      <c r="I1224">
        <v>35723</v>
      </c>
      <c r="J1224">
        <v>29048</v>
      </c>
      <c r="K1224">
        <v>6675</v>
      </c>
      <c r="L1224">
        <v>23000</v>
      </c>
      <c r="M1224">
        <v>20000</v>
      </c>
      <c r="N1224">
        <v>3000</v>
      </c>
    </row>
    <row r="1225" spans="1:14" ht="14.4">
      <c r="A1225">
        <v>13367</v>
      </c>
      <c r="B1225">
        <v>13368</v>
      </c>
      <c r="C1225">
        <v>4086</v>
      </c>
      <c r="D1225" t="s">
        <v>390</v>
      </c>
      <c r="E1225" t="s">
        <v>1493</v>
      </c>
      <c r="F1225">
        <v>8270</v>
      </c>
      <c r="G1225" t="s">
        <v>404</v>
      </c>
      <c r="H1225" t="s">
        <v>38</v>
      </c>
      <c r="I1225">
        <v>61663</v>
      </c>
      <c r="J1225">
        <v>48225</v>
      </c>
      <c r="K1225">
        <v>13438</v>
      </c>
      <c r="L1225">
        <v>0</v>
      </c>
      <c r="M1225">
        <v>0</v>
      </c>
      <c r="N1225">
        <v>0</v>
      </c>
    </row>
    <row r="1226" spans="1:14" ht="14.4">
      <c r="A1226">
        <v>13367</v>
      </c>
      <c r="B1226">
        <v>13368</v>
      </c>
      <c r="C1226">
        <v>4086</v>
      </c>
      <c r="D1226" t="s">
        <v>390</v>
      </c>
      <c r="E1226" t="s">
        <v>504</v>
      </c>
      <c r="F1226">
        <v>7201</v>
      </c>
      <c r="G1226" t="s">
        <v>76</v>
      </c>
      <c r="H1226" t="s">
        <v>38</v>
      </c>
      <c r="I1226">
        <v>9700</v>
      </c>
      <c r="J1226">
        <v>0</v>
      </c>
      <c r="K1226">
        <v>9700</v>
      </c>
      <c r="L1226">
        <v>0</v>
      </c>
      <c r="M1226">
        <v>0</v>
      </c>
      <c r="N1226">
        <v>0</v>
      </c>
    </row>
    <row r="1227" spans="1:14" ht="14.4">
      <c r="A1227">
        <v>13367</v>
      </c>
      <c r="B1227">
        <v>13368</v>
      </c>
      <c r="C1227">
        <v>4086</v>
      </c>
      <c r="D1227" t="s">
        <v>390</v>
      </c>
      <c r="E1227" t="s">
        <v>504</v>
      </c>
      <c r="F1227">
        <v>7201</v>
      </c>
      <c r="G1227" t="s">
        <v>435</v>
      </c>
      <c r="H1227" t="s">
        <v>38</v>
      </c>
      <c r="I1227">
        <v>93066</v>
      </c>
      <c r="J1227">
        <v>78446</v>
      </c>
      <c r="K1227">
        <v>14620</v>
      </c>
      <c r="L1227">
        <v>27100</v>
      </c>
      <c r="M1227">
        <v>20100</v>
      </c>
      <c r="N1227">
        <v>7000</v>
      </c>
    </row>
    <row r="1228" spans="1:14" ht="14.4">
      <c r="A1228">
        <v>13367</v>
      </c>
      <c r="B1228">
        <v>13368</v>
      </c>
      <c r="C1228">
        <v>4086</v>
      </c>
      <c r="D1228" t="s">
        <v>390</v>
      </c>
      <c r="E1228" t="s">
        <v>504</v>
      </c>
      <c r="F1228">
        <v>7202</v>
      </c>
      <c r="G1228" t="s">
        <v>435</v>
      </c>
      <c r="H1228" t="s">
        <v>38</v>
      </c>
      <c r="I1228">
        <v>203826</v>
      </c>
      <c r="J1228">
        <v>174086</v>
      </c>
      <c r="K1228">
        <v>29740</v>
      </c>
      <c r="L1228">
        <v>59500</v>
      </c>
      <c r="M1228">
        <v>59500</v>
      </c>
      <c r="N1228">
        <v>0</v>
      </c>
    </row>
    <row r="1229" spans="1:14" ht="14.4">
      <c r="A1229">
        <v>13367</v>
      </c>
      <c r="B1229">
        <v>13368</v>
      </c>
      <c r="C1229">
        <v>4086</v>
      </c>
      <c r="D1229" t="s">
        <v>390</v>
      </c>
      <c r="E1229" t="s">
        <v>504</v>
      </c>
      <c r="F1229">
        <v>7206</v>
      </c>
      <c r="G1229" t="s">
        <v>435</v>
      </c>
      <c r="H1229" t="s">
        <v>38</v>
      </c>
      <c r="I1229">
        <v>168291</v>
      </c>
      <c r="J1229">
        <v>143281</v>
      </c>
      <c r="K1229">
        <v>25010</v>
      </c>
      <c r="L1229">
        <v>63700</v>
      </c>
      <c r="M1229">
        <v>49600</v>
      </c>
      <c r="N1229">
        <v>14100</v>
      </c>
    </row>
    <row r="1230" spans="1:14" ht="14.4">
      <c r="A1230">
        <v>13367</v>
      </c>
      <c r="B1230">
        <v>13368</v>
      </c>
      <c r="C1230">
        <v>4086</v>
      </c>
      <c r="D1230" t="s">
        <v>390</v>
      </c>
      <c r="E1230" t="s">
        <v>504</v>
      </c>
      <c r="F1230">
        <v>7208</v>
      </c>
      <c r="G1230" t="s">
        <v>435</v>
      </c>
      <c r="H1230" t="s">
        <v>38</v>
      </c>
      <c r="I1230">
        <v>217134</v>
      </c>
      <c r="J1230">
        <v>156864</v>
      </c>
      <c r="K1230">
        <v>60270</v>
      </c>
      <c r="L1230">
        <v>25300</v>
      </c>
      <c r="M1230">
        <v>23500</v>
      </c>
      <c r="N1230">
        <v>1800</v>
      </c>
    </row>
    <row r="1231" spans="1:14" ht="14.4">
      <c r="A1231">
        <v>13367</v>
      </c>
      <c r="B1231">
        <v>13368</v>
      </c>
      <c r="C1231">
        <v>4086</v>
      </c>
      <c r="D1231" t="s">
        <v>390</v>
      </c>
      <c r="E1231" t="s">
        <v>505</v>
      </c>
      <c r="F1231">
        <v>7407</v>
      </c>
      <c r="G1231" t="s">
        <v>76</v>
      </c>
      <c r="H1231" t="s">
        <v>38</v>
      </c>
      <c r="I1231">
        <v>231294</v>
      </c>
      <c r="J1231">
        <v>169294</v>
      </c>
      <c r="K1231">
        <v>62000</v>
      </c>
      <c r="L1231">
        <v>194900</v>
      </c>
      <c r="M1231">
        <v>154900</v>
      </c>
      <c r="N1231">
        <v>40000</v>
      </c>
    </row>
    <row r="1232" spans="1:14" ht="14.4">
      <c r="A1232">
        <v>13367</v>
      </c>
      <c r="B1232">
        <v>13368</v>
      </c>
      <c r="C1232">
        <v>4086</v>
      </c>
      <c r="D1232" t="s">
        <v>390</v>
      </c>
      <c r="E1232" t="s">
        <v>1494</v>
      </c>
      <c r="F1232">
        <v>8217</v>
      </c>
      <c r="G1232" t="s">
        <v>394</v>
      </c>
      <c r="H1232" t="s">
        <v>38</v>
      </c>
      <c r="I1232">
        <v>44169</v>
      </c>
      <c r="J1232">
        <v>44169</v>
      </c>
      <c r="K1232">
        <v>0</v>
      </c>
      <c r="L1232">
        <v>0</v>
      </c>
      <c r="M1232">
        <v>0</v>
      </c>
      <c r="N1232">
        <v>0</v>
      </c>
    </row>
    <row r="1233" spans="1:14" ht="14.4">
      <c r="A1233">
        <v>13367</v>
      </c>
      <c r="B1233">
        <v>13368</v>
      </c>
      <c r="C1233">
        <v>4086</v>
      </c>
      <c r="D1233" t="s">
        <v>390</v>
      </c>
      <c r="E1233" t="s">
        <v>118</v>
      </c>
      <c r="F1233">
        <v>7631</v>
      </c>
      <c r="G1233" t="s">
        <v>76</v>
      </c>
      <c r="H1233" t="s">
        <v>38</v>
      </c>
      <c r="I1233">
        <v>417307</v>
      </c>
      <c r="J1233">
        <v>307972</v>
      </c>
      <c r="K1233">
        <v>109335</v>
      </c>
      <c r="L1233">
        <v>32000</v>
      </c>
      <c r="M1233">
        <v>18200</v>
      </c>
      <c r="N1233">
        <v>13800</v>
      </c>
    </row>
    <row r="1234" spans="1:14" ht="14.4">
      <c r="A1234">
        <v>13367</v>
      </c>
      <c r="B1234">
        <v>13368</v>
      </c>
      <c r="C1234">
        <v>4086</v>
      </c>
      <c r="D1234" t="s">
        <v>390</v>
      </c>
      <c r="E1234" t="s">
        <v>507</v>
      </c>
      <c r="F1234">
        <v>7726</v>
      </c>
      <c r="G1234" t="s">
        <v>392</v>
      </c>
      <c r="H1234" t="s">
        <v>38</v>
      </c>
      <c r="I1234">
        <v>62512</v>
      </c>
      <c r="J1234">
        <v>57762</v>
      </c>
      <c r="K1234">
        <v>4750</v>
      </c>
      <c r="L1234">
        <v>42900</v>
      </c>
      <c r="M1234">
        <v>42800</v>
      </c>
      <c r="N1234">
        <v>100</v>
      </c>
    </row>
    <row r="1235" spans="1:14" ht="14.4">
      <c r="A1235">
        <v>13367</v>
      </c>
      <c r="B1235">
        <v>13368</v>
      </c>
      <c r="C1235">
        <v>4086</v>
      </c>
      <c r="D1235" t="s">
        <v>390</v>
      </c>
      <c r="E1235" t="s">
        <v>1495</v>
      </c>
      <c r="F1235">
        <v>8204</v>
      </c>
      <c r="G1235" t="s">
        <v>404</v>
      </c>
      <c r="H1235" t="s">
        <v>38</v>
      </c>
      <c r="I1235">
        <v>10974</v>
      </c>
      <c r="J1235">
        <v>10474</v>
      </c>
      <c r="K1235">
        <v>500</v>
      </c>
      <c r="L1235">
        <v>0</v>
      </c>
      <c r="M1235">
        <v>0</v>
      </c>
      <c r="N1235">
        <v>0</v>
      </c>
    </row>
    <row r="1236" spans="1:14" ht="14.4">
      <c r="A1236">
        <v>13367</v>
      </c>
      <c r="B1236">
        <v>13368</v>
      </c>
      <c r="C1236">
        <v>4086</v>
      </c>
      <c r="D1236" t="s">
        <v>390</v>
      </c>
      <c r="E1236" t="s">
        <v>1496</v>
      </c>
      <c r="F1236">
        <v>7021</v>
      </c>
      <c r="G1236" t="s">
        <v>428</v>
      </c>
      <c r="H1236" t="s">
        <v>38</v>
      </c>
      <c r="I1236">
        <v>127957</v>
      </c>
      <c r="J1236">
        <v>112397</v>
      </c>
      <c r="K1236">
        <v>15560</v>
      </c>
      <c r="L1236">
        <v>0</v>
      </c>
      <c r="M1236">
        <v>0</v>
      </c>
      <c r="N1236">
        <v>0</v>
      </c>
    </row>
    <row r="1237" spans="1:14" ht="14.4">
      <c r="A1237">
        <v>13367</v>
      </c>
      <c r="B1237">
        <v>13368</v>
      </c>
      <c r="C1237">
        <v>4086</v>
      </c>
      <c r="D1237" t="s">
        <v>390</v>
      </c>
      <c r="E1237" t="s">
        <v>508</v>
      </c>
      <c r="F1237">
        <v>8638</v>
      </c>
      <c r="G1237" t="s">
        <v>496</v>
      </c>
      <c r="H1237" t="s">
        <v>38</v>
      </c>
      <c r="I1237">
        <v>13024</v>
      </c>
      <c r="J1237">
        <v>13024</v>
      </c>
      <c r="K1237">
        <v>0</v>
      </c>
      <c r="L1237">
        <v>0</v>
      </c>
      <c r="M1237">
        <v>0</v>
      </c>
      <c r="N1237">
        <v>0</v>
      </c>
    </row>
    <row r="1238" spans="1:14" ht="14.4">
      <c r="A1238">
        <v>13367</v>
      </c>
      <c r="B1238">
        <v>13368</v>
      </c>
      <c r="C1238">
        <v>4086</v>
      </c>
      <c r="D1238" t="s">
        <v>390</v>
      </c>
      <c r="E1238" t="s">
        <v>509</v>
      </c>
      <c r="F1238">
        <v>7704</v>
      </c>
      <c r="G1238" t="s">
        <v>392</v>
      </c>
      <c r="H1238" t="s">
        <v>38</v>
      </c>
      <c r="I1238">
        <v>379314</v>
      </c>
      <c r="J1238">
        <v>303564</v>
      </c>
      <c r="K1238">
        <v>75750</v>
      </c>
      <c r="L1238">
        <v>148000</v>
      </c>
      <c r="M1238">
        <v>105700</v>
      </c>
      <c r="N1238">
        <v>42300</v>
      </c>
    </row>
    <row r="1239" spans="1:14" ht="14.4">
      <c r="A1239">
        <v>13367</v>
      </c>
      <c r="B1239">
        <v>13368</v>
      </c>
      <c r="C1239">
        <v>4086</v>
      </c>
      <c r="D1239" t="s">
        <v>390</v>
      </c>
      <c r="E1239" t="s">
        <v>510</v>
      </c>
      <c r="F1239">
        <v>7410</v>
      </c>
      <c r="G1239" t="s">
        <v>76</v>
      </c>
      <c r="H1239" t="s">
        <v>38</v>
      </c>
      <c r="I1239">
        <v>53828</v>
      </c>
      <c r="J1239">
        <v>50628</v>
      </c>
      <c r="K1239">
        <v>3200</v>
      </c>
      <c r="L1239">
        <v>14000</v>
      </c>
      <c r="M1239">
        <v>14000</v>
      </c>
      <c r="N1239">
        <v>0</v>
      </c>
    </row>
    <row r="1240" spans="1:14" ht="14.4">
      <c r="A1240">
        <v>13367</v>
      </c>
      <c r="B1240">
        <v>13368</v>
      </c>
      <c r="C1240">
        <v>4086</v>
      </c>
      <c r="D1240" t="s">
        <v>390</v>
      </c>
      <c r="E1240" t="s">
        <v>510</v>
      </c>
      <c r="F1240">
        <v>7414</v>
      </c>
      <c r="G1240" t="s">
        <v>76</v>
      </c>
      <c r="H1240" t="s">
        <v>38</v>
      </c>
      <c r="I1240">
        <v>19675</v>
      </c>
      <c r="J1240">
        <v>19675</v>
      </c>
      <c r="K1240">
        <v>0</v>
      </c>
      <c r="L1240">
        <v>0</v>
      </c>
      <c r="M1240">
        <v>0</v>
      </c>
      <c r="N1240">
        <v>0</v>
      </c>
    </row>
    <row r="1241" spans="1:14" ht="14.4">
      <c r="A1241">
        <v>13367</v>
      </c>
      <c r="B1241">
        <v>13368</v>
      </c>
      <c r="C1241">
        <v>4086</v>
      </c>
      <c r="D1241" t="s">
        <v>390</v>
      </c>
      <c r="E1241" t="s">
        <v>143</v>
      </c>
      <c r="F1241">
        <v>7004</v>
      </c>
      <c r="G1241" t="s">
        <v>428</v>
      </c>
      <c r="H1241" t="s">
        <v>38</v>
      </c>
      <c r="I1241">
        <v>7800</v>
      </c>
      <c r="J1241">
        <v>0</v>
      </c>
      <c r="K1241">
        <v>7800</v>
      </c>
      <c r="L1241">
        <v>0</v>
      </c>
      <c r="M1241">
        <v>0</v>
      </c>
      <c r="N1241">
        <v>0</v>
      </c>
    </row>
    <row r="1242" spans="1:14" ht="14.4">
      <c r="A1242">
        <v>13367</v>
      </c>
      <c r="B1242">
        <v>13368</v>
      </c>
      <c r="C1242">
        <v>4086</v>
      </c>
      <c r="D1242" t="s">
        <v>390</v>
      </c>
      <c r="E1242" t="s">
        <v>511</v>
      </c>
      <c r="F1242">
        <v>7022</v>
      </c>
      <c r="G1242" t="s">
        <v>76</v>
      </c>
      <c r="H1242" t="s">
        <v>38</v>
      </c>
      <c r="I1242">
        <v>6800</v>
      </c>
      <c r="J1242">
        <v>0</v>
      </c>
      <c r="K1242">
        <v>6800</v>
      </c>
      <c r="L1242">
        <v>0</v>
      </c>
      <c r="M1242">
        <v>0</v>
      </c>
      <c r="N1242">
        <v>0</v>
      </c>
    </row>
    <row r="1243" spans="1:14" ht="14.4">
      <c r="A1243">
        <v>13367</v>
      </c>
      <c r="B1243">
        <v>13368</v>
      </c>
      <c r="C1243">
        <v>4086</v>
      </c>
      <c r="D1243" t="s">
        <v>390</v>
      </c>
      <c r="E1243" t="s">
        <v>512</v>
      </c>
      <c r="F1243">
        <v>7023</v>
      </c>
      <c r="G1243" t="s">
        <v>435</v>
      </c>
      <c r="H1243" t="s">
        <v>38</v>
      </c>
      <c r="I1243">
        <v>229998</v>
      </c>
      <c r="J1243">
        <v>222448</v>
      </c>
      <c r="K1243">
        <v>7550</v>
      </c>
      <c r="L1243">
        <v>22000</v>
      </c>
      <c r="M1243">
        <v>20700</v>
      </c>
      <c r="N1243">
        <v>1300</v>
      </c>
    </row>
    <row r="1244" spans="1:14" ht="14.4">
      <c r="A1244">
        <v>13367</v>
      </c>
      <c r="B1244">
        <v>13368</v>
      </c>
      <c r="C1244">
        <v>4086</v>
      </c>
      <c r="D1244" t="s">
        <v>390</v>
      </c>
      <c r="E1244" t="s">
        <v>1497</v>
      </c>
      <c r="F1244">
        <v>7931</v>
      </c>
      <c r="G1244" t="s">
        <v>413</v>
      </c>
      <c r="H1244" t="s">
        <v>38</v>
      </c>
      <c r="I1244">
        <v>103518</v>
      </c>
      <c r="J1244">
        <v>98888</v>
      </c>
      <c r="K1244">
        <v>4630</v>
      </c>
      <c r="L1244">
        <v>0</v>
      </c>
      <c r="M1244">
        <v>0</v>
      </c>
      <c r="N1244">
        <v>0</v>
      </c>
    </row>
    <row r="1245" spans="1:14" ht="14.4">
      <c r="A1245">
        <v>13367</v>
      </c>
      <c r="B1245">
        <v>13368</v>
      </c>
      <c r="C1245">
        <v>4086</v>
      </c>
      <c r="D1245" t="s">
        <v>390</v>
      </c>
      <c r="E1245" t="s">
        <v>124</v>
      </c>
      <c r="F1245">
        <v>7727</v>
      </c>
      <c r="G1245" t="s">
        <v>392</v>
      </c>
      <c r="H1245" t="s">
        <v>38</v>
      </c>
      <c r="I1245">
        <v>35861</v>
      </c>
      <c r="J1245">
        <v>35861</v>
      </c>
      <c r="K1245">
        <v>0</v>
      </c>
      <c r="L1245">
        <v>30700</v>
      </c>
      <c r="M1245">
        <v>30700</v>
      </c>
      <c r="N1245">
        <v>0</v>
      </c>
    </row>
    <row r="1246" spans="1:14" ht="14.4">
      <c r="A1246">
        <v>13367</v>
      </c>
      <c r="B1246">
        <v>13368</v>
      </c>
      <c r="C1246">
        <v>4086</v>
      </c>
      <c r="D1246" t="s">
        <v>390</v>
      </c>
      <c r="E1246" t="s">
        <v>1498</v>
      </c>
      <c r="F1246">
        <v>8821</v>
      </c>
      <c r="G1246" t="s">
        <v>413</v>
      </c>
      <c r="H1246" t="s">
        <v>38</v>
      </c>
      <c r="I1246">
        <v>28935</v>
      </c>
      <c r="J1246">
        <v>28325</v>
      </c>
      <c r="K1246">
        <v>610</v>
      </c>
      <c r="L1246">
        <v>0</v>
      </c>
      <c r="M1246">
        <v>0</v>
      </c>
      <c r="N1246">
        <v>0</v>
      </c>
    </row>
    <row r="1247" spans="1:14" ht="14.4">
      <c r="A1247">
        <v>13367</v>
      </c>
      <c r="B1247">
        <v>13368</v>
      </c>
      <c r="C1247">
        <v>4086</v>
      </c>
      <c r="D1247" t="s">
        <v>390</v>
      </c>
      <c r="E1247" t="s">
        <v>128</v>
      </c>
      <c r="F1247">
        <v>7836</v>
      </c>
      <c r="G1247" t="s">
        <v>441</v>
      </c>
      <c r="H1247" t="s">
        <v>38</v>
      </c>
      <c r="I1247">
        <v>72113</v>
      </c>
      <c r="J1247">
        <v>63963</v>
      </c>
      <c r="K1247">
        <v>8150</v>
      </c>
      <c r="L1247">
        <v>11500</v>
      </c>
      <c r="M1247">
        <v>11500</v>
      </c>
      <c r="N1247">
        <v>0</v>
      </c>
    </row>
    <row r="1248" spans="1:14" ht="14.4">
      <c r="A1248">
        <v>13367</v>
      </c>
      <c r="B1248">
        <v>13368</v>
      </c>
      <c r="C1248">
        <v>4086</v>
      </c>
      <c r="D1248" t="s">
        <v>390</v>
      </c>
      <c r="E1248" t="s">
        <v>513</v>
      </c>
      <c r="F1248">
        <v>8822</v>
      </c>
      <c r="G1248" t="s">
        <v>464</v>
      </c>
      <c r="H1248" t="s">
        <v>38</v>
      </c>
      <c r="I1248">
        <v>553135</v>
      </c>
      <c r="J1248">
        <v>454660</v>
      </c>
      <c r="K1248">
        <v>98475</v>
      </c>
      <c r="L1248">
        <v>112900</v>
      </c>
      <c r="M1248">
        <v>104900</v>
      </c>
      <c r="N1248">
        <v>8000</v>
      </c>
    </row>
    <row r="1249" spans="1:14" ht="14.4">
      <c r="A1249">
        <v>13367</v>
      </c>
      <c r="B1249">
        <v>13368</v>
      </c>
      <c r="C1249">
        <v>4086</v>
      </c>
      <c r="D1249" t="s">
        <v>390</v>
      </c>
      <c r="E1249" t="s">
        <v>1499</v>
      </c>
      <c r="F1249">
        <v>7932</v>
      </c>
      <c r="G1249" t="s">
        <v>441</v>
      </c>
      <c r="H1249" t="s">
        <v>38</v>
      </c>
      <c r="I1249">
        <v>51290</v>
      </c>
      <c r="J1249">
        <v>39690</v>
      </c>
      <c r="K1249">
        <v>11600</v>
      </c>
      <c r="L1249">
        <v>0</v>
      </c>
      <c r="M1249">
        <v>0</v>
      </c>
      <c r="N1249">
        <v>0</v>
      </c>
    </row>
    <row r="1250" spans="1:14" ht="14.4">
      <c r="A1250">
        <v>13367</v>
      </c>
      <c r="B1250">
        <v>13368</v>
      </c>
      <c r="C1250">
        <v>4086</v>
      </c>
      <c r="D1250" t="s">
        <v>390</v>
      </c>
      <c r="E1250" t="s">
        <v>1500</v>
      </c>
      <c r="F1250">
        <v>7932</v>
      </c>
      <c r="G1250" t="s">
        <v>441</v>
      </c>
      <c r="H1250" t="s">
        <v>38</v>
      </c>
      <c r="I1250">
        <v>284482</v>
      </c>
      <c r="J1250">
        <v>259695</v>
      </c>
      <c r="K1250">
        <v>24787</v>
      </c>
      <c r="L1250">
        <v>116600</v>
      </c>
      <c r="M1250">
        <v>92500</v>
      </c>
      <c r="N1250">
        <v>24100</v>
      </c>
    </row>
    <row r="1251" spans="1:14" ht="14.4">
      <c r="A1251">
        <v>13367</v>
      </c>
      <c r="B1251">
        <v>13368</v>
      </c>
      <c r="C1251">
        <v>4086</v>
      </c>
      <c r="D1251" t="s">
        <v>390</v>
      </c>
      <c r="E1251" t="s">
        <v>514</v>
      </c>
      <c r="F1251">
        <v>8863</v>
      </c>
      <c r="G1251" t="s">
        <v>406</v>
      </c>
      <c r="H1251" t="s">
        <v>38</v>
      </c>
      <c r="I1251">
        <v>122662</v>
      </c>
      <c r="J1251">
        <v>116537</v>
      </c>
      <c r="K1251">
        <v>6125</v>
      </c>
      <c r="L1251">
        <v>65700</v>
      </c>
      <c r="M1251">
        <v>59900</v>
      </c>
      <c r="N1251">
        <v>5800</v>
      </c>
    </row>
    <row r="1252" spans="1:14" ht="14.4">
      <c r="A1252">
        <v>13367</v>
      </c>
      <c r="B1252">
        <v>13368</v>
      </c>
      <c r="C1252">
        <v>4086</v>
      </c>
      <c r="D1252" t="s">
        <v>390</v>
      </c>
      <c r="E1252" t="s">
        <v>515</v>
      </c>
      <c r="F1252">
        <v>8731</v>
      </c>
      <c r="G1252" t="s">
        <v>402</v>
      </c>
      <c r="H1252" t="s">
        <v>38</v>
      </c>
      <c r="I1252">
        <v>13791939</v>
      </c>
      <c r="J1252">
        <v>10787016</v>
      </c>
      <c r="K1252">
        <v>3004923</v>
      </c>
      <c r="L1252">
        <v>6406500</v>
      </c>
      <c r="M1252">
        <v>5017900</v>
      </c>
      <c r="N1252">
        <v>1388600</v>
      </c>
    </row>
    <row r="1253" spans="1:14" ht="14.4">
      <c r="A1253">
        <v>13367</v>
      </c>
      <c r="B1253">
        <v>13368</v>
      </c>
      <c r="C1253">
        <v>4086</v>
      </c>
      <c r="D1253" t="s">
        <v>390</v>
      </c>
      <c r="E1253" t="s">
        <v>132</v>
      </c>
      <c r="F1253">
        <v>7024</v>
      </c>
      <c r="G1253" t="s">
        <v>76</v>
      </c>
      <c r="H1253" t="s">
        <v>38</v>
      </c>
      <c r="I1253">
        <v>227762</v>
      </c>
      <c r="J1253">
        <v>140062</v>
      </c>
      <c r="K1253">
        <v>87700</v>
      </c>
      <c r="L1253">
        <v>23600</v>
      </c>
      <c r="M1253">
        <v>23600</v>
      </c>
      <c r="N1253">
        <v>0</v>
      </c>
    </row>
    <row r="1254" spans="1:14" ht="14.4">
      <c r="A1254">
        <v>13367</v>
      </c>
      <c r="B1254">
        <v>13368</v>
      </c>
      <c r="C1254">
        <v>4086</v>
      </c>
      <c r="D1254" t="s">
        <v>390</v>
      </c>
      <c r="E1254" t="s">
        <v>516</v>
      </c>
      <c r="F1254">
        <v>8321</v>
      </c>
      <c r="G1254" t="s">
        <v>452</v>
      </c>
      <c r="H1254" t="s">
        <v>38</v>
      </c>
      <c r="I1254">
        <v>1470696</v>
      </c>
      <c r="J1254">
        <v>1298181</v>
      </c>
      <c r="K1254">
        <v>172515</v>
      </c>
      <c r="L1254">
        <v>343100</v>
      </c>
      <c r="M1254">
        <v>309600</v>
      </c>
      <c r="N1254">
        <v>33500</v>
      </c>
    </row>
    <row r="1255" spans="1:14" ht="14.4">
      <c r="A1255">
        <v>13367</v>
      </c>
      <c r="B1255">
        <v>13368</v>
      </c>
      <c r="C1255">
        <v>4086</v>
      </c>
      <c r="D1255" t="s">
        <v>390</v>
      </c>
      <c r="E1255" t="s">
        <v>1501</v>
      </c>
      <c r="F1255">
        <v>7417</v>
      </c>
      <c r="G1255" t="s">
        <v>76</v>
      </c>
      <c r="H1255" t="s">
        <v>38</v>
      </c>
      <c r="I1255">
        <v>2500</v>
      </c>
      <c r="J1255">
        <v>0</v>
      </c>
      <c r="K1255">
        <v>2500</v>
      </c>
      <c r="L1255">
        <v>0</v>
      </c>
      <c r="M1255">
        <v>0</v>
      </c>
      <c r="N1255">
        <v>0</v>
      </c>
    </row>
    <row r="1256" spans="1:14" ht="14.4">
      <c r="A1256">
        <v>13367</v>
      </c>
      <c r="B1256">
        <v>13368</v>
      </c>
      <c r="C1256">
        <v>4086</v>
      </c>
      <c r="D1256" t="s">
        <v>390</v>
      </c>
      <c r="E1256" t="s">
        <v>1502</v>
      </c>
      <c r="F1256">
        <v>8823</v>
      </c>
      <c r="G1256" t="s">
        <v>413</v>
      </c>
      <c r="H1256" t="s">
        <v>38</v>
      </c>
      <c r="I1256">
        <v>37680</v>
      </c>
      <c r="J1256">
        <v>37680</v>
      </c>
      <c r="K1256">
        <v>0</v>
      </c>
      <c r="L1256">
        <v>21700</v>
      </c>
      <c r="M1256">
        <v>21700</v>
      </c>
      <c r="N1256">
        <v>0</v>
      </c>
    </row>
    <row r="1257" spans="1:14" ht="14.4">
      <c r="A1257">
        <v>13367</v>
      </c>
      <c r="B1257">
        <v>13368</v>
      </c>
      <c r="C1257">
        <v>4086</v>
      </c>
      <c r="D1257" t="s">
        <v>390</v>
      </c>
      <c r="E1257" t="s">
        <v>517</v>
      </c>
      <c r="F1257">
        <v>7728</v>
      </c>
      <c r="G1257" t="s">
        <v>392</v>
      </c>
      <c r="H1257" t="s">
        <v>38</v>
      </c>
      <c r="I1257">
        <v>807003</v>
      </c>
      <c r="J1257">
        <v>723408</v>
      </c>
      <c r="K1257">
        <v>83595</v>
      </c>
      <c r="L1257">
        <v>336600</v>
      </c>
      <c r="M1257">
        <v>308000</v>
      </c>
      <c r="N1257">
        <v>28600</v>
      </c>
    </row>
    <row r="1258" spans="1:14" ht="14.4">
      <c r="A1258">
        <v>13367</v>
      </c>
      <c r="B1258">
        <v>13368</v>
      </c>
      <c r="C1258">
        <v>4086</v>
      </c>
      <c r="D1258" t="s">
        <v>390</v>
      </c>
      <c r="E1258" t="s">
        <v>1503</v>
      </c>
      <c r="F1258">
        <v>8825</v>
      </c>
      <c r="G1258" t="s">
        <v>464</v>
      </c>
      <c r="H1258" t="s">
        <v>38</v>
      </c>
      <c r="I1258">
        <v>26436</v>
      </c>
      <c r="J1258">
        <v>26436</v>
      </c>
      <c r="K1258">
        <v>0</v>
      </c>
      <c r="L1258">
        <v>23900</v>
      </c>
      <c r="M1258">
        <v>23900</v>
      </c>
      <c r="N1258">
        <v>0</v>
      </c>
    </row>
    <row r="1259" spans="1:14" ht="14.4">
      <c r="A1259">
        <v>13367</v>
      </c>
      <c r="B1259">
        <v>13368</v>
      </c>
      <c r="C1259">
        <v>4086</v>
      </c>
      <c r="D1259" t="s">
        <v>390</v>
      </c>
      <c r="E1259" t="s">
        <v>518</v>
      </c>
      <c r="F1259">
        <v>8205</v>
      </c>
      <c r="G1259" t="s">
        <v>394</v>
      </c>
      <c r="H1259" t="s">
        <v>38</v>
      </c>
      <c r="I1259">
        <v>796724</v>
      </c>
      <c r="J1259">
        <v>712819</v>
      </c>
      <c r="K1259">
        <v>83905</v>
      </c>
      <c r="L1259">
        <v>438800</v>
      </c>
      <c r="M1259">
        <v>390500</v>
      </c>
      <c r="N1259">
        <v>48300</v>
      </c>
    </row>
    <row r="1260" spans="1:14" ht="14.4">
      <c r="A1260">
        <v>13367</v>
      </c>
      <c r="B1260">
        <v>13368</v>
      </c>
      <c r="C1260">
        <v>4086</v>
      </c>
      <c r="D1260" t="s">
        <v>390</v>
      </c>
      <c r="E1260" t="s">
        <v>520</v>
      </c>
      <c r="F1260">
        <v>7026</v>
      </c>
      <c r="G1260" t="s">
        <v>76</v>
      </c>
      <c r="H1260" t="s">
        <v>38</v>
      </c>
      <c r="I1260">
        <v>105864</v>
      </c>
      <c r="J1260">
        <v>101414</v>
      </c>
      <c r="K1260">
        <v>4450</v>
      </c>
      <c r="L1260">
        <v>14000</v>
      </c>
      <c r="M1260">
        <v>11700</v>
      </c>
      <c r="N1260">
        <v>2300</v>
      </c>
    </row>
    <row r="1261" spans="1:14" ht="14.4">
      <c r="A1261">
        <v>13367</v>
      </c>
      <c r="B1261">
        <v>13368</v>
      </c>
      <c r="C1261">
        <v>4086</v>
      </c>
      <c r="D1261" t="s">
        <v>390</v>
      </c>
      <c r="E1261" t="s">
        <v>1504</v>
      </c>
      <c r="F1261">
        <v>7027</v>
      </c>
      <c r="G1261" t="s">
        <v>435</v>
      </c>
      <c r="H1261" t="s">
        <v>38</v>
      </c>
      <c r="I1261">
        <v>46534</v>
      </c>
      <c r="J1261">
        <v>46534</v>
      </c>
      <c r="K1261">
        <v>0</v>
      </c>
      <c r="L1261">
        <v>42400</v>
      </c>
      <c r="M1261">
        <v>42400</v>
      </c>
      <c r="N1261">
        <v>0</v>
      </c>
    </row>
    <row r="1262" spans="1:14" ht="14.4">
      <c r="A1262">
        <v>13367</v>
      </c>
      <c r="B1262">
        <v>13368</v>
      </c>
      <c r="C1262">
        <v>4086</v>
      </c>
      <c r="D1262" t="s">
        <v>390</v>
      </c>
      <c r="E1262" t="s">
        <v>1505</v>
      </c>
      <c r="F1262">
        <v>7933</v>
      </c>
      <c r="G1262" t="s">
        <v>441</v>
      </c>
      <c r="H1262" t="s">
        <v>38</v>
      </c>
      <c r="I1262">
        <v>9044</v>
      </c>
      <c r="J1262">
        <v>9044</v>
      </c>
      <c r="K1262">
        <v>0</v>
      </c>
      <c r="L1262">
        <v>9000</v>
      </c>
      <c r="M1262">
        <v>9000</v>
      </c>
      <c r="N1262">
        <v>0</v>
      </c>
    </row>
    <row r="1263" spans="1:14" ht="14.4">
      <c r="A1263">
        <v>13367</v>
      </c>
      <c r="B1263">
        <v>13368</v>
      </c>
      <c r="C1263">
        <v>4086</v>
      </c>
      <c r="D1263" t="s">
        <v>390</v>
      </c>
      <c r="E1263" t="s">
        <v>1506</v>
      </c>
      <c r="F1263">
        <v>8028</v>
      </c>
      <c r="G1263" t="s">
        <v>1452</v>
      </c>
      <c r="H1263" t="s">
        <v>38</v>
      </c>
      <c r="I1263">
        <v>36038</v>
      </c>
      <c r="J1263">
        <v>29288</v>
      </c>
      <c r="K1263">
        <v>6750</v>
      </c>
      <c r="L1263">
        <v>5200</v>
      </c>
      <c r="M1263">
        <v>0</v>
      </c>
      <c r="N1263">
        <v>5200</v>
      </c>
    </row>
    <row r="1264" spans="1:14" ht="14.4">
      <c r="A1264">
        <v>13367</v>
      </c>
      <c r="B1264">
        <v>13368</v>
      </c>
      <c r="C1264">
        <v>4086</v>
      </c>
      <c r="D1264" t="s">
        <v>390</v>
      </c>
      <c r="E1264" t="s">
        <v>1507</v>
      </c>
      <c r="F1264">
        <v>8826</v>
      </c>
      <c r="G1264" t="s">
        <v>464</v>
      </c>
      <c r="H1264" t="s">
        <v>38</v>
      </c>
      <c r="I1264">
        <v>6650</v>
      </c>
      <c r="J1264">
        <v>6650</v>
      </c>
      <c r="K1264">
        <v>0</v>
      </c>
      <c r="L1264">
        <v>6700</v>
      </c>
      <c r="M1264">
        <v>6700</v>
      </c>
      <c r="N1264">
        <v>0</v>
      </c>
    </row>
    <row r="1265" spans="1:14" ht="14.4">
      <c r="A1265">
        <v>13367</v>
      </c>
      <c r="B1265">
        <v>13368</v>
      </c>
      <c r="C1265">
        <v>4086</v>
      </c>
      <c r="D1265" t="s">
        <v>390</v>
      </c>
      <c r="E1265" t="s">
        <v>521</v>
      </c>
      <c r="F1265">
        <v>7028</v>
      </c>
      <c r="G1265" t="s">
        <v>428</v>
      </c>
      <c r="H1265" t="s">
        <v>38</v>
      </c>
      <c r="I1265">
        <v>123132</v>
      </c>
      <c r="J1265">
        <v>117032</v>
      </c>
      <c r="K1265">
        <v>6100</v>
      </c>
      <c r="L1265">
        <v>49700</v>
      </c>
      <c r="M1265">
        <v>48000</v>
      </c>
      <c r="N1265">
        <v>1700</v>
      </c>
    </row>
    <row r="1266" spans="1:14" ht="14.4">
      <c r="A1266">
        <v>13367</v>
      </c>
      <c r="B1266">
        <v>13368</v>
      </c>
      <c r="C1266">
        <v>4086</v>
      </c>
      <c r="D1266" t="s">
        <v>390</v>
      </c>
      <c r="E1266" t="s">
        <v>522</v>
      </c>
      <c r="F1266">
        <v>7452</v>
      </c>
      <c r="G1266" t="s">
        <v>76</v>
      </c>
      <c r="H1266" t="s">
        <v>38</v>
      </c>
      <c r="I1266">
        <v>32377</v>
      </c>
      <c r="J1266">
        <v>27877</v>
      </c>
      <c r="K1266">
        <v>4500</v>
      </c>
      <c r="L1266">
        <v>0</v>
      </c>
      <c r="M1266">
        <v>0</v>
      </c>
      <c r="N1266">
        <v>0</v>
      </c>
    </row>
    <row r="1267" spans="1:14" ht="14.4">
      <c r="A1267">
        <v>13367</v>
      </c>
      <c r="B1267">
        <v>13368</v>
      </c>
      <c r="C1267">
        <v>4086</v>
      </c>
      <c r="D1267" t="s">
        <v>390</v>
      </c>
      <c r="E1267" t="s">
        <v>1508</v>
      </c>
      <c r="F1267">
        <v>8029</v>
      </c>
      <c r="G1267" t="s">
        <v>465</v>
      </c>
      <c r="H1267" t="s">
        <v>38</v>
      </c>
      <c r="I1267">
        <v>4489</v>
      </c>
      <c r="J1267">
        <v>4489</v>
      </c>
      <c r="K1267">
        <v>0</v>
      </c>
      <c r="L1267">
        <v>4500</v>
      </c>
      <c r="M1267">
        <v>4500</v>
      </c>
      <c r="N1267">
        <v>0</v>
      </c>
    </row>
    <row r="1268" spans="1:14" ht="14.4">
      <c r="A1268">
        <v>13367</v>
      </c>
      <c r="B1268">
        <v>13368</v>
      </c>
      <c r="C1268">
        <v>4086</v>
      </c>
      <c r="D1268" t="s">
        <v>390</v>
      </c>
      <c r="E1268" t="s">
        <v>1509</v>
      </c>
      <c r="F1268">
        <v>8030</v>
      </c>
      <c r="G1268" t="s">
        <v>465</v>
      </c>
      <c r="H1268" t="s">
        <v>38</v>
      </c>
      <c r="I1268">
        <v>13883</v>
      </c>
      <c r="J1268">
        <v>13883</v>
      </c>
      <c r="K1268">
        <v>0</v>
      </c>
      <c r="L1268">
        <v>12900</v>
      </c>
      <c r="M1268">
        <v>12900</v>
      </c>
      <c r="N1268">
        <v>0</v>
      </c>
    </row>
    <row r="1269" spans="1:14" ht="14.4">
      <c r="A1269">
        <v>13367</v>
      </c>
      <c r="B1269">
        <v>13368</v>
      </c>
      <c r="C1269">
        <v>4086</v>
      </c>
      <c r="D1269" t="s">
        <v>390</v>
      </c>
      <c r="E1269" t="s">
        <v>1220</v>
      </c>
      <c r="F1269">
        <v>8218</v>
      </c>
      <c r="G1269" t="s">
        <v>404</v>
      </c>
      <c r="H1269" t="s">
        <v>38</v>
      </c>
      <c r="I1269">
        <v>958</v>
      </c>
      <c r="J1269">
        <v>958</v>
      </c>
      <c r="K1269">
        <v>0</v>
      </c>
      <c r="L1269">
        <v>1000</v>
      </c>
      <c r="M1269">
        <v>1000</v>
      </c>
      <c r="N1269">
        <v>0</v>
      </c>
    </row>
    <row r="1270" spans="1:14" ht="14.4">
      <c r="A1270">
        <v>13367</v>
      </c>
      <c r="B1270">
        <v>13368</v>
      </c>
      <c r="C1270">
        <v>4086</v>
      </c>
      <c r="D1270" t="s">
        <v>390</v>
      </c>
      <c r="E1270" t="s">
        <v>1510</v>
      </c>
      <c r="F1270">
        <v>7838</v>
      </c>
      <c r="G1270" t="s">
        <v>398</v>
      </c>
      <c r="H1270" t="s">
        <v>38</v>
      </c>
      <c r="I1270">
        <v>68403</v>
      </c>
      <c r="J1270">
        <v>66653</v>
      </c>
      <c r="K1270">
        <v>1750</v>
      </c>
      <c r="L1270">
        <v>33300</v>
      </c>
      <c r="M1270">
        <v>33100</v>
      </c>
      <c r="N1270">
        <v>200</v>
      </c>
    </row>
    <row r="1271" spans="1:14" ht="14.4">
      <c r="A1271">
        <v>13367</v>
      </c>
      <c r="B1271">
        <v>13368</v>
      </c>
      <c r="C1271">
        <v>4086</v>
      </c>
      <c r="D1271" t="s">
        <v>390</v>
      </c>
      <c r="E1271" t="s">
        <v>1511</v>
      </c>
      <c r="F1271">
        <v>8812</v>
      </c>
      <c r="G1271" t="s">
        <v>413</v>
      </c>
      <c r="H1271" t="s">
        <v>38</v>
      </c>
      <c r="I1271">
        <v>45799</v>
      </c>
      <c r="J1271">
        <v>44899</v>
      </c>
      <c r="K1271">
        <v>900</v>
      </c>
      <c r="L1271">
        <v>27700</v>
      </c>
      <c r="M1271">
        <v>27700</v>
      </c>
      <c r="N1271">
        <v>0</v>
      </c>
    </row>
    <row r="1272" spans="1:14" ht="14.4">
      <c r="A1272">
        <v>13367</v>
      </c>
      <c r="B1272">
        <v>13368</v>
      </c>
      <c r="C1272">
        <v>4086</v>
      </c>
      <c r="D1272" t="s">
        <v>390</v>
      </c>
      <c r="E1272" t="s">
        <v>1512</v>
      </c>
      <c r="F1272">
        <v>7935</v>
      </c>
      <c r="G1272" t="s">
        <v>441</v>
      </c>
      <c r="H1272" t="s">
        <v>38</v>
      </c>
      <c r="I1272">
        <v>22235</v>
      </c>
      <c r="J1272">
        <v>21035</v>
      </c>
      <c r="K1272">
        <v>1200</v>
      </c>
      <c r="L1272">
        <v>21900</v>
      </c>
      <c r="M1272">
        <v>20700</v>
      </c>
      <c r="N1272">
        <v>1200</v>
      </c>
    </row>
    <row r="1273" spans="1:14" ht="14.4">
      <c r="A1273">
        <v>13367</v>
      </c>
      <c r="B1273">
        <v>13368</v>
      </c>
      <c r="C1273">
        <v>4086</v>
      </c>
      <c r="D1273" t="s">
        <v>390</v>
      </c>
      <c r="E1273" t="s">
        <v>526</v>
      </c>
      <c r="F1273">
        <v>8323</v>
      </c>
      <c r="G1273" t="s">
        <v>452</v>
      </c>
      <c r="H1273" t="s">
        <v>38</v>
      </c>
      <c r="I1273">
        <v>150747</v>
      </c>
      <c r="J1273">
        <v>137232</v>
      </c>
      <c r="K1273">
        <v>13515</v>
      </c>
      <c r="L1273">
        <v>0</v>
      </c>
      <c r="M1273">
        <v>0</v>
      </c>
      <c r="N1273">
        <v>0</v>
      </c>
    </row>
    <row r="1274" spans="1:14" ht="14.4">
      <c r="A1274">
        <v>13367</v>
      </c>
      <c r="B1274">
        <v>13368</v>
      </c>
      <c r="C1274">
        <v>4086</v>
      </c>
      <c r="D1274" t="s">
        <v>390</v>
      </c>
      <c r="E1274" t="s">
        <v>1513</v>
      </c>
      <c r="F1274">
        <v>7093</v>
      </c>
      <c r="G1274" t="s">
        <v>37</v>
      </c>
      <c r="H1274" t="s">
        <v>38</v>
      </c>
      <c r="I1274">
        <v>6207</v>
      </c>
      <c r="J1274">
        <v>5207</v>
      </c>
      <c r="K1274">
        <v>1000</v>
      </c>
      <c r="L1274">
        <v>0</v>
      </c>
      <c r="M1274">
        <v>0</v>
      </c>
      <c r="N1274">
        <v>0</v>
      </c>
    </row>
    <row r="1275" spans="1:14" ht="14.4">
      <c r="A1275">
        <v>13367</v>
      </c>
      <c r="B1275">
        <v>13368</v>
      </c>
      <c r="C1275">
        <v>4086</v>
      </c>
      <c r="D1275" t="s">
        <v>390</v>
      </c>
      <c r="E1275" t="s">
        <v>153</v>
      </c>
      <c r="F1275">
        <v>7601</v>
      </c>
      <c r="G1275" t="s">
        <v>76</v>
      </c>
      <c r="H1275" t="s">
        <v>38</v>
      </c>
      <c r="I1275">
        <v>1081854</v>
      </c>
      <c r="J1275">
        <v>653034</v>
      </c>
      <c r="K1275">
        <v>428820</v>
      </c>
      <c r="L1275">
        <v>425300</v>
      </c>
      <c r="M1275">
        <v>216000</v>
      </c>
      <c r="N1275">
        <v>209300</v>
      </c>
    </row>
    <row r="1276" spans="1:14" ht="14.4">
      <c r="A1276">
        <v>13367</v>
      </c>
      <c r="B1276">
        <v>13368</v>
      </c>
      <c r="C1276">
        <v>4086</v>
      </c>
      <c r="D1276" t="s">
        <v>390</v>
      </c>
      <c r="E1276" t="s">
        <v>527</v>
      </c>
      <c r="F1276">
        <v>7840</v>
      </c>
      <c r="G1276" t="s">
        <v>398</v>
      </c>
      <c r="H1276" t="s">
        <v>38</v>
      </c>
      <c r="I1276">
        <v>82912</v>
      </c>
      <c r="J1276">
        <v>43577</v>
      </c>
      <c r="K1276">
        <v>39335</v>
      </c>
      <c r="L1276">
        <v>20300</v>
      </c>
      <c r="M1276">
        <v>16300</v>
      </c>
      <c r="N1276">
        <v>4000</v>
      </c>
    </row>
    <row r="1277" spans="1:14" ht="14.4">
      <c r="A1277">
        <v>13367</v>
      </c>
      <c r="B1277">
        <v>13368</v>
      </c>
      <c r="C1277">
        <v>4086</v>
      </c>
      <c r="D1277" t="s">
        <v>390</v>
      </c>
      <c r="E1277" t="s">
        <v>1514</v>
      </c>
      <c r="F1277">
        <v>8036</v>
      </c>
      <c r="G1277" t="s">
        <v>443</v>
      </c>
      <c r="H1277" t="s">
        <v>38</v>
      </c>
      <c r="I1277">
        <v>22182</v>
      </c>
      <c r="J1277">
        <v>18552</v>
      </c>
      <c r="K1277">
        <v>3630</v>
      </c>
      <c r="L1277">
        <v>22200</v>
      </c>
      <c r="M1277">
        <v>18600</v>
      </c>
      <c r="N1277">
        <v>3600</v>
      </c>
    </row>
    <row r="1278" spans="1:14" ht="14.4">
      <c r="A1278">
        <v>13367</v>
      </c>
      <c r="B1278">
        <v>13368</v>
      </c>
      <c r="C1278">
        <v>4086</v>
      </c>
      <c r="D1278" t="s">
        <v>390</v>
      </c>
      <c r="E1278" t="s">
        <v>1515</v>
      </c>
      <c r="F1278">
        <v>7508</v>
      </c>
      <c r="G1278" t="s">
        <v>429</v>
      </c>
      <c r="H1278" t="s">
        <v>38</v>
      </c>
      <c r="I1278">
        <v>86296</v>
      </c>
      <c r="J1278">
        <v>83346</v>
      </c>
      <c r="K1278">
        <v>2950</v>
      </c>
      <c r="L1278">
        <v>41600</v>
      </c>
      <c r="M1278">
        <v>39300</v>
      </c>
      <c r="N1278">
        <v>2300</v>
      </c>
    </row>
    <row r="1279" spans="1:14" ht="14.4">
      <c r="A1279">
        <v>13367</v>
      </c>
      <c r="B1279">
        <v>13368</v>
      </c>
      <c r="C1279">
        <v>4086</v>
      </c>
      <c r="D1279" t="s">
        <v>390</v>
      </c>
      <c r="E1279" t="s">
        <v>529</v>
      </c>
      <c r="F1279">
        <v>8610</v>
      </c>
      <c r="G1279" t="s">
        <v>496</v>
      </c>
      <c r="H1279" t="s">
        <v>38</v>
      </c>
      <c r="I1279">
        <v>186339</v>
      </c>
      <c r="J1279">
        <v>172494</v>
      </c>
      <c r="K1279">
        <v>13845</v>
      </c>
      <c r="L1279">
        <v>6800</v>
      </c>
      <c r="M1279">
        <v>0</v>
      </c>
      <c r="N1279">
        <v>6800</v>
      </c>
    </row>
    <row r="1280" spans="1:14" ht="14.4">
      <c r="A1280">
        <v>13367</v>
      </c>
      <c r="B1280">
        <v>13368</v>
      </c>
      <c r="C1280">
        <v>4086</v>
      </c>
      <c r="D1280" t="s">
        <v>390</v>
      </c>
      <c r="E1280" t="s">
        <v>531</v>
      </c>
      <c r="F1280">
        <v>8037</v>
      </c>
      <c r="G1280" t="s">
        <v>394</v>
      </c>
      <c r="H1280" t="s">
        <v>38</v>
      </c>
      <c r="I1280">
        <v>1630031</v>
      </c>
      <c r="J1280">
        <v>1274606</v>
      </c>
      <c r="K1280">
        <v>355425</v>
      </c>
      <c r="L1280">
        <v>1066100</v>
      </c>
      <c r="M1280">
        <v>851600</v>
      </c>
      <c r="N1280">
        <v>214500</v>
      </c>
    </row>
    <row r="1281" spans="1:14" ht="14.4">
      <c r="A1281">
        <v>13367</v>
      </c>
      <c r="B1281">
        <v>13368</v>
      </c>
      <c r="C1281">
        <v>4086</v>
      </c>
      <c r="D1281" t="s">
        <v>390</v>
      </c>
      <c r="E1281" t="s">
        <v>1516</v>
      </c>
      <c r="F1281">
        <v>8827</v>
      </c>
      <c r="G1281" t="s">
        <v>464</v>
      </c>
      <c r="H1281" t="s">
        <v>38</v>
      </c>
      <c r="I1281">
        <v>76499</v>
      </c>
      <c r="J1281">
        <v>76499</v>
      </c>
      <c r="K1281">
        <v>0</v>
      </c>
      <c r="L1281">
        <v>0</v>
      </c>
      <c r="M1281">
        <v>0</v>
      </c>
      <c r="N1281">
        <v>0</v>
      </c>
    </row>
    <row r="1282" spans="1:14" ht="14.4">
      <c r="A1282">
        <v>13367</v>
      </c>
      <c r="B1282">
        <v>13368</v>
      </c>
      <c r="C1282">
        <v>4086</v>
      </c>
      <c r="D1282" t="s">
        <v>390</v>
      </c>
      <c r="E1282" t="s">
        <v>532</v>
      </c>
      <c r="F1282">
        <v>7640</v>
      </c>
      <c r="G1282" t="s">
        <v>76</v>
      </c>
      <c r="H1282" t="s">
        <v>38</v>
      </c>
      <c r="I1282">
        <v>57671</v>
      </c>
      <c r="J1282">
        <v>57671</v>
      </c>
      <c r="K1282">
        <v>0</v>
      </c>
      <c r="L1282">
        <v>0</v>
      </c>
      <c r="M1282">
        <v>0</v>
      </c>
      <c r="N1282">
        <v>0</v>
      </c>
    </row>
    <row r="1283" spans="1:14" ht="14.4">
      <c r="A1283">
        <v>13367</v>
      </c>
      <c r="B1283">
        <v>13368</v>
      </c>
      <c r="C1283">
        <v>4086</v>
      </c>
      <c r="D1283" t="s">
        <v>390</v>
      </c>
      <c r="E1283" t="s">
        <v>155</v>
      </c>
      <c r="F1283">
        <v>7029</v>
      </c>
      <c r="G1283" t="s">
        <v>37</v>
      </c>
      <c r="H1283" t="s">
        <v>38</v>
      </c>
      <c r="I1283">
        <v>1154637</v>
      </c>
      <c r="J1283">
        <v>386112</v>
      </c>
      <c r="K1283">
        <v>768525</v>
      </c>
      <c r="L1283">
        <v>321900</v>
      </c>
      <c r="M1283">
        <v>116500</v>
      </c>
      <c r="N1283">
        <v>205400</v>
      </c>
    </row>
    <row r="1284" spans="1:14" ht="14.4">
      <c r="A1284">
        <v>13367</v>
      </c>
      <c r="B1284">
        <v>13368</v>
      </c>
      <c r="C1284">
        <v>4086</v>
      </c>
      <c r="D1284" t="s">
        <v>390</v>
      </c>
      <c r="E1284" t="s">
        <v>533</v>
      </c>
      <c r="F1284">
        <v>8008</v>
      </c>
      <c r="G1284" t="s">
        <v>402</v>
      </c>
      <c r="H1284" t="s">
        <v>38</v>
      </c>
      <c r="I1284">
        <v>974270</v>
      </c>
      <c r="J1284">
        <v>702335</v>
      </c>
      <c r="K1284">
        <v>271935</v>
      </c>
      <c r="L1284">
        <v>282500</v>
      </c>
      <c r="M1284">
        <v>220900</v>
      </c>
      <c r="N1284">
        <v>61600</v>
      </c>
    </row>
    <row r="1285" spans="1:14" ht="14.4">
      <c r="A1285">
        <v>13367</v>
      </c>
      <c r="B1285">
        <v>13368</v>
      </c>
      <c r="C1285">
        <v>4086</v>
      </c>
      <c r="D1285" t="s">
        <v>390</v>
      </c>
      <c r="E1285" t="s">
        <v>534</v>
      </c>
      <c r="F1285">
        <v>7604</v>
      </c>
      <c r="G1285" t="s">
        <v>76</v>
      </c>
      <c r="H1285" t="s">
        <v>38</v>
      </c>
      <c r="I1285">
        <v>86428</v>
      </c>
      <c r="J1285">
        <v>74848</v>
      </c>
      <c r="K1285">
        <v>11580</v>
      </c>
      <c r="L1285">
        <v>47100</v>
      </c>
      <c r="M1285">
        <v>35500</v>
      </c>
      <c r="N1285">
        <v>11600</v>
      </c>
    </row>
    <row r="1286" spans="1:14" ht="14.4">
      <c r="A1286">
        <v>13367</v>
      </c>
      <c r="B1286">
        <v>13368</v>
      </c>
      <c r="C1286">
        <v>4086</v>
      </c>
      <c r="D1286" t="s">
        <v>390</v>
      </c>
      <c r="E1286" t="s">
        <v>1517</v>
      </c>
      <c r="F1286">
        <v>7420</v>
      </c>
      <c r="G1286" t="s">
        <v>429</v>
      </c>
      <c r="H1286" t="s">
        <v>38</v>
      </c>
      <c r="I1286">
        <v>281833</v>
      </c>
      <c r="J1286">
        <v>269833</v>
      </c>
      <c r="K1286">
        <v>12000</v>
      </c>
      <c r="L1286">
        <v>87200</v>
      </c>
      <c r="M1286">
        <v>79400</v>
      </c>
      <c r="N1286">
        <v>7800</v>
      </c>
    </row>
    <row r="1287" spans="1:14" ht="14.4">
      <c r="A1287">
        <v>13367</v>
      </c>
      <c r="B1287">
        <v>13368</v>
      </c>
      <c r="C1287">
        <v>4086</v>
      </c>
      <c r="D1287" t="s">
        <v>390</v>
      </c>
      <c r="E1287" t="s">
        <v>535</v>
      </c>
      <c r="F1287">
        <v>8008</v>
      </c>
      <c r="G1287" t="s">
        <v>402</v>
      </c>
      <c r="H1287" t="s">
        <v>38</v>
      </c>
      <c r="I1287">
        <v>480446</v>
      </c>
      <c r="J1287">
        <v>377371</v>
      </c>
      <c r="K1287">
        <v>103075</v>
      </c>
      <c r="L1287">
        <v>0</v>
      </c>
      <c r="M1287">
        <v>0</v>
      </c>
      <c r="N1287">
        <v>0</v>
      </c>
    </row>
    <row r="1288" spans="1:14" ht="14.4">
      <c r="A1288">
        <v>13367</v>
      </c>
      <c r="B1288">
        <v>13368</v>
      </c>
      <c r="C1288">
        <v>4086</v>
      </c>
      <c r="D1288" t="s">
        <v>390</v>
      </c>
      <c r="E1288" t="s">
        <v>1518</v>
      </c>
      <c r="F1288">
        <v>7641</v>
      </c>
      <c r="G1288" t="s">
        <v>76</v>
      </c>
      <c r="H1288" t="s">
        <v>38</v>
      </c>
      <c r="I1288">
        <v>193863</v>
      </c>
      <c r="J1288">
        <v>156688</v>
      </c>
      <c r="K1288">
        <v>37175</v>
      </c>
      <c r="L1288">
        <v>139400</v>
      </c>
      <c r="M1288">
        <v>102200</v>
      </c>
      <c r="N1288">
        <v>37200</v>
      </c>
    </row>
    <row r="1289" spans="1:14" ht="14.4">
      <c r="A1289">
        <v>13367</v>
      </c>
      <c r="B1289">
        <v>13368</v>
      </c>
      <c r="C1289">
        <v>4086</v>
      </c>
      <c r="D1289" t="s">
        <v>390</v>
      </c>
      <c r="E1289" t="s">
        <v>536</v>
      </c>
      <c r="F1289">
        <v>7506</v>
      </c>
      <c r="G1289" t="s">
        <v>429</v>
      </c>
      <c r="H1289" t="s">
        <v>38</v>
      </c>
      <c r="I1289">
        <v>6190</v>
      </c>
      <c r="J1289">
        <v>6190</v>
      </c>
      <c r="K1289">
        <v>0</v>
      </c>
      <c r="L1289">
        <v>0</v>
      </c>
      <c r="M1289">
        <v>0</v>
      </c>
      <c r="N1289">
        <v>0</v>
      </c>
    </row>
    <row r="1290" spans="1:14" ht="14.4">
      <c r="A1290">
        <v>13367</v>
      </c>
      <c r="B1290">
        <v>13368</v>
      </c>
      <c r="C1290">
        <v>4086</v>
      </c>
      <c r="D1290" t="s">
        <v>390</v>
      </c>
      <c r="E1290" t="s">
        <v>537</v>
      </c>
      <c r="F1290">
        <v>7730</v>
      </c>
      <c r="G1290" t="s">
        <v>392</v>
      </c>
      <c r="H1290" t="s">
        <v>38</v>
      </c>
      <c r="I1290">
        <v>452535</v>
      </c>
      <c r="J1290">
        <v>329340</v>
      </c>
      <c r="K1290">
        <v>123195</v>
      </c>
      <c r="L1290">
        <v>265900</v>
      </c>
      <c r="M1290">
        <v>201000</v>
      </c>
      <c r="N1290">
        <v>64900</v>
      </c>
    </row>
    <row r="1291" spans="1:14" ht="14.4">
      <c r="A1291">
        <v>13367</v>
      </c>
      <c r="B1291">
        <v>13368</v>
      </c>
      <c r="C1291">
        <v>4086</v>
      </c>
      <c r="D1291" t="s">
        <v>390</v>
      </c>
      <c r="E1291" t="s">
        <v>538</v>
      </c>
      <c r="F1291">
        <v>8324</v>
      </c>
      <c r="G1291" t="s">
        <v>452</v>
      </c>
      <c r="H1291" t="s">
        <v>38</v>
      </c>
      <c r="I1291">
        <v>556770</v>
      </c>
      <c r="J1291">
        <v>474875</v>
      </c>
      <c r="K1291">
        <v>81895</v>
      </c>
      <c r="L1291">
        <v>158800</v>
      </c>
      <c r="M1291">
        <v>115600</v>
      </c>
      <c r="N1291">
        <v>43200</v>
      </c>
    </row>
    <row r="1292" spans="1:14" ht="14.4">
      <c r="A1292">
        <v>13367</v>
      </c>
      <c r="B1292">
        <v>13368</v>
      </c>
      <c r="C1292">
        <v>4086</v>
      </c>
      <c r="D1292" t="s">
        <v>390</v>
      </c>
      <c r="E1292" t="s">
        <v>1519</v>
      </c>
      <c r="F1292">
        <v>8828</v>
      </c>
      <c r="G1292" t="s">
        <v>406</v>
      </c>
      <c r="H1292" t="s">
        <v>38</v>
      </c>
      <c r="I1292">
        <v>16975</v>
      </c>
      <c r="J1292">
        <v>15475</v>
      </c>
      <c r="K1292">
        <v>1500</v>
      </c>
      <c r="L1292">
        <v>0</v>
      </c>
      <c r="M1292">
        <v>0</v>
      </c>
      <c r="N1292">
        <v>0</v>
      </c>
    </row>
    <row r="1293" spans="1:14" ht="14.4">
      <c r="A1293">
        <v>13367</v>
      </c>
      <c r="B1293">
        <v>13368</v>
      </c>
      <c r="C1293">
        <v>4086</v>
      </c>
      <c r="D1293" t="s">
        <v>390</v>
      </c>
      <c r="E1293" t="s">
        <v>539</v>
      </c>
      <c r="F1293">
        <v>7421</v>
      </c>
      <c r="G1293" t="s">
        <v>429</v>
      </c>
      <c r="H1293" t="s">
        <v>38</v>
      </c>
      <c r="I1293">
        <v>140826</v>
      </c>
      <c r="J1293">
        <v>121426</v>
      </c>
      <c r="K1293">
        <v>19400</v>
      </c>
      <c r="L1293">
        <v>91200</v>
      </c>
      <c r="M1293">
        <v>72300</v>
      </c>
      <c r="N1293">
        <v>18900</v>
      </c>
    </row>
    <row r="1294" spans="1:14" ht="14.4">
      <c r="A1294">
        <v>13367</v>
      </c>
      <c r="B1294">
        <v>13368</v>
      </c>
      <c r="C1294">
        <v>4086</v>
      </c>
      <c r="D1294" t="s">
        <v>390</v>
      </c>
      <c r="E1294" t="s">
        <v>1520</v>
      </c>
      <c r="F1294">
        <v>8829</v>
      </c>
      <c r="G1294" t="s">
        <v>464</v>
      </c>
      <c r="H1294" t="s">
        <v>38</v>
      </c>
      <c r="I1294">
        <v>94829</v>
      </c>
      <c r="J1294">
        <v>89629</v>
      </c>
      <c r="K1294">
        <v>5200</v>
      </c>
      <c r="L1294">
        <v>94900</v>
      </c>
      <c r="M1294">
        <v>89700</v>
      </c>
      <c r="N1294">
        <v>5200</v>
      </c>
    </row>
    <row r="1295" spans="1:14" ht="14.4">
      <c r="A1295">
        <v>13367</v>
      </c>
      <c r="B1295">
        <v>13368</v>
      </c>
      <c r="C1295">
        <v>4086</v>
      </c>
      <c r="D1295" t="s">
        <v>390</v>
      </c>
      <c r="E1295" t="s">
        <v>1521</v>
      </c>
      <c r="F1295">
        <v>7422</v>
      </c>
      <c r="G1295" t="s">
        <v>462</v>
      </c>
      <c r="H1295" t="s">
        <v>38</v>
      </c>
      <c r="I1295">
        <v>171655</v>
      </c>
      <c r="J1295">
        <v>121975</v>
      </c>
      <c r="K1295">
        <v>49680</v>
      </c>
      <c r="L1295">
        <v>3600</v>
      </c>
      <c r="M1295">
        <v>0</v>
      </c>
      <c r="N1295">
        <v>3600</v>
      </c>
    </row>
    <row r="1296" spans="1:14" ht="14.4">
      <c r="A1296">
        <v>13367</v>
      </c>
      <c r="B1296">
        <v>13368</v>
      </c>
      <c r="C1296">
        <v>4086</v>
      </c>
      <c r="D1296" t="s">
        <v>390</v>
      </c>
      <c r="E1296" t="s">
        <v>541</v>
      </c>
      <c r="F1296">
        <v>8904</v>
      </c>
      <c r="G1296" t="s">
        <v>406</v>
      </c>
      <c r="H1296" t="s">
        <v>38</v>
      </c>
      <c r="I1296">
        <v>88772</v>
      </c>
      <c r="J1296">
        <v>84422</v>
      </c>
      <c r="K1296">
        <v>4350</v>
      </c>
      <c r="L1296">
        <v>27000</v>
      </c>
      <c r="M1296">
        <v>24500</v>
      </c>
      <c r="N1296">
        <v>2500</v>
      </c>
    </row>
    <row r="1297" spans="1:14" ht="14.4">
      <c r="A1297">
        <v>13367</v>
      </c>
      <c r="B1297">
        <v>13368</v>
      </c>
      <c r="C1297">
        <v>4086</v>
      </c>
      <c r="D1297" t="s">
        <v>390</v>
      </c>
      <c r="E1297" t="s">
        <v>542</v>
      </c>
      <c r="F1297">
        <v>7201</v>
      </c>
      <c r="G1297" t="s">
        <v>392</v>
      </c>
      <c r="H1297" t="s">
        <v>38</v>
      </c>
      <c r="I1297">
        <v>18080</v>
      </c>
      <c r="J1297">
        <v>0</v>
      </c>
      <c r="K1297">
        <v>18080</v>
      </c>
      <c r="L1297">
        <v>18000</v>
      </c>
      <c r="M1297">
        <v>0</v>
      </c>
      <c r="N1297">
        <v>18000</v>
      </c>
    </row>
    <row r="1298" spans="1:14" ht="14.4">
      <c r="A1298">
        <v>13367</v>
      </c>
      <c r="B1298">
        <v>13368</v>
      </c>
      <c r="C1298">
        <v>4086</v>
      </c>
      <c r="D1298" t="s">
        <v>390</v>
      </c>
      <c r="E1298" t="s">
        <v>542</v>
      </c>
      <c r="F1298">
        <v>7302</v>
      </c>
      <c r="G1298" t="s">
        <v>392</v>
      </c>
      <c r="H1298" t="s">
        <v>38</v>
      </c>
      <c r="I1298">
        <v>116253</v>
      </c>
      <c r="J1298">
        <v>87503</v>
      </c>
      <c r="K1298">
        <v>28750</v>
      </c>
      <c r="L1298">
        <v>23800</v>
      </c>
      <c r="M1298">
        <v>0</v>
      </c>
      <c r="N1298">
        <v>23800</v>
      </c>
    </row>
    <row r="1299" spans="1:14" ht="14.4">
      <c r="A1299">
        <v>13367</v>
      </c>
      <c r="B1299">
        <v>13368</v>
      </c>
      <c r="C1299">
        <v>4086</v>
      </c>
      <c r="D1299" t="s">
        <v>390</v>
      </c>
      <c r="E1299" t="s">
        <v>542</v>
      </c>
      <c r="F1299">
        <v>7730</v>
      </c>
      <c r="G1299" t="s">
        <v>392</v>
      </c>
      <c r="H1299" t="s">
        <v>38</v>
      </c>
      <c r="I1299">
        <v>13310</v>
      </c>
      <c r="J1299">
        <v>0</v>
      </c>
      <c r="K1299">
        <v>13310</v>
      </c>
      <c r="L1299">
        <v>0</v>
      </c>
      <c r="M1299">
        <v>0</v>
      </c>
      <c r="N1299">
        <v>0</v>
      </c>
    </row>
    <row r="1300" spans="1:14" ht="14.4">
      <c r="A1300">
        <v>13367</v>
      </c>
      <c r="B1300">
        <v>13368</v>
      </c>
      <c r="C1300">
        <v>4086</v>
      </c>
      <c r="D1300" t="s">
        <v>390</v>
      </c>
      <c r="E1300" t="s">
        <v>542</v>
      </c>
      <c r="F1300">
        <v>7732</v>
      </c>
      <c r="G1300" t="s">
        <v>392</v>
      </c>
      <c r="H1300" t="s">
        <v>38</v>
      </c>
      <c r="I1300">
        <v>23294122</v>
      </c>
      <c r="J1300">
        <v>15736191</v>
      </c>
      <c r="K1300">
        <v>7557931</v>
      </c>
      <c r="L1300">
        <v>7828600</v>
      </c>
      <c r="M1300">
        <v>4221800</v>
      </c>
      <c r="N1300">
        <v>3606800</v>
      </c>
    </row>
    <row r="1301" spans="1:14" ht="14.4">
      <c r="A1301">
        <v>13367</v>
      </c>
      <c r="B1301">
        <v>13368</v>
      </c>
      <c r="C1301">
        <v>4086</v>
      </c>
      <c r="D1301" t="s">
        <v>390</v>
      </c>
      <c r="E1301" t="s">
        <v>544</v>
      </c>
      <c r="F1301">
        <v>8520</v>
      </c>
      <c r="G1301" t="s">
        <v>496</v>
      </c>
      <c r="H1301" t="s">
        <v>38</v>
      </c>
      <c r="I1301">
        <v>226321</v>
      </c>
      <c r="J1301">
        <v>211316</v>
      </c>
      <c r="K1301">
        <v>15005</v>
      </c>
      <c r="L1301">
        <v>106500</v>
      </c>
      <c r="M1301">
        <v>106500</v>
      </c>
      <c r="N1301">
        <v>0</v>
      </c>
    </row>
    <row r="1302" spans="1:14" ht="14.4">
      <c r="A1302">
        <v>13367</v>
      </c>
      <c r="B1302">
        <v>13368</v>
      </c>
      <c r="C1302">
        <v>4086</v>
      </c>
      <c r="D1302" t="s">
        <v>390</v>
      </c>
      <c r="E1302" t="s">
        <v>1522</v>
      </c>
      <c r="F1302">
        <v>8844</v>
      </c>
      <c r="G1302" t="s">
        <v>413</v>
      </c>
      <c r="H1302" t="s">
        <v>38</v>
      </c>
      <c r="I1302">
        <v>314820</v>
      </c>
      <c r="J1302">
        <v>280530</v>
      </c>
      <c r="K1302">
        <v>34290</v>
      </c>
      <c r="L1302">
        <v>173000</v>
      </c>
      <c r="M1302">
        <v>155700</v>
      </c>
      <c r="N1302">
        <v>17300</v>
      </c>
    </row>
    <row r="1303" spans="1:14" ht="14.4">
      <c r="A1303">
        <v>13367</v>
      </c>
      <c r="B1303">
        <v>13368</v>
      </c>
      <c r="C1303">
        <v>4086</v>
      </c>
      <c r="D1303" t="s">
        <v>390</v>
      </c>
      <c r="E1303" t="s">
        <v>1523</v>
      </c>
      <c r="F1303">
        <v>7642</v>
      </c>
      <c r="G1303" t="s">
        <v>76</v>
      </c>
      <c r="H1303" t="s">
        <v>38</v>
      </c>
      <c r="I1303">
        <v>263881</v>
      </c>
      <c r="J1303">
        <v>256831</v>
      </c>
      <c r="K1303">
        <v>7050</v>
      </c>
      <c r="L1303">
        <v>193900</v>
      </c>
      <c r="M1303">
        <v>186900</v>
      </c>
      <c r="N1303">
        <v>7000</v>
      </c>
    </row>
    <row r="1304" spans="1:14" ht="14.4">
      <c r="A1304">
        <v>13367</v>
      </c>
      <c r="B1304">
        <v>13368</v>
      </c>
      <c r="C1304">
        <v>4086</v>
      </c>
      <c r="D1304" t="s">
        <v>390</v>
      </c>
      <c r="E1304" t="s">
        <v>545</v>
      </c>
      <c r="F1304">
        <v>7205</v>
      </c>
      <c r="G1304" t="s">
        <v>435</v>
      </c>
      <c r="H1304" t="s">
        <v>38</v>
      </c>
      <c r="I1304">
        <v>237231</v>
      </c>
      <c r="J1304">
        <v>210056</v>
      </c>
      <c r="K1304">
        <v>27175</v>
      </c>
      <c r="L1304">
        <v>88000</v>
      </c>
      <c r="M1304">
        <v>74000</v>
      </c>
      <c r="N1304">
        <v>14000</v>
      </c>
    </row>
    <row r="1305" spans="1:14" ht="14.4">
      <c r="A1305">
        <v>13367</v>
      </c>
      <c r="B1305">
        <v>13368</v>
      </c>
      <c r="C1305">
        <v>4086</v>
      </c>
      <c r="D1305" t="s">
        <v>390</v>
      </c>
      <c r="E1305" t="s">
        <v>162</v>
      </c>
      <c r="F1305">
        <v>7030</v>
      </c>
      <c r="G1305" t="s">
        <v>76</v>
      </c>
      <c r="H1305" t="s">
        <v>38</v>
      </c>
      <c r="I1305">
        <v>86993</v>
      </c>
      <c r="J1305">
        <v>52588</v>
      </c>
      <c r="K1305">
        <v>34405</v>
      </c>
      <c r="L1305">
        <v>77000</v>
      </c>
      <c r="M1305">
        <v>44600</v>
      </c>
      <c r="N1305">
        <v>32400</v>
      </c>
    </row>
    <row r="1306" spans="1:14" ht="14.4">
      <c r="A1306">
        <v>13367</v>
      </c>
      <c r="B1306">
        <v>13368</v>
      </c>
      <c r="C1306">
        <v>4086</v>
      </c>
      <c r="D1306" t="s">
        <v>390</v>
      </c>
      <c r="E1306" t="s">
        <v>162</v>
      </c>
      <c r="F1306">
        <v>7030</v>
      </c>
      <c r="G1306" t="s">
        <v>37</v>
      </c>
      <c r="H1306" t="s">
        <v>38</v>
      </c>
      <c r="I1306">
        <v>6776436</v>
      </c>
      <c r="J1306">
        <v>2838275</v>
      </c>
      <c r="K1306">
        <v>3938161</v>
      </c>
      <c r="L1306">
        <v>2927700</v>
      </c>
      <c r="M1306">
        <v>1077700</v>
      </c>
      <c r="N1306">
        <v>1850000</v>
      </c>
    </row>
    <row r="1307" spans="1:14" ht="14.4">
      <c r="A1307">
        <v>13367</v>
      </c>
      <c r="B1307">
        <v>13368</v>
      </c>
      <c r="C1307">
        <v>4086</v>
      </c>
      <c r="D1307" t="s">
        <v>390</v>
      </c>
      <c r="E1307" t="s">
        <v>1524</v>
      </c>
      <c r="F1307">
        <v>8008</v>
      </c>
      <c r="G1307" t="s">
        <v>402</v>
      </c>
      <c r="H1307" t="s">
        <v>38</v>
      </c>
      <c r="I1307">
        <v>94317</v>
      </c>
      <c r="J1307">
        <v>85617</v>
      </c>
      <c r="K1307">
        <v>8700</v>
      </c>
      <c r="L1307">
        <v>0</v>
      </c>
      <c r="M1307">
        <v>0</v>
      </c>
      <c r="N1307">
        <v>0</v>
      </c>
    </row>
    <row r="1308" spans="1:14" ht="14.4">
      <c r="A1308">
        <v>13367</v>
      </c>
      <c r="B1308">
        <v>13368</v>
      </c>
      <c r="C1308">
        <v>4086</v>
      </c>
      <c r="D1308" t="s">
        <v>390</v>
      </c>
      <c r="E1308" t="s">
        <v>546</v>
      </c>
      <c r="F1308">
        <v>8008</v>
      </c>
      <c r="G1308" t="s">
        <v>402</v>
      </c>
      <c r="H1308" t="s">
        <v>38</v>
      </c>
      <c r="I1308">
        <v>450006</v>
      </c>
      <c r="J1308">
        <v>298556</v>
      </c>
      <c r="K1308">
        <v>151450</v>
      </c>
      <c r="L1308">
        <v>0</v>
      </c>
      <c r="M1308">
        <v>0</v>
      </c>
      <c r="N1308">
        <v>0</v>
      </c>
    </row>
    <row r="1309" spans="1:14" ht="14.4">
      <c r="A1309">
        <v>13367</v>
      </c>
      <c r="B1309">
        <v>13368</v>
      </c>
      <c r="C1309">
        <v>4086</v>
      </c>
      <c r="D1309" t="s">
        <v>390</v>
      </c>
      <c r="E1309" t="s">
        <v>547</v>
      </c>
      <c r="F1309">
        <v>7733</v>
      </c>
      <c r="G1309" t="s">
        <v>392</v>
      </c>
      <c r="H1309" t="s">
        <v>38</v>
      </c>
      <c r="I1309">
        <v>537425</v>
      </c>
      <c r="J1309">
        <v>507150</v>
      </c>
      <c r="K1309">
        <v>30275</v>
      </c>
      <c r="L1309">
        <v>270300</v>
      </c>
      <c r="M1309">
        <v>244300</v>
      </c>
      <c r="N1309">
        <v>26000</v>
      </c>
    </row>
    <row r="1310" spans="1:14" ht="14.4">
      <c r="A1310">
        <v>13367</v>
      </c>
      <c r="B1310">
        <v>13368</v>
      </c>
      <c r="C1310">
        <v>4086</v>
      </c>
      <c r="D1310" t="s">
        <v>390</v>
      </c>
      <c r="E1310" t="s">
        <v>548</v>
      </c>
      <c r="F1310">
        <v>7843</v>
      </c>
      <c r="G1310" t="s">
        <v>462</v>
      </c>
      <c r="H1310" t="s">
        <v>38</v>
      </c>
      <c r="I1310">
        <v>1117806</v>
      </c>
      <c r="J1310">
        <v>971921</v>
      </c>
      <c r="K1310">
        <v>145885</v>
      </c>
      <c r="L1310">
        <v>683600</v>
      </c>
      <c r="M1310">
        <v>592900</v>
      </c>
      <c r="N1310">
        <v>90700</v>
      </c>
    </row>
    <row r="1311" spans="1:14" ht="14.4">
      <c r="A1311">
        <v>13367</v>
      </c>
      <c r="B1311">
        <v>13368</v>
      </c>
      <c r="C1311">
        <v>4086</v>
      </c>
      <c r="D1311" t="s">
        <v>390</v>
      </c>
      <c r="E1311" t="s">
        <v>1525</v>
      </c>
      <c r="F1311">
        <v>7844</v>
      </c>
      <c r="G1311" t="s">
        <v>398</v>
      </c>
      <c r="H1311" t="s">
        <v>38</v>
      </c>
      <c r="I1311">
        <v>9827</v>
      </c>
      <c r="J1311">
        <v>9077</v>
      </c>
      <c r="K1311">
        <v>750</v>
      </c>
      <c r="L1311">
        <v>0</v>
      </c>
      <c r="M1311">
        <v>0</v>
      </c>
      <c r="N1311">
        <v>0</v>
      </c>
    </row>
    <row r="1312" spans="1:14" ht="14.4">
      <c r="A1312">
        <v>13367</v>
      </c>
      <c r="B1312">
        <v>13368</v>
      </c>
      <c r="C1312">
        <v>4086</v>
      </c>
      <c r="D1312" t="s">
        <v>390</v>
      </c>
      <c r="E1312" t="s">
        <v>1526</v>
      </c>
      <c r="F1312">
        <v>8525</v>
      </c>
      <c r="G1312" t="s">
        <v>464</v>
      </c>
      <c r="H1312" t="s">
        <v>38</v>
      </c>
      <c r="I1312">
        <v>35409</v>
      </c>
      <c r="J1312">
        <v>35409</v>
      </c>
      <c r="K1312">
        <v>0</v>
      </c>
      <c r="L1312">
        <v>0</v>
      </c>
      <c r="M1312">
        <v>0</v>
      </c>
      <c r="N1312">
        <v>0</v>
      </c>
    </row>
    <row r="1313" spans="1:14" ht="14.4">
      <c r="A1313">
        <v>13367</v>
      </c>
      <c r="B1313">
        <v>13368</v>
      </c>
      <c r="C1313">
        <v>4086</v>
      </c>
      <c r="D1313" t="s">
        <v>390</v>
      </c>
      <c r="E1313" t="s">
        <v>549</v>
      </c>
      <c r="F1313">
        <v>7731</v>
      </c>
      <c r="G1313" t="s">
        <v>392</v>
      </c>
      <c r="H1313" t="s">
        <v>38</v>
      </c>
      <c r="I1313">
        <v>402370</v>
      </c>
      <c r="J1313">
        <v>385995</v>
      </c>
      <c r="K1313">
        <v>16375</v>
      </c>
      <c r="L1313">
        <v>120500</v>
      </c>
      <c r="M1313">
        <v>108300</v>
      </c>
      <c r="N1313">
        <v>12200</v>
      </c>
    </row>
    <row r="1314" spans="1:14" ht="14.4">
      <c r="A1314">
        <v>13367</v>
      </c>
      <c r="B1314">
        <v>13368</v>
      </c>
      <c r="C1314">
        <v>4086</v>
      </c>
      <c r="D1314" t="s">
        <v>390</v>
      </c>
      <c r="E1314" t="s">
        <v>171</v>
      </c>
      <c r="F1314">
        <v>7111</v>
      </c>
      <c r="G1314" t="s">
        <v>428</v>
      </c>
      <c r="H1314" t="s">
        <v>38</v>
      </c>
      <c r="I1314">
        <v>659933</v>
      </c>
      <c r="J1314">
        <v>567362</v>
      </c>
      <c r="K1314">
        <v>92571</v>
      </c>
      <c r="L1314">
        <v>99200</v>
      </c>
      <c r="M1314">
        <v>83900</v>
      </c>
      <c r="N1314">
        <v>15300</v>
      </c>
    </row>
    <row r="1315" spans="1:14" ht="14.4">
      <c r="A1315">
        <v>13367</v>
      </c>
      <c r="B1315">
        <v>13368</v>
      </c>
      <c r="C1315">
        <v>4086</v>
      </c>
      <c r="D1315" t="s">
        <v>390</v>
      </c>
      <c r="E1315" t="s">
        <v>551</v>
      </c>
      <c r="F1315">
        <v>8830</v>
      </c>
      <c r="G1315" t="s">
        <v>406</v>
      </c>
      <c r="H1315" t="s">
        <v>38</v>
      </c>
      <c r="I1315">
        <v>182173</v>
      </c>
      <c r="J1315">
        <v>145833</v>
      </c>
      <c r="K1315">
        <v>36340</v>
      </c>
      <c r="L1315">
        <v>32600</v>
      </c>
      <c r="M1315">
        <v>29300</v>
      </c>
      <c r="N1315">
        <v>3300</v>
      </c>
    </row>
    <row r="1316" spans="1:14" ht="14.4">
      <c r="A1316">
        <v>13367</v>
      </c>
      <c r="B1316">
        <v>13368</v>
      </c>
      <c r="C1316">
        <v>4086</v>
      </c>
      <c r="D1316" t="s">
        <v>390</v>
      </c>
      <c r="E1316" t="s">
        <v>552</v>
      </c>
      <c r="F1316">
        <v>8732</v>
      </c>
      <c r="G1316" t="s">
        <v>402</v>
      </c>
      <c r="H1316" t="s">
        <v>38</v>
      </c>
      <c r="I1316">
        <v>1145514</v>
      </c>
      <c r="J1316">
        <v>820934</v>
      </c>
      <c r="K1316">
        <v>324580</v>
      </c>
      <c r="L1316">
        <v>544400</v>
      </c>
      <c r="M1316">
        <v>401200</v>
      </c>
      <c r="N1316">
        <v>143200</v>
      </c>
    </row>
    <row r="1317" spans="1:14" ht="14.4">
      <c r="A1317">
        <v>13367</v>
      </c>
      <c r="B1317">
        <v>13368</v>
      </c>
      <c r="C1317">
        <v>4086</v>
      </c>
      <c r="D1317" t="s">
        <v>390</v>
      </c>
      <c r="E1317" t="s">
        <v>1527</v>
      </c>
      <c r="F1317">
        <v>8732</v>
      </c>
      <c r="G1317" t="s">
        <v>402</v>
      </c>
      <c r="H1317" t="s">
        <v>38</v>
      </c>
      <c r="I1317">
        <v>20034</v>
      </c>
      <c r="J1317">
        <v>20034</v>
      </c>
      <c r="K1317">
        <v>0</v>
      </c>
      <c r="L1317">
        <v>0</v>
      </c>
      <c r="M1317">
        <v>0</v>
      </c>
      <c r="N1317">
        <v>0</v>
      </c>
    </row>
    <row r="1318" spans="1:14" ht="14.4">
      <c r="A1318">
        <v>13367</v>
      </c>
      <c r="B1318">
        <v>13368</v>
      </c>
      <c r="C1318">
        <v>4086</v>
      </c>
      <c r="D1318" t="s">
        <v>390</v>
      </c>
      <c r="E1318" t="s">
        <v>555</v>
      </c>
      <c r="F1318">
        <v>8527</v>
      </c>
      <c r="G1318" t="s">
        <v>402</v>
      </c>
      <c r="H1318" t="s">
        <v>38</v>
      </c>
      <c r="I1318">
        <v>414619</v>
      </c>
      <c r="J1318">
        <v>397929</v>
      </c>
      <c r="K1318">
        <v>16690</v>
      </c>
      <c r="L1318">
        <v>176800</v>
      </c>
      <c r="M1318">
        <v>167200</v>
      </c>
      <c r="N1318">
        <v>9600</v>
      </c>
    </row>
    <row r="1319" spans="1:14" ht="14.4">
      <c r="A1319">
        <v>13367</v>
      </c>
      <c r="B1319">
        <v>13368</v>
      </c>
      <c r="C1319">
        <v>4086</v>
      </c>
      <c r="D1319" t="s">
        <v>390</v>
      </c>
      <c r="E1319" t="s">
        <v>556</v>
      </c>
      <c r="F1319">
        <v>8831</v>
      </c>
      <c r="G1319" t="s">
        <v>406</v>
      </c>
      <c r="H1319" t="s">
        <v>38</v>
      </c>
      <c r="I1319">
        <v>8026</v>
      </c>
      <c r="J1319">
        <v>7276</v>
      </c>
      <c r="K1319">
        <v>750</v>
      </c>
      <c r="L1319">
        <v>0</v>
      </c>
      <c r="M1319">
        <v>0</v>
      </c>
      <c r="N1319">
        <v>0</v>
      </c>
    </row>
    <row r="1320" spans="1:14" ht="14.4">
      <c r="A1320">
        <v>13367</v>
      </c>
      <c r="B1320">
        <v>13368</v>
      </c>
      <c r="C1320">
        <v>4086</v>
      </c>
      <c r="D1320" t="s">
        <v>390</v>
      </c>
      <c r="E1320" t="s">
        <v>557</v>
      </c>
      <c r="F1320">
        <v>7304</v>
      </c>
      <c r="G1320" t="s">
        <v>37</v>
      </c>
      <c r="H1320" t="s">
        <v>38</v>
      </c>
      <c r="I1320">
        <v>73580</v>
      </c>
      <c r="J1320">
        <v>42055</v>
      </c>
      <c r="K1320">
        <v>31525</v>
      </c>
      <c r="L1320">
        <v>69900</v>
      </c>
      <c r="M1320">
        <v>38400</v>
      </c>
      <c r="N1320">
        <v>31500</v>
      </c>
    </row>
    <row r="1321" spans="1:14" ht="14.4">
      <c r="A1321">
        <v>13367</v>
      </c>
      <c r="B1321">
        <v>13368</v>
      </c>
      <c r="C1321">
        <v>4086</v>
      </c>
      <c r="D1321" t="s">
        <v>390</v>
      </c>
      <c r="E1321" t="s">
        <v>557</v>
      </c>
      <c r="F1321">
        <v>7305</v>
      </c>
      <c r="G1321" t="s">
        <v>37</v>
      </c>
      <c r="H1321" t="s">
        <v>38</v>
      </c>
      <c r="I1321">
        <v>10520</v>
      </c>
      <c r="J1321">
        <v>10520</v>
      </c>
      <c r="K1321">
        <v>0</v>
      </c>
      <c r="L1321">
        <v>0</v>
      </c>
      <c r="M1321">
        <v>0</v>
      </c>
      <c r="N1321">
        <v>0</v>
      </c>
    </row>
    <row r="1322" spans="1:14" ht="14.4">
      <c r="A1322">
        <v>13367</v>
      </c>
      <c r="B1322">
        <v>13368</v>
      </c>
      <c r="C1322">
        <v>4086</v>
      </c>
      <c r="D1322" t="s">
        <v>390</v>
      </c>
      <c r="E1322" t="s">
        <v>1528</v>
      </c>
      <c r="F1322">
        <v>7305</v>
      </c>
      <c r="G1322" t="s">
        <v>37</v>
      </c>
      <c r="H1322" t="s">
        <v>38</v>
      </c>
      <c r="I1322">
        <v>7655</v>
      </c>
      <c r="J1322">
        <v>4655</v>
      </c>
      <c r="K1322">
        <v>3000</v>
      </c>
      <c r="L1322">
        <v>0</v>
      </c>
      <c r="M1322">
        <v>0</v>
      </c>
      <c r="N1322">
        <v>0</v>
      </c>
    </row>
    <row r="1323" spans="1:14" ht="14.4">
      <c r="A1323">
        <v>13367</v>
      </c>
      <c r="B1323">
        <v>13368</v>
      </c>
      <c r="C1323">
        <v>4086</v>
      </c>
      <c r="D1323" t="s">
        <v>390</v>
      </c>
      <c r="E1323" t="s">
        <v>558</v>
      </c>
      <c r="F1323">
        <v>7030</v>
      </c>
      <c r="G1323" t="s">
        <v>37</v>
      </c>
      <c r="H1323" t="s">
        <v>38</v>
      </c>
      <c r="I1323">
        <v>39652</v>
      </c>
      <c r="J1323">
        <v>10652</v>
      </c>
      <c r="K1323">
        <v>29000</v>
      </c>
      <c r="L1323">
        <v>0</v>
      </c>
      <c r="M1323">
        <v>0</v>
      </c>
      <c r="N1323">
        <v>0</v>
      </c>
    </row>
    <row r="1324" spans="1:14" ht="14.4">
      <c r="A1324">
        <v>13367</v>
      </c>
      <c r="B1324">
        <v>13368</v>
      </c>
      <c r="C1324">
        <v>4086</v>
      </c>
      <c r="D1324" t="s">
        <v>390</v>
      </c>
      <c r="E1324" t="s">
        <v>558</v>
      </c>
      <c r="F1324">
        <v>7032</v>
      </c>
      <c r="G1324" t="s">
        <v>37</v>
      </c>
      <c r="H1324" t="s">
        <v>38</v>
      </c>
      <c r="I1324">
        <v>31605</v>
      </c>
      <c r="J1324">
        <v>0</v>
      </c>
      <c r="K1324">
        <v>31605</v>
      </c>
      <c r="L1324">
        <v>31700</v>
      </c>
      <c r="M1324">
        <v>0</v>
      </c>
      <c r="N1324">
        <v>31700</v>
      </c>
    </row>
    <row r="1325" spans="1:14" ht="14.4">
      <c r="A1325">
        <v>13367</v>
      </c>
      <c r="B1325">
        <v>13368</v>
      </c>
      <c r="C1325">
        <v>4086</v>
      </c>
      <c r="D1325" t="s">
        <v>390</v>
      </c>
      <c r="E1325" t="s">
        <v>558</v>
      </c>
      <c r="F1325">
        <v>7071</v>
      </c>
      <c r="G1325" t="s">
        <v>37</v>
      </c>
      <c r="H1325" t="s">
        <v>38</v>
      </c>
      <c r="I1325">
        <v>7225</v>
      </c>
      <c r="J1325">
        <v>0</v>
      </c>
      <c r="K1325">
        <v>7225</v>
      </c>
      <c r="L1325">
        <v>7300</v>
      </c>
      <c r="M1325">
        <v>0</v>
      </c>
      <c r="N1325">
        <v>7300</v>
      </c>
    </row>
    <row r="1326" spans="1:14" ht="14.4">
      <c r="A1326">
        <v>13367</v>
      </c>
      <c r="B1326">
        <v>13368</v>
      </c>
      <c r="C1326">
        <v>4086</v>
      </c>
      <c r="D1326" t="s">
        <v>390</v>
      </c>
      <c r="E1326" t="s">
        <v>558</v>
      </c>
      <c r="F1326">
        <v>7302</v>
      </c>
      <c r="G1326" t="s">
        <v>37</v>
      </c>
      <c r="H1326" t="s">
        <v>38</v>
      </c>
      <c r="I1326">
        <v>4953533</v>
      </c>
      <c r="J1326">
        <v>2216412</v>
      </c>
      <c r="K1326">
        <v>2737121</v>
      </c>
      <c r="L1326">
        <v>1638300</v>
      </c>
      <c r="M1326">
        <v>506600</v>
      </c>
      <c r="N1326">
        <v>1119900</v>
      </c>
    </row>
    <row r="1327" spans="1:14" ht="14.4">
      <c r="A1327">
        <v>13367</v>
      </c>
      <c r="B1327">
        <v>13368</v>
      </c>
      <c r="C1327">
        <v>4086</v>
      </c>
      <c r="D1327" t="s">
        <v>390</v>
      </c>
      <c r="E1327" t="s">
        <v>558</v>
      </c>
      <c r="F1327">
        <v>7302</v>
      </c>
      <c r="G1327" t="s">
        <v>413</v>
      </c>
      <c r="H1327" t="s">
        <v>38</v>
      </c>
      <c r="I1327">
        <v>18500</v>
      </c>
      <c r="J1327">
        <v>0</v>
      </c>
      <c r="K1327">
        <v>18500</v>
      </c>
      <c r="L1327">
        <v>18500</v>
      </c>
      <c r="M1327">
        <v>0</v>
      </c>
      <c r="N1327">
        <v>18500</v>
      </c>
    </row>
    <row r="1328" spans="1:14" ht="14.4">
      <c r="A1328">
        <v>13367</v>
      </c>
      <c r="B1328">
        <v>13368</v>
      </c>
      <c r="C1328">
        <v>4086</v>
      </c>
      <c r="D1328" t="s">
        <v>390</v>
      </c>
      <c r="E1328" t="s">
        <v>558</v>
      </c>
      <c r="F1328">
        <v>7303</v>
      </c>
      <c r="G1328" t="s">
        <v>37</v>
      </c>
      <c r="H1328" t="s">
        <v>38</v>
      </c>
      <c r="I1328">
        <v>3850</v>
      </c>
      <c r="J1328">
        <v>3850</v>
      </c>
      <c r="K1328">
        <v>0</v>
      </c>
      <c r="L1328">
        <v>3900</v>
      </c>
      <c r="M1328">
        <v>3900</v>
      </c>
      <c r="N1328">
        <v>0</v>
      </c>
    </row>
    <row r="1329" spans="1:14" ht="14.4">
      <c r="A1329">
        <v>13367</v>
      </c>
      <c r="B1329">
        <v>13368</v>
      </c>
      <c r="C1329">
        <v>4086</v>
      </c>
      <c r="D1329" t="s">
        <v>390</v>
      </c>
      <c r="E1329" t="s">
        <v>558</v>
      </c>
      <c r="F1329">
        <v>7304</v>
      </c>
      <c r="G1329" t="s">
        <v>37</v>
      </c>
      <c r="H1329" t="s">
        <v>38</v>
      </c>
      <c r="I1329">
        <v>1499492</v>
      </c>
      <c r="J1329">
        <v>879216</v>
      </c>
      <c r="K1329">
        <v>620276</v>
      </c>
      <c r="L1329">
        <v>473200</v>
      </c>
      <c r="M1329">
        <v>244300</v>
      </c>
      <c r="N1329">
        <v>228900</v>
      </c>
    </row>
    <row r="1330" spans="1:14" ht="14.4">
      <c r="A1330">
        <v>13367</v>
      </c>
      <c r="B1330">
        <v>13368</v>
      </c>
      <c r="C1330">
        <v>4086</v>
      </c>
      <c r="D1330" t="s">
        <v>390</v>
      </c>
      <c r="E1330" t="s">
        <v>558</v>
      </c>
      <c r="F1330">
        <v>7305</v>
      </c>
      <c r="G1330" t="s">
        <v>37</v>
      </c>
      <c r="H1330" t="s">
        <v>38</v>
      </c>
      <c r="I1330">
        <v>4434073</v>
      </c>
      <c r="J1330">
        <v>2546662</v>
      </c>
      <c r="K1330">
        <v>1887411</v>
      </c>
      <c r="L1330">
        <v>1797500</v>
      </c>
      <c r="M1330">
        <v>1038700</v>
      </c>
      <c r="N1330">
        <v>758800</v>
      </c>
    </row>
    <row r="1331" spans="1:14" ht="14.4">
      <c r="A1331">
        <v>13367</v>
      </c>
      <c r="B1331">
        <v>13368</v>
      </c>
      <c r="C1331">
        <v>4086</v>
      </c>
      <c r="D1331" t="s">
        <v>390</v>
      </c>
      <c r="E1331" t="s">
        <v>558</v>
      </c>
      <c r="F1331">
        <v>7306</v>
      </c>
      <c r="G1331" t="s">
        <v>37</v>
      </c>
      <c r="H1331" t="s">
        <v>38</v>
      </c>
      <c r="I1331">
        <v>357806</v>
      </c>
      <c r="J1331">
        <v>167713</v>
      </c>
      <c r="K1331">
        <v>190093</v>
      </c>
      <c r="L1331">
        <v>11200</v>
      </c>
      <c r="M1331">
        <v>6900</v>
      </c>
      <c r="N1331">
        <v>4300</v>
      </c>
    </row>
    <row r="1332" spans="1:14" ht="14.4">
      <c r="A1332">
        <v>13367</v>
      </c>
      <c r="B1332">
        <v>13368</v>
      </c>
      <c r="C1332">
        <v>4086</v>
      </c>
      <c r="D1332" t="s">
        <v>390</v>
      </c>
      <c r="E1332" t="s">
        <v>558</v>
      </c>
      <c r="F1332">
        <v>7307</v>
      </c>
      <c r="G1332" t="s">
        <v>37</v>
      </c>
      <c r="H1332" t="s">
        <v>38</v>
      </c>
      <c r="I1332">
        <v>84848</v>
      </c>
      <c r="J1332">
        <v>56419</v>
      </c>
      <c r="K1332">
        <v>28429</v>
      </c>
      <c r="L1332">
        <v>26500</v>
      </c>
      <c r="M1332">
        <v>8000</v>
      </c>
      <c r="N1332">
        <v>18500</v>
      </c>
    </row>
    <row r="1333" spans="1:14" ht="14.4">
      <c r="A1333">
        <v>13367</v>
      </c>
      <c r="B1333">
        <v>13368</v>
      </c>
      <c r="C1333">
        <v>4086</v>
      </c>
      <c r="D1333" t="s">
        <v>390</v>
      </c>
      <c r="E1333" t="s">
        <v>558</v>
      </c>
      <c r="F1333">
        <v>7310</v>
      </c>
      <c r="G1333" t="s">
        <v>37</v>
      </c>
      <c r="H1333" t="s">
        <v>38</v>
      </c>
      <c r="I1333">
        <v>152730</v>
      </c>
      <c r="J1333">
        <v>17518</v>
      </c>
      <c r="K1333">
        <v>135212</v>
      </c>
      <c r="L1333">
        <v>51000</v>
      </c>
      <c r="M1333">
        <v>5500</v>
      </c>
      <c r="N1333">
        <v>45500</v>
      </c>
    </row>
    <row r="1334" spans="1:14" ht="14.4">
      <c r="A1334">
        <v>13367</v>
      </c>
      <c r="B1334">
        <v>13368</v>
      </c>
      <c r="C1334">
        <v>4086</v>
      </c>
      <c r="D1334" t="s">
        <v>390</v>
      </c>
      <c r="E1334" t="s">
        <v>558</v>
      </c>
      <c r="F1334">
        <v>11967</v>
      </c>
      <c r="G1334" t="s">
        <v>37</v>
      </c>
      <c r="H1334" t="s">
        <v>38</v>
      </c>
      <c r="I1334">
        <v>79152</v>
      </c>
      <c r="J1334">
        <v>46652</v>
      </c>
      <c r="K1334">
        <v>32500</v>
      </c>
      <c r="L1334">
        <v>0</v>
      </c>
      <c r="M1334">
        <v>0</v>
      </c>
      <c r="N1334">
        <v>0</v>
      </c>
    </row>
    <row r="1335" spans="1:14" ht="14.4">
      <c r="A1335">
        <v>13367</v>
      </c>
      <c r="B1335">
        <v>13368</v>
      </c>
      <c r="C1335">
        <v>4086</v>
      </c>
      <c r="D1335" t="s">
        <v>390</v>
      </c>
      <c r="E1335" t="s">
        <v>1529</v>
      </c>
      <c r="F1335">
        <v>8041</v>
      </c>
      <c r="G1335" t="s">
        <v>443</v>
      </c>
      <c r="H1335" t="s">
        <v>38</v>
      </c>
      <c r="I1335">
        <v>15033</v>
      </c>
      <c r="J1335">
        <v>15033</v>
      </c>
      <c r="K1335">
        <v>0</v>
      </c>
      <c r="L1335">
        <v>2600</v>
      </c>
      <c r="M1335">
        <v>2600</v>
      </c>
      <c r="N1335">
        <v>0</v>
      </c>
    </row>
    <row r="1336" spans="1:14" ht="14.4">
      <c r="A1336">
        <v>13367</v>
      </c>
      <c r="B1336">
        <v>13368</v>
      </c>
      <c r="C1336">
        <v>4086</v>
      </c>
      <c r="D1336" t="s">
        <v>390</v>
      </c>
      <c r="E1336" t="s">
        <v>1530</v>
      </c>
      <c r="F1336">
        <v>7734</v>
      </c>
      <c r="G1336" t="s">
        <v>392</v>
      </c>
      <c r="H1336" t="s">
        <v>38</v>
      </c>
      <c r="I1336">
        <v>11125</v>
      </c>
      <c r="J1336">
        <v>0</v>
      </c>
      <c r="K1336">
        <v>11125</v>
      </c>
      <c r="L1336">
        <v>11200</v>
      </c>
      <c r="M1336">
        <v>0</v>
      </c>
      <c r="N1336">
        <v>11200</v>
      </c>
    </row>
    <row r="1337" spans="1:14" ht="14.4">
      <c r="A1337">
        <v>13367</v>
      </c>
      <c r="B1337">
        <v>13368</v>
      </c>
      <c r="C1337">
        <v>4086</v>
      </c>
      <c r="D1337" t="s">
        <v>390</v>
      </c>
      <c r="E1337" t="s">
        <v>560</v>
      </c>
      <c r="F1337">
        <v>7047</v>
      </c>
      <c r="G1337" t="s">
        <v>392</v>
      </c>
      <c r="H1337" t="s">
        <v>38</v>
      </c>
      <c r="I1337">
        <v>141990</v>
      </c>
      <c r="J1337">
        <v>75713</v>
      </c>
      <c r="K1337">
        <v>66277</v>
      </c>
      <c r="L1337">
        <v>49800</v>
      </c>
      <c r="M1337">
        <v>17800</v>
      </c>
      <c r="N1337">
        <v>32000</v>
      </c>
    </row>
    <row r="1338" spans="1:14" ht="14.4">
      <c r="A1338">
        <v>13367</v>
      </c>
      <c r="B1338">
        <v>13368</v>
      </c>
      <c r="C1338">
        <v>4086</v>
      </c>
      <c r="D1338" t="s">
        <v>390</v>
      </c>
      <c r="E1338" t="s">
        <v>560</v>
      </c>
      <c r="F1338">
        <v>7724</v>
      </c>
      <c r="G1338" t="s">
        <v>392</v>
      </c>
      <c r="H1338" t="s">
        <v>38</v>
      </c>
      <c r="I1338">
        <v>3000</v>
      </c>
      <c r="J1338">
        <v>0</v>
      </c>
      <c r="K1338">
        <v>3000</v>
      </c>
      <c r="L1338">
        <v>0</v>
      </c>
      <c r="M1338">
        <v>0</v>
      </c>
      <c r="N1338">
        <v>0</v>
      </c>
    </row>
    <row r="1339" spans="1:14" ht="14.4">
      <c r="A1339">
        <v>13367</v>
      </c>
      <c r="B1339">
        <v>13368</v>
      </c>
      <c r="C1339">
        <v>4086</v>
      </c>
      <c r="D1339" t="s">
        <v>390</v>
      </c>
      <c r="E1339" t="s">
        <v>560</v>
      </c>
      <c r="F1339">
        <v>7734</v>
      </c>
      <c r="G1339" t="s">
        <v>496</v>
      </c>
      <c r="H1339" t="s">
        <v>38</v>
      </c>
      <c r="I1339">
        <v>104503</v>
      </c>
      <c r="J1339">
        <v>91353</v>
      </c>
      <c r="K1339">
        <v>13150</v>
      </c>
      <c r="L1339">
        <v>0</v>
      </c>
      <c r="M1339">
        <v>0</v>
      </c>
      <c r="N1339">
        <v>0</v>
      </c>
    </row>
    <row r="1340" spans="1:14" ht="14.4">
      <c r="A1340">
        <v>13367</v>
      </c>
      <c r="B1340">
        <v>13368</v>
      </c>
      <c r="C1340">
        <v>4086</v>
      </c>
      <c r="D1340" t="s">
        <v>390</v>
      </c>
      <c r="E1340" t="s">
        <v>560</v>
      </c>
      <c r="F1340">
        <v>7734</v>
      </c>
      <c r="G1340" t="s">
        <v>392</v>
      </c>
      <c r="H1340" t="s">
        <v>38</v>
      </c>
      <c r="I1340">
        <v>20410900</v>
      </c>
      <c r="J1340">
        <v>15084896</v>
      </c>
      <c r="K1340">
        <v>5326004</v>
      </c>
      <c r="L1340">
        <v>7946300</v>
      </c>
      <c r="M1340">
        <v>5538200</v>
      </c>
      <c r="N1340">
        <v>2408100</v>
      </c>
    </row>
    <row r="1341" spans="1:14" ht="14.4">
      <c r="A1341">
        <v>13367</v>
      </c>
      <c r="B1341">
        <v>13368</v>
      </c>
      <c r="C1341">
        <v>4086</v>
      </c>
      <c r="D1341" t="s">
        <v>390</v>
      </c>
      <c r="E1341" t="s">
        <v>560</v>
      </c>
      <c r="F1341">
        <v>7736</v>
      </c>
      <c r="G1341" t="s">
        <v>392</v>
      </c>
      <c r="H1341" t="s">
        <v>38</v>
      </c>
      <c r="I1341">
        <v>29700</v>
      </c>
      <c r="J1341">
        <v>17100</v>
      </c>
      <c r="K1341">
        <v>12600</v>
      </c>
      <c r="L1341">
        <v>0</v>
      </c>
      <c r="M1341">
        <v>0</v>
      </c>
      <c r="N1341">
        <v>0</v>
      </c>
    </row>
    <row r="1342" spans="1:14" ht="14.4">
      <c r="A1342">
        <v>13367</v>
      </c>
      <c r="B1342">
        <v>13368</v>
      </c>
      <c r="C1342">
        <v>4086</v>
      </c>
      <c r="D1342" t="s">
        <v>390</v>
      </c>
      <c r="E1342" t="s">
        <v>561</v>
      </c>
      <c r="F1342">
        <v>7032</v>
      </c>
      <c r="G1342" t="s">
        <v>37</v>
      </c>
      <c r="H1342" t="s">
        <v>38</v>
      </c>
      <c r="I1342">
        <v>80062</v>
      </c>
      <c r="J1342">
        <v>47162</v>
      </c>
      <c r="K1342">
        <v>32900</v>
      </c>
      <c r="L1342">
        <v>2000</v>
      </c>
      <c r="M1342">
        <v>0</v>
      </c>
      <c r="N1342">
        <v>2000</v>
      </c>
    </row>
    <row r="1343" spans="1:14" ht="14.4">
      <c r="A1343">
        <v>13367</v>
      </c>
      <c r="B1343">
        <v>13368</v>
      </c>
      <c r="C1343">
        <v>4086</v>
      </c>
      <c r="D1343" t="s">
        <v>390</v>
      </c>
      <c r="E1343" t="s">
        <v>183</v>
      </c>
      <c r="F1343">
        <v>7032</v>
      </c>
      <c r="G1343" t="s">
        <v>37</v>
      </c>
      <c r="H1343" t="s">
        <v>38</v>
      </c>
      <c r="I1343">
        <v>719359</v>
      </c>
      <c r="J1343">
        <v>453349</v>
      </c>
      <c r="K1343">
        <v>266010</v>
      </c>
      <c r="L1343">
        <v>341200</v>
      </c>
      <c r="M1343">
        <v>222700</v>
      </c>
      <c r="N1343">
        <v>118500</v>
      </c>
    </row>
    <row r="1344" spans="1:14" ht="14.4">
      <c r="A1344">
        <v>13367</v>
      </c>
      <c r="B1344">
        <v>13368</v>
      </c>
      <c r="C1344">
        <v>4086</v>
      </c>
      <c r="D1344" t="s">
        <v>390</v>
      </c>
      <c r="E1344" t="s">
        <v>1531</v>
      </c>
      <c r="F1344">
        <v>8832</v>
      </c>
      <c r="G1344" t="s">
        <v>406</v>
      </c>
      <c r="H1344" t="s">
        <v>38</v>
      </c>
      <c r="I1344">
        <v>45247</v>
      </c>
      <c r="J1344">
        <v>20147</v>
      </c>
      <c r="K1344">
        <v>25100</v>
      </c>
      <c r="L1344">
        <v>22500</v>
      </c>
      <c r="M1344">
        <v>9900</v>
      </c>
      <c r="N1344">
        <v>12600</v>
      </c>
    </row>
    <row r="1345" spans="1:14" ht="14.4">
      <c r="A1345">
        <v>13367</v>
      </c>
      <c r="B1345">
        <v>13368</v>
      </c>
      <c r="C1345">
        <v>4086</v>
      </c>
      <c r="D1345" t="s">
        <v>390</v>
      </c>
      <c r="E1345" t="s">
        <v>1532</v>
      </c>
      <c r="F1345">
        <v>7734</v>
      </c>
      <c r="G1345" t="s">
        <v>392</v>
      </c>
      <c r="H1345" t="s">
        <v>38</v>
      </c>
      <c r="I1345">
        <v>89096</v>
      </c>
      <c r="J1345">
        <v>55696</v>
      </c>
      <c r="K1345">
        <v>33400</v>
      </c>
      <c r="L1345">
        <v>30900</v>
      </c>
      <c r="M1345">
        <v>6300</v>
      </c>
      <c r="N1345">
        <v>24600</v>
      </c>
    </row>
    <row r="1346" spans="1:14" ht="14.4">
      <c r="A1346">
        <v>13367</v>
      </c>
      <c r="B1346">
        <v>13368</v>
      </c>
      <c r="C1346">
        <v>4086</v>
      </c>
      <c r="D1346" t="s">
        <v>390</v>
      </c>
      <c r="E1346" t="s">
        <v>563</v>
      </c>
      <c r="F1346">
        <v>8824</v>
      </c>
      <c r="G1346" t="s">
        <v>406</v>
      </c>
      <c r="H1346" t="s">
        <v>38</v>
      </c>
      <c r="I1346">
        <v>75093</v>
      </c>
      <c r="J1346">
        <v>68655</v>
      </c>
      <c r="K1346">
        <v>6438</v>
      </c>
      <c r="L1346">
        <v>75300</v>
      </c>
      <c r="M1346">
        <v>68800</v>
      </c>
      <c r="N1346">
        <v>6500</v>
      </c>
    </row>
    <row r="1347" spans="1:14" ht="14.4">
      <c r="A1347">
        <v>13367</v>
      </c>
      <c r="B1347">
        <v>13368</v>
      </c>
      <c r="C1347">
        <v>4086</v>
      </c>
      <c r="D1347" t="s">
        <v>390</v>
      </c>
      <c r="E1347" t="s">
        <v>564</v>
      </c>
      <c r="F1347">
        <v>7033</v>
      </c>
      <c r="G1347" t="s">
        <v>435</v>
      </c>
      <c r="H1347" t="s">
        <v>38</v>
      </c>
      <c r="I1347">
        <v>36269</v>
      </c>
      <c r="J1347">
        <v>36019</v>
      </c>
      <c r="K1347">
        <v>250</v>
      </c>
      <c r="L1347">
        <v>14000</v>
      </c>
      <c r="M1347">
        <v>14000</v>
      </c>
      <c r="N1347">
        <v>0</v>
      </c>
    </row>
    <row r="1348" spans="1:14" ht="14.4">
      <c r="A1348">
        <v>13367</v>
      </c>
      <c r="B1348">
        <v>13368</v>
      </c>
      <c r="C1348">
        <v>4086</v>
      </c>
      <c r="D1348" t="s">
        <v>390</v>
      </c>
      <c r="E1348" t="s">
        <v>1533</v>
      </c>
      <c r="F1348">
        <v>7735</v>
      </c>
      <c r="G1348" t="s">
        <v>392</v>
      </c>
      <c r="H1348" t="s">
        <v>38</v>
      </c>
      <c r="I1348">
        <v>13722</v>
      </c>
      <c r="J1348">
        <v>13722</v>
      </c>
      <c r="K1348">
        <v>0</v>
      </c>
      <c r="L1348">
        <v>13800</v>
      </c>
      <c r="M1348">
        <v>13800</v>
      </c>
      <c r="N1348">
        <v>0</v>
      </c>
    </row>
    <row r="1349" spans="1:14" ht="14.4">
      <c r="A1349">
        <v>13367</v>
      </c>
      <c r="B1349">
        <v>13368</v>
      </c>
      <c r="C1349">
        <v>4086</v>
      </c>
      <c r="D1349" t="s">
        <v>390</v>
      </c>
      <c r="E1349" t="s">
        <v>566</v>
      </c>
      <c r="F1349">
        <v>7735</v>
      </c>
      <c r="G1349" t="s">
        <v>406</v>
      </c>
      <c r="H1349" t="s">
        <v>38</v>
      </c>
      <c r="I1349">
        <v>367566</v>
      </c>
      <c r="J1349">
        <v>275541</v>
      </c>
      <c r="K1349">
        <v>92025</v>
      </c>
      <c r="L1349">
        <v>325000</v>
      </c>
      <c r="M1349">
        <v>240100</v>
      </c>
      <c r="N1349">
        <v>84900</v>
      </c>
    </row>
    <row r="1350" spans="1:14" ht="14.4">
      <c r="A1350">
        <v>13367</v>
      </c>
      <c r="B1350">
        <v>13368</v>
      </c>
      <c r="C1350">
        <v>4086</v>
      </c>
      <c r="D1350" t="s">
        <v>390</v>
      </c>
      <c r="E1350" t="s">
        <v>566</v>
      </c>
      <c r="F1350">
        <v>7735</v>
      </c>
      <c r="G1350" t="s">
        <v>392</v>
      </c>
      <c r="H1350" t="s">
        <v>38</v>
      </c>
      <c r="I1350">
        <v>3053708</v>
      </c>
      <c r="J1350">
        <v>2437300</v>
      </c>
      <c r="K1350">
        <v>616408</v>
      </c>
      <c r="L1350">
        <v>1700200</v>
      </c>
      <c r="M1350">
        <v>1331800</v>
      </c>
      <c r="N1350">
        <v>291100</v>
      </c>
    </row>
    <row r="1351" spans="1:14" ht="14.4">
      <c r="A1351">
        <v>13367</v>
      </c>
      <c r="B1351">
        <v>13368</v>
      </c>
      <c r="C1351">
        <v>4086</v>
      </c>
      <c r="D1351" t="s">
        <v>390</v>
      </c>
      <c r="E1351" t="s">
        <v>1534</v>
      </c>
      <c r="F1351">
        <v>7405</v>
      </c>
      <c r="G1351" t="s">
        <v>441</v>
      </c>
      <c r="H1351" t="s">
        <v>38</v>
      </c>
      <c r="I1351">
        <v>53226</v>
      </c>
      <c r="J1351">
        <v>51476</v>
      </c>
      <c r="K1351">
        <v>1750</v>
      </c>
      <c r="L1351">
        <v>14000</v>
      </c>
      <c r="M1351">
        <v>14000</v>
      </c>
      <c r="N1351">
        <v>0</v>
      </c>
    </row>
    <row r="1352" spans="1:14" ht="14.4">
      <c r="A1352">
        <v>13367</v>
      </c>
      <c r="B1352">
        <v>13368</v>
      </c>
      <c r="C1352">
        <v>4086</v>
      </c>
      <c r="D1352" t="s">
        <v>390</v>
      </c>
      <c r="E1352" t="s">
        <v>1075</v>
      </c>
      <c r="F1352">
        <v>7848</v>
      </c>
      <c r="G1352" t="s">
        <v>462</v>
      </c>
      <c r="H1352" t="s">
        <v>38</v>
      </c>
      <c r="I1352">
        <v>28052</v>
      </c>
      <c r="J1352">
        <v>28052</v>
      </c>
      <c r="K1352">
        <v>0</v>
      </c>
      <c r="L1352">
        <v>28100</v>
      </c>
      <c r="M1352">
        <v>28100</v>
      </c>
      <c r="N1352">
        <v>0</v>
      </c>
    </row>
    <row r="1353" spans="1:14" ht="14.4">
      <c r="A1353">
        <v>13367</v>
      </c>
      <c r="B1353">
        <v>13368</v>
      </c>
      <c r="C1353">
        <v>4086</v>
      </c>
      <c r="D1353" t="s">
        <v>390</v>
      </c>
      <c r="E1353" t="s">
        <v>567</v>
      </c>
      <c r="F1353">
        <v>7719</v>
      </c>
      <c r="G1353" t="s">
        <v>392</v>
      </c>
      <c r="H1353" t="s">
        <v>38</v>
      </c>
      <c r="I1353">
        <v>1635563</v>
      </c>
      <c r="J1353">
        <v>1141342</v>
      </c>
      <c r="K1353">
        <v>494221</v>
      </c>
      <c r="L1353">
        <v>536200</v>
      </c>
      <c r="M1353">
        <v>303200</v>
      </c>
      <c r="N1353">
        <v>233000</v>
      </c>
    </row>
    <row r="1354" spans="1:14" ht="14.4">
      <c r="A1354">
        <v>13367</v>
      </c>
      <c r="B1354">
        <v>13368</v>
      </c>
      <c r="C1354">
        <v>4086</v>
      </c>
      <c r="D1354" t="s">
        <v>390</v>
      </c>
      <c r="E1354" t="s">
        <v>1535</v>
      </c>
      <c r="F1354">
        <v>7034</v>
      </c>
      <c r="G1354" t="s">
        <v>441</v>
      </c>
      <c r="H1354" t="s">
        <v>38</v>
      </c>
      <c r="I1354">
        <v>17985</v>
      </c>
      <c r="J1354">
        <v>17985</v>
      </c>
      <c r="K1354">
        <v>0</v>
      </c>
      <c r="L1354">
        <v>0</v>
      </c>
      <c r="M1354">
        <v>0</v>
      </c>
      <c r="N1354">
        <v>0</v>
      </c>
    </row>
    <row r="1355" spans="1:14" ht="14.4">
      <c r="A1355">
        <v>13367</v>
      </c>
      <c r="B1355">
        <v>13368</v>
      </c>
      <c r="C1355">
        <v>4086</v>
      </c>
      <c r="D1355" t="s">
        <v>390</v>
      </c>
      <c r="E1355" t="s">
        <v>1536</v>
      </c>
      <c r="F1355">
        <v>7849</v>
      </c>
      <c r="G1355" t="s">
        <v>441</v>
      </c>
      <c r="H1355" t="s">
        <v>38</v>
      </c>
      <c r="I1355">
        <v>81211</v>
      </c>
      <c r="J1355">
        <v>67761</v>
      </c>
      <c r="K1355">
        <v>13450</v>
      </c>
      <c r="L1355">
        <v>54400</v>
      </c>
      <c r="M1355">
        <v>43300</v>
      </c>
      <c r="N1355">
        <v>11100</v>
      </c>
    </row>
    <row r="1356" spans="1:14" ht="14.4">
      <c r="A1356">
        <v>13367</v>
      </c>
      <c r="B1356">
        <v>13368</v>
      </c>
      <c r="C1356">
        <v>4086</v>
      </c>
      <c r="D1356" t="s">
        <v>390</v>
      </c>
      <c r="E1356" t="s">
        <v>1537</v>
      </c>
      <c r="F1356">
        <v>8733</v>
      </c>
      <c r="G1356" t="s">
        <v>402</v>
      </c>
      <c r="H1356" t="s">
        <v>38</v>
      </c>
      <c r="I1356">
        <v>33539</v>
      </c>
      <c r="J1356">
        <v>33539</v>
      </c>
      <c r="K1356">
        <v>0</v>
      </c>
      <c r="L1356">
        <v>0</v>
      </c>
      <c r="M1356">
        <v>0</v>
      </c>
      <c r="N1356">
        <v>0</v>
      </c>
    </row>
    <row r="1357" spans="1:14" ht="14.4">
      <c r="A1357">
        <v>13367</v>
      </c>
      <c r="B1357">
        <v>13368</v>
      </c>
      <c r="C1357">
        <v>4086</v>
      </c>
      <c r="D1357" t="s">
        <v>390</v>
      </c>
      <c r="E1357" t="s">
        <v>568</v>
      </c>
      <c r="F1357">
        <v>8701</v>
      </c>
      <c r="G1357" t="s">
        <v>402</v>
      </c>
      <c r="H1357" t="s">
        <v>38</v>
      </c>
      <c r="I1357">
        <v>488255</v>
      </c>
      <c r="J1357">
        <v>407343</v>
      </c>
      <c r="K1357">
        <v>80912</v>
      </c>
      <c r="L1357">
        <v>76000</v>
      </c>
      <c r="M1357">
        <v>65800</v>
      </c>
      <c r="N1357">
        <v>10200</v>
      </c>
    </row>
    <row r="1358" spans="1:14" ht="14.4">
      <c r="A1358">
        <v>13367</v>
      </c>
      <c r="B1358">
        <v>13368</v>
      </c>
      <c r="C1358">
        <v>4086</v>
      </c>
      <c r="D1358" t="s">
        <v>390</v>
      </c>
      <c r="E1358" t="s">
        <v>569</v>
      </c>
      <c r="F1358">
        <v>8530</v>
      </c>
      <c r="G1358" t="s">
        <v>464</v>
      </c>
      <c r="H1358" t="s">
        <v>38</v>
      </c>
      <c r="I1358">
        <v>2295</v>
      </c>
      <c r="J1358">
        <v>2295</v>
      </c>
      <c r="K1358">
        <v>0</v>
      </c>
      <c r="L1358">
        <v>2300</v>
      </c>
      <c r="M1358">
        <v>2300</v>
      </c>
      <c r="N1358">
        <v>0</v>
      </c>
    </row>
    <row r="1359" spans="1:14" ht="14.4">
      <c r="A1359">
        <v>13367</v>
      </c>
      <c r="B1359">
        <v>13368</v>
      </c>
      <c r="C1359">
        <v>4086</v>
      </c>
      <c r="D1359" t="s">
        <v>390</v>
      </c>
      <c r="E1359" t="s">
        <v>570</v>
      </c>
      <c r="F1359">
        <v>7850</v>
      </c>
      <c r="G1359" t="s">
        <v>441</v>
      </c>
      <c r="H1359" t="s">
        <v>38</v>
      </c>
      <c r="I1359">
        <v>97518</v>
      </c>
      <c r="J1359">
        <v>93843</v>
      </c>
      <c r="K1359">
        <v>3675</v>
      </c>
      <c r="L1359">
        <v>75100</v>
      </c>
      <c r="M1359">
        <v>73200</v>
      </c>
      <c r="N1359">
        <v>1900</v>
      </c>
    </row>
    <row r="1360" spans="1:14" ht="14.4">
      <c r="A1360">
        <v>13367</v>
      </c>
      <c r="B1360">
        <v>13368</v>
      </c>
      <c r="C1360">
        <v>4086</v>
      </c>
      <c r="D1360" t="s">
        <v>390</v>
      </c>
      <c r="E1360" t="s">
        <v>571</v>
      </c>
      <c r="F1360">
        <v>8734</v>
      </c>
      <c r="G1360" t="s">
        <v>402</v>
      </c>
      <c r="H1360" t="s">
        <v>38</v>
      </c>
      <c r="I1360">
        <v>9113229</v>
      </c>
      <c r="J1360">
        <v>6779165</v>
      </c>
      <c r="K1360">
        <v>2334064</v>
      </c>
      <c r="L1360">
        <v>3895000</v>
      </c>
      <c r="M1360">
        <v>2779700</v>
      </c>
      <c r="N1360">
        <v>1096400</v>
      </c>
    </row>
    <row r="1361" spans="1:14" ht="14.4">
      <c r="A1361">
        <v>13367</v>
      </c>
      <c r="B1361">
        <v>13368</v>
      </c>
      <c r="C1361">
        <v>4086</v>
      </c>
      <c r="D1361" t="s">
        <v>390</v>
      </c>
      <c r="E1361" t="s">
        <v>1538</v>
      </c>
      <c r="F1361">
        <v>8734</v>
      </c>
      <c r="G1361" t="s">
        <v>402</v>
      </c>
      <c r="H1361" t="s">
        <v>38</v>
      </c>
      <c r="I1361">
        <v>21063</v>
      </c>
      <c r="J1361">
        <v>12063</v>
      </c>
      <c r="K1361">
        <v>9000</v>
      </c>
      <c r="L1361">
        <v>0</v>
      </c>
      <c r="M1361">
        <v>0</v>
      </c>
      <c r="N1361">
        <v>0</v>
      </c>
    </row>
    <row r="1362" spans="1:14" ht="14.4">
      <c r="A1362">
        <v>13367</v>
      </c>
      <c r="B1362">
        <v>13368</v>
      </c>
      <c r="C1362">
        <v>4086</v>
      </c>
      <c r="D1362" t="s">
        <v>390</v>
      </c>
      <c r="E1362" t="s">
        <v>572</v>
      </c>
      <c r="F1362">
        <v>7737</v>
      </c>
      <c r="G1362" t="s">
        <v>392</v>
      </c>
      <c r="H1362" t="s">
        <v>38</v>
      </c>
      <c r="I1362">
        <v>12500</v>
      </c>
      <c r="J1362">
        <v>0</v>
      </c>
      <c r="K1362">
        <v>12500</v>
      </c>
      <c r="L1362">
        <v>0</v>
      </c>
      <c r="M1362">
        <v>0</v>
      </c>
      <c r="N1362">
        <v>0</v>
      </c>
    </row>
    <row r="1363" spans="1:14" ht="14.4">
      <c r="A1363">
        <v>13367</v>
      </c>
      <c r="B1363">
        <v>13368</v>
      </c>
      <c r="C1363">
        <v>4086</v>
      </c>
      <c r="D1363" t="s">
        <v>390</v>
      </c>
      <c r="E1363" t="s">
        <v>572</v>
      </c>
      <c r="F1363">
        <v>8879</v>
      </c>
      <c r="G1363" t="s">
        <v>406</v>
      </c>
      <c r="H1363" t="s">
        <v>38</v>
      </c>
      <c r="I1363">
        <v>2196108</v>
      </c>
      <c r="J1363">
        <v>1659713</v>
      </c>
      <c r="K1363">
        <v>536395</v>
      </c>
      <c r="L1363">
        <v>978000</v>
      </c>
      <c r="M1363">
        <v>717500</v>
      </c>
      <c r="N1363">
        <v>260500</v>
      </c>
    </row>
    <row r="1364" spans="1:14" ht="14.4">
      <c r="A1364">
        <v>13367</v>
      </c>
      <c r="B1364">
        <v>13368</v>
      </c>
      <c r="C1364">
        <v>4086</v>
      </c>
      <c r="D1364" t="s">
        <v>390</v>
      </c>
      <c r="E1364" t="s">
        <v>573</v>
      </c>
      <c r="F1364">
        <v>8735</v>
      </c>
      <c r="G1364" t="s">
        <v>402</v>
      </c>
      <c r="H1364" t="s">
        <v>38</v>
      </c>
      <c r="I1364">
        <v>1245025</v>
      </c>
      <c r="J1364">
        <v>930530</v>
      </c>
      <c r="K1364">
        <v>314495</v>
      </c>
      <c r="L1364">
        <v>383200</v>
      </c>
      <c r="M1364">
        <v>308600</v>
      </c>
      <c r="N1364">
        <v>74600</v>
      </c>
    </row>
    <row r="1365" spans="1:14" ht="14.4">
      <c r="A1365">
        <v>13367</v>
      </c>
      <c r="B1365">
        <v>13368</v>
      </c>
      <c r="C1365">
        <v>4086</v>
      </c>
      <c r="D1365" t="s">
        <v>390</v>
      </c>
      <c r="E1365" t="s">
        <v>574</v>
      </c>
      <c r="F1365">
        <v>8735</v>
      </c>
      <c r="G1365" t="s">
        <v>402</v>
      </c>
      <c r="H1365" t="s">
        <v>38</v>
      </c>
      <c r="I1365">
        <v>82158</v>
      </c>
      <c r="J1365">
        <v>60108</v>
      </c>
      <c r="K1365">
        <v>22050</v>
      </c>
      <c r="L1365">
        <v>0</v>
      </c>
      <c r="M1365">
        <v>0</v>
      </c>
      <c r="N1365">
        <v>0</v>
      </c>
    </row>
    <row r="1366" spans="1:14" ht="14.4">
      <c r="A1366">
        <v>13367</v>
      </c>
      <c r="B1366">
        <v>13368</v>
      </c>
      <c r="C1366">
        <v>4086</v>
      </c>
      <c r="D1366" t="s">
        <v>390</v>
      </c>
      <c r="E1366" t="s">
        <v>1539</v>
      </c>
      <c r="F1366">
        <v>8735</v>
      </c>
      <c r="G1366" t="s">
        <v>402</v>
      </c>
      <c r="H1366" t="s">
        <v>38</v>
      </c>
      <c r="I1366">
        <v>136500</v>
      </c>
      <c r="J1366">
        <v>92750</v>
      </c>
      <c r="K1366">
        <v>43750</v>
      </c>
      <c r="L1366">
        <v>0</v>
      </c>
      <c r="M1366">
        <v>0</v>
      </c>
      <c r="N1366">
        <v>0</v>
      </c>
    </row>
    <row r="1367" spans="1:14" ht="14.4">
      <c r="A1367">
        <v>13367</v>
      </c>
      <c r="B1367">
        <v>13368</v>
      </c>
      <c r="C1367">
        <v>4086</v>
      </c>
      <c r="D1367" t="s">
        <v>390</v>
      </c>
      <c r="E1367" t="s">
        <v>575</v>
      </c>
      <c r="F1367">
        <v>7739</v>
      </c>
      <c r="G1367" t="s">
        <v>402</v>
      </c>
      <c r="H1367" t="s">
        <v>38</v>
      </c>
      <c r="I1367">
        <v>121440</v>
      </c>
      <c r="J1367">
        <v>90540</v>
      </c>
      <c r="K1367">
        <v>30900</v>
      </c>
      <c r="L1367">
        <v>0</v>
      </c>
      <c r="M1367">
        <v>0</v>
      </c>
      <c r="N1367">
        <v>0</v>
      </c>
    </row>
    <row r="1368" spans="1:14" ht="14.4">
      <c r="A1368">
        <v>13367</v>
      </c>
      <c r="B1368">
        <v>13368</v>
      </c>
      <c r="C1368">
        <v>4086</v>
      </c>
      <c r="D1368" t="s">
        <v>390</v>
      </c>
      <c r="E1368" t="s">
        <v>575</v>
      </c>
      <c r="F1368">
        <v>8723</v>
      </c>
      <c r="G1368" t="s">
        <v>402</v>
      </c>
      <c r="H1368" t="s">
        <v>38</v>
      </c>
      <c r="I1368">
        <v>40139</v>
      </c>
      <c r="J1368">
        <v>37339</v>
      </c>
      <c r="K1368">
        <v>2800</v>
      </c>
      <c r="L1368">
        <v>0</v>
      </c>
      <c r="M1368">
        <v>0</v>
      </c>
      <c r="N1368">
        <v>0</v>
      </c>
    </row>
    <row r="1369" spans="1:14" ht="14.4">
      <c r="A1369">
        <v>13367</v>
      </c>
      <c r="B1369">
        <v>13368</v>
      </c>
      <c r="C1369">
        <v>4086</v>
      </c>
      <c r="D1369" t="s">
        <v>390</v>
      </c>
      <c r="E1369" t="s">
        <v>575</v>
      </c>
      <c r="F1369">
        <v>8735</v>
      </c>
      <c r="G1369" t="s">
        <v>392</v>
      </c>
      <c r="H1369" t="s">
        <v>38</v>
      </c>
      <c r="I1369">
        <v>270296</v>
      </c>
      <c r="J1369">
        <v>206496</v>
      </c>
      <c r="K1369">
        <v>63800</v>
      </c>
      <c r="L1369">
        <v>98400</v>
      </c>
      <c r="M1369">
        <v>77000</v>
      </c>
      <c r="N1369">
        <v>21400</v>
      </c>
    </row>
    <row r="1370" spans="1:14" ht="14.4">
      <c r="A1370">
        <v>13367</v>
      </c>
      <c r="B1370">
        <v>13368</v>
      </c>
      <c r="C1370">
        <v>4086</v>
      </c>
      <c r="D1370" t="s">
        <v>390</v>
      </c>
      <c r="E1370" t="s">
        <v>575</v>
      </c>
      <c r="F1370">
        <v>8735</v>
      </c>
      <c r="G1370" t="s">
        <v>441</v>
      </c>
      <c r="H1370" t="s">
        <v>38</v>
      </c>
      <c r="I1370">
        <v>18100</v>
      </c>
      <c r="J1370">
        <v>0</v>
      </c>
      <c r="K1370">
        <v>18100</v>
      </c>
      <c r="L1370">
        <v>18100</v>
      </c>
      <c r="M1370">
        <v>0</v>
      </c>
      <c r="N1370">
        <v>18100</v>
      </c>
    </row>
    <row r="1371" spans="1:14" ht="14.4">
      <c r="A1371">
        <v>13367</v>
      </c>
      <c r="B1371">
        <v>13368</v>
      </c>
      <c r="C1371">
        <v>4086</v>
      </c>
      <c r="D1371" t="s">
        <v>390</v>
      </c>
      <c r="E1371" t="s">
        <v>575</v>
      </c>
      <c r="F1371">
        <v>8735</v>
      </c>
      <c r="G1371" t="s">
        <v>402</v>
      </c>
      <c r="H1371" t="s">
        <v>38</v>
      </c>
      <c r="I1371">
        <v>65181808</v>
      </c>
      <c r="J1371">
        <v>45855686</v>
      </c>
      <c r="K1371">
        <v>19326122</v>
      </c>
      <c r="L1371">
        <v>26831400</v>
      </c>
      <c r="M1371">
        <v>18155800</v>
      </c>
      <c r="N1371">
        <v>8675600</v>
      </c>
    </row>
    <row r="1372" spans="1:14" ht="14.4">
      <c r="A1372">
        <v>13367</v>
      </c>
      <c r="B1372">
        <v>13368</v>
      </c>
      <c r="C1372">
        <v>4086</v>
      </c>
      <c r="D1372" t="s">
        <v>390</v>
      </c>
      <c r="E1372" t="s">
        <v>575</v>
      </c>
      <c r="F1372">
        <v>8736</v>
      </c>
      <c r="G1372" t="s">
        <v>402</v>
      </c>
      <c r="H1372" t="s">
        <v>38</v>
      </c>
      <c r="I1372">
        <v>133632</v>
      </c>
      <c r="J1372">
        <v>90982</v>
      </c>
      <c r="K1372">
        <v>42650</v>
      </c>
      <c r="L1372">
        <v>25400</v>
      </c>
      <c r="M1372">
        <v>0</v>
      </c>
      <c r="N1372">
        <v>25400</v>
      </c>
    </row>
    <row r="1373" spans="1:14" ht="14.4">
      <c r="A1373">
        <v>13367</v>
      </c>
      <c r="B1373">
        <v>13368</v>
      </c>
      <c r="C1373">
        <v>4086</v>
      </c>
      <c r="D1373" t="s">
        <v>390</v>
      </c>
      <c r="E1373" t="s">
        <v>1540</v>
      </c>
      <c r="F1373">
        <v>8733</v>
      </c>
      <c r="G1373" t="s">
        <v>402</v>
      </c>
      <c r="H1373" t="s">
        <v>38</v>
      </c>
      <c r="I1373">
        <v>43519</v>
      </c>
      <c r="J1373">
        <v>30089</v>
      </c>
      <c r="K1373">
        <v>13430</v>
      </c>
      <c r="L1373">
        <v>0</v>
      </c>
      <c r="M1373">
        <v>0</v>
      </c>
      <c r="N1373">
        <v>0</v>
      </c>
    </row>
    <row r="1374" spans="1:14" ht="14.4">
      <c r="A1374">
        <v>13367</v>
      </c>
      <c r="B1374">
        <v>13368</v>
      </c>
      <c r="C1374">
        <v>4086</v>
      </c>
      <c r="D1374" t="s">
        <v>390</v>
      </c>
      <c r="E1374" t="s">
        <v>1540</v>
      </c>
      <c r="F1374">
        <v>8735</v>
      </c>
      <c r="G1374" t="s">
        <v>402</v>
      </c>
      <c r="H1374" t="s">
        <v>38</v>
      </c>
      <c r="I1374">
        <v>174383</v>
      </c>
      <c r="J1374">
        <v>92508</v>
      </c>
      <c r="K1374">
        <v>81875</v>
      </c>
      <c r="L1374">
        <v>38100</v>
      </c>
      <c r="M1374">
        <v>0</v>
      </c>
      <c r="N1374">
        <v>38100</v>
      </c>
    </row>
    <row r="1375" spans="1:14" ht="14.4">
      <c r="A1375">
        <v>13367</v>
      </c>
      <c r="B1375">
        <v>13368</v>
      </c>
      <c r="C1375">
        <v>4086</v>
      </c>
      <c r="D1375" t="s">
        <v>390</v>
      </c>
      <c r="E1375" t="s">
        <v>577</v>
      </c>
      <c r="F1375">
        <v>8045</v>
      </c>
      <c r="G1375" t="s">
        <v>465</v>
      </c>
      <c r="H1375" t="s">
        <v>38</v>
      </c>
      <c r="I1375">
        <v>1097</v>
      </c>
      <c r="J1375">
        <v>1097</v>
      </c>
      <c r="K1375">
        <v>0</v>
      </c>
      <c r="L1375">
        <v>1100</v>
      </c>
      <c r="M1375">
        <v>1100</v>
      </c>
      <c r="N1375">
        <v>0</v>
      </c>
    </row>
    <row r="1376" spans="1:14" ht="14.4">
      <c r="A1376">
        <v>13367</v>
      </c>
      <c r="B1376">
        <v>13368</v>
      </c>
      <c r="C1376">
        <v>4086</v>
      </c>
      <c r="D1376" t="s">
        <v>390</v>
      </c>
      <c r="E1376" t="s">
        <v>1541</v>
      </c>
      <c r="F1376">
        <v>8879</v>
      </c>
      <c r="G1376" t="s">
        <v>406</v>
      </c>
      <c r="H1376" t="s">
        <v>38</v>
      </c>
      <c r="I1376">
        <v>163530</v>
      </c>
      <c r="J1376">
        <v>125680</v>
      </c>
      <c r="K1376">
        <v>37850</v>
      </c>
      <c r="L1376">
        <v>0</v>
      </c>
      <c r="M1376">
        <v>0</v>
      </c>
      <c r="N1376">
        <v>0</v>
      </c>
    </row>
    <row r="1377" spans="1:14" ht="14.4">
      <c r="A1377">
        <v>13367</v>
      </c>
      <c r="B1377">
        <v>13368</v>
      </c>
      <c r="C1377">
        <v>4086</v>
      </c>
      <c r="D1377" t="s">
        <v>390</v>
      </c>
      <c r="E1377" t="s">
        <v>578</v>
      </c>
      <c r="F1377">
        <v>8648</v>
      </c>
      <c r="G1377" t="s">
        <v>496</v>
      </c>
      <c r="H1377" t="s">
        <v>38</v>
      </c>
      <c r="I1377">
        <v>25336</v>
      </c>
      <c r="J1377">
        <v>24336</v>
      </c>
      <c r="K1377">
        <v>1000</v>
      </c>
      <c r="L1377">
        <v>13800</v>
      </c>
      <c r="M1377">
        <v>13400</v>
      </c>
      <c r="N1377">
        <v>400</v>
      </c>
    </row>
    <row r="1378" spans="1:14" ht="14.4">
      <c r="A1378">
        <v>13367</v>
      </c>
      <c r="B1378">
        <v>13368</v>
      </c>
      <c r="C1378">
        <v>4086</v>
      </c>
      <c r="D1378" t="s">
        <v>390</v>
      </c>
      <c r="E1378" t="s">
        <v>1542</v>
      </c>
      <c r="F1378">
        <v>8833</v>
      </c>
      <c r="G1378" t="s">
        <v>464</v>
      </c>
      <c r="H1378" t="s">
        <v>38</v>
      </c>
      <c r="I1378">
        <v>50980</v>
      </c>
      <c r="J1378">
        <v>47690</v>
      </c>
      <c r="K1378">
        <v>3290</v>
      </c>
      <c r="L1378">
        <v>10000</v>
      </c>
      <c r="M1378">
        <v>7900</v>
      </c>
      <c r="N1378">
        <v>2100</v>
      </c>
    </row>
    <row r="1379" spans="1:14" ht="14.4">
      <c r="A1379">
        <v>13367</v>
      </c>
      <c r="B1379">
        <v>13368</v>
      </c>
      <c r="C1379">
        <v>4086</v>
      </c>
      <c r="D1379" t="s">
        <v>390</v>
      </c>
      <c r="E1379" t="s">
        <v>1543</v>
      </c>
      <c r="F1379">
        <v>7852</v>
      </c>
      <c r="G1379" t="s">
        <v>441</v>
      </c>
      <c r="H1379" t="s">
        <v>38</v>
      </c>
      <c r="I1379">
        <v>3300</v>
      </c>
      <c r="J1379">
        <v>0</v>
      </c>
      <c r="K1379">
        <v>3300</v>
      </c>
      <c r="L1379">
        <v>0</v>
      </c>
      <c r="M1379">
        <v>0</v>
      </c>
      <c r="N1379">
        <v>0</v>
      </c>
    </row>
    <row r="1380" spans="1:14" ht="14.4">
      <c r="A1380">
        <v>13367</v>
      </c>
      <c r="B1380">
        <v>13368</v>
      </c>
      <c r="C1380">
        <v>4086</v>
      </c>
      <c r="D1380" t="s">
        <v>390</v>
      </c>
      <c r="E1380" t="s">
        <v>579</v>
      </c>
      <c r="F1380">
        <v>8087</v>
      </c>
      <c r="G1380" t="s">
        <v>402</v>
      </c>
      <c r="H1380" t="s">
        <v>38</v>
      </c>
      <c r="I1380">
        <v>1931504</v>
      </c>
      <c r="J1380">
        <v>1405790</v>
      </c>
      <c r="K1380">
        <v>525714</v>
      </c>
      <c r="L1380">
        <v>170200</v>
      </c>
      <c r="M1380">
        <v>106800</v>
      </c>
      <c r="N1380">
        <v>63400</v>
      </c>
    </row>
    <row r="1381" spans="1:14" ht="14.4">
      <c r="A1381">
        <v>13367</v>
      </c>
      <c r="B1381">
        <v>13368</v>
      </c>
      <c r="C1381">
        <v>4086</v>
      </c>
      <c r="D1381" t="s">
        <v>390</v>
      </c>
      <c r="E1381" t="s">
        <v>1544</v>
      </c>
      <c r="F1381">
        <v>8087</v>
      </c>
      <c r="G1381" t="s">
        <v>402</v>
      </c>
      <c r="H1381" t="s">
        <v>38</v>
      </c>
      <c r="I1381">
        <v>32225</v>
      </c>
      <c r="J1381">
        <v>0</v>
      </c>
      <c r="K1381">
        <v>32225</v>
      </c>
      <c r="L1381">
        <v>12300</v>
      </c>
      <c r="M1381">
        <v>0</v>
      </c>
      <c r="N1381">
        <v>12300</v>
      </c>
    </row>
    <row r="1382" spans="1:14" ht="14.4">
      <c r="A1382">
        <v>13367</v>
      </c>
      <c r="B1382">
        <v>13368</v>
      </c>
      <c r="C1382">
        <v>4086</v>
      </c>
      <c r="D1382" t="s">
        <v>390</v>
      </c>
      <c r="E1382" t="s">
        <v>580</v>
      </c>
      <c r="F1382">
        <v>8087</v>
      </c>
      <c r="G1382" t="s">
        <v>402</v>
      </c>
      <c r="H1382" t="s">
        <v>38</v>
      </c>
      <c r="I1382">
        <v>631341</v>
      </c>
      <c r="J1382">
        <v>489516</v>
      </c>
      <c r="K1382">
        <v>141825</v>
      </c>
      <c r="L1382">
        <v>13600</v>
      </c>
      <c r="M1382">
        <v>0</v>
      </c>
      <c r="N1382">
        <v>13600</v>
      </c>
    </row>
    <row r="1383" spans="1:14" ht="14.4">
      <c r="A1383">
        <v>13367</v>
      </c>
      <c r="B1383">
        <v>13368</v>
      </c>
      <c r="C1383">
        <v>4086</v>
      </c>
      <c r="D1383" t="s">
        <v>390</v>
      </c>
      <c r="E1383" t="s">
        <v>581</v>
      </c>
      <c r="F1383">
        <v>7737</v>
      </c>
      <c r="G1383" t="s">
        <v>392</v>
      </c>
      <c r="H1383" t="s">
        <v>38</v>
      </c>
      <c r="I1383">
        <v>4458858</v>
      </c>
      <c r="J1383">
        <v>3511617</v>
      </c>
      <c r="K1383">
        <v>947241</v>
      </c>
      <c r="L1383">
        <v>1841300</v>
      </c>
      <c r="M1383">
        <v>1341300</v>
      </c>
      <c r="N1383">
        <v>500000</v>
      </c>
    </row>
    <row r="1384" spans="1:14" ht="14.4">
      <c r="A1384">
        <v>13367</v>
      </c>
      <c r="B1384">
        <v>13368</v>
      </c>
      <c r="C1384">
        <v>4086</v>
      </c>
      <c r="D1384" t="s">
        <v>390</v>
      </c>
      <c r="E1384" t="s">
        <v>1545</v>
      </c>
      <c r="F1384">
        <v>7605</v>
      </c>
      <c r="G1384" t="s">
        <v>76</v>
      </c>
      <c r="H1384" t="s">
        <v>38</v>
      </c>
      <c r="I1384">
        <v>54391</v>
      </c>
      <c r="J1384">
        <v>47891</v>
      </c>
      <c r="K1384">
        <v>6500</v>
      </c>
      <c r="L1384">
        <v>5300</v>
      </c>
      <c r="M1384">
        <v>5300</v>
      </c>
      <c r="N1384">
        <v>0</v>
      </c>
    </row>
    <row r="1385" spans="1:14" ht="14.4">
      <c r="A1385">
        <v>13367</v>
      </c>
      <c r="B1385">
        <v>13368</v>
      </c>
      <c r="C1385">
        <v>4086</v>
      </c>
      <c r="D1385" t="s">
        <v>390</v>
      </c>
      <c r="E1385" t="s">
        <v>1546</v>
      </c>
      <c r="F1385">
        <v>7938</v>
      </c>
      <c r="G1385" t="s">
        <v>413</v>
      </c>
      <c r="H1385" t="s">
        <v>38</v>
      </c>
      <c r="I1385">
        <v>10653</v>
      </c>
      <c r="J1385">
        <v>10653</v>
      </c>
      <c r="K1385">
        <v>0</v>
      </c>
      <c r="L1385">
        <v>2400</v>
      </c>
      <c r="M1385">
        <v>2400</v>
      </c>
      <c r="N1385">
        <v>0</v>
      </c>
    </row>
    <row r="1386" spans="1:14" ht="14.4">
      <c r="A1386">
        <v>13367</v>
      </c>
      <c r="B1386">
        <v>13368</v>
      </c>
      <c r="C1386">
        <v>4086</v>
      </c>
      <c r="D1386" t="s">
        <v>390</v>
      </c>
      <c r="E1386" t="s">
        <v>582</v>
      </c>
      <c r="F1386">
        <v>7035</v>
      </c>
      <c r="G1386" t="s">
        <v>441</v>
      </c>
      <c r="H1386" t="s">
        <v>38</v>
      </c>
      <c r="I1386">
        <v>151229</v>
      </c>
      <c r="J1386">
        <v>118779</v>
      </c>
      <c r="K1386">
        <v>32450</v>
      </c>
      <c r="L1386">
        <v>76600</v>
      </c>
      <c r="M1386">
        <v>51900</v>
      </c>
      <c r="N1386">
        <v>24700</v>
      </c>
    </row>
    <row r="1387" spans="1:14" ht="14.4">
      <c r="A1387">
        <v>13367</v>
      </c>
      <c r="B1387">
        <v>13368</v>
      </c>
      <c r="C1387">
        <v>4086</v>
      </c>
      <c r="D1387" t="s">
        <v>390</v>
      </c>
      <c r="E1387" t="s">
        <v>583</v>
      </c>
      <c r="F1387">
        <v>7738</v>
      </c>
      <c r="G1387" t="s">
        <v>392</v>
      </c>
      <c r="H1387" t="s">
        <v>38</v>
      </c>
      <c r="I1387">
        <v>91809</v>
      </c>
      <c r="J1387">
        <v>90159</v>
      </c>
      <c r="K1387">
        <v>1650</v>
      </c>
      <c r="L1387">
        <v>60300</v>
      </c>
      <c r="M1387">
        <v>60300</v>
      </c>
      <c r="N1387">
        <v>0</v>
      </c>
    </row>
    <row r="1388" spans="1:14" ht="14.4">
      <c r="A1388">
        <v>13367</v>
      </c>
      <c r="B1388">
        <v>13368</v>
      </c>
      <c r="C1388">
        <v>4086</v>
      </c>
      <c r="D1388" t="s">
        <v>390</v>
      </c>
      <c r="E1388" t="s">
        <v>584</v>
      </c>
      <c r="F1388">
        <v>7036</v>
      </c>
      <c r="G1388" t="s">
        <v>406</v>
      </c>
      <c r="H1388" t="s">
        <v>38</v>
      </c>
      <c r="I1388">
        <v>56953</v>
      </c>
      <c r="J1388">
        <v>45953</v>
      </c>
      <c r="K1388">
        <v>11000</v>
      </c>
      <c r="L1388">
        <v>0</v>
      </c>
      <c r="M1388">
        <v>0</v>
      </c>
      <c r="N1388">
        <v>0</v>
      </c>
    </row>
    <row r="1389" spans="1:14" ht="14.4">
      <c r="A1389">
        <v>13367</v>
      </c>
      <c r="B1389">
        <v>13368</v>
      </c>
      <c r="C1389">
        <v>4086</v>
      </c>
      <c r="D1389" t="s">
        <v>390</v>
      </c>
      <c r="E1389" t="s">
        <v>584</v>
      </c>
      <c r="F1389">
        <v>7036</v>
      </c>
      <c r="G1389" t="s">
        <v>435</v>
      </c>
      <c r="H1389" t="s">
        <v>38</v>
      </c>
      <c r="I1389">
        <v>1711611</v>
      </c>
      <c r="J1389">
        <v>1158807</v>
      </c>
      <c r="K1389">
        <v>552804</v>
      </c>
      <c r="L1389">
        <v>785100</v>
      </c>
      <c r="M1389">
        <v>472600</v>
      </c>
      <c r="N1389">
        <v>312500</v>
      </c>
    </row>
    <row r="1390" spans="1:14" ht="14.4">
      <c r="A1390">
        <v>13367</v>
      </c>
      <c r="B1390">
        <v>13368</v>
      </c>
      <c r="C1390">
        <v>4086</v>
      </c>
      <c r="D1390" t="s">
        <v>390</v>
      </c>
      <c r="E1390" t="s">
        <v>1547</v>
      </c>
      <c r="F1390">
        <v>7036</v>
      </c>
      <c r="G1390" t="s">
        <v>435</v>
      </c>
      <c r="H1390" t="s">
        <v>38</v>
      </c>
      <c r="I1390">
        <v>4300</v>
      </c>
      <c r="J1390">
        <v>0</v>
      </c>
      <c r="K1390">
        <v>4300</v>
      </c>
      <c r="L1390">
        <v>0</v>
      </c>
      <c r="M1390">
        <v>0</v>
      </c>
      <c r="N1390">
        <v>0</v>
      </c>
    </row>
    <row r="1391" spans="1:14" ht="14.4">
      <c r="A1391">
        <v>13367</v>
      </c>
      <c r="B1391">
        <v>13368</v>
      </c>
      <c r="C1391">
        <v>4086</v>
      </c>
      <c r="D1391" t="s">
        <v>390</v>
      </c>
      <c r="E1391" t="s">
        <v>585</v>
      </c>
      <c r="F1391">
        <v>8221</v>
      </c>
      <c r="G1391" t="s">
        <v>394</v>
      </c>
      <c r="H1391" t="s">
        <v>38</v>
      </c>
      <c r="I1391">
        <v>862999</v>
      </c>
      <c r="J1391">
        <v>716113</v>
      </c>
      <c r="K1391">
        <v>146886</v>
      </c>
      <c r="L1391">
        <v>660000</v>
      </c>
      <c r="M1391">
        <v>560700</v>
      </c>
      <c r="N1391">
        <v>99300</v>
      </c>
    </row>
    <row r="1392" spans="1:14" ht="14.4">
      <c r="A1392">
        <v>13367</v>
      </c>
      <c r="B1392">
        <v>13368</v>
      </c>
      <c r="C1392">
        <v>4086</v>
      </c>
      <c r="D1392" t="s">
        <v>390</v>
      </c>
      <c r="E1392" t="s">
        <v>1548</v>
      </c>
      <c r="F1392">
        <v>7643</v>
      </c>
      <c r="G1392" t="s">
        <v>76</v>
      </c>
      <c r="H1392" t="s">
        <v>38</v>
      </c>
      <c r="I1392">
        <v>63314</v>
      </c>
      <c r="J1392">
        <v>54314</v>
      </c>
      <c r="K1392">
        <v>9000</v>
      </c>
      <c r="L1392">
        <v>0</v>
      </c>
      <c r="M1392">
        <v>0</v>
      </c>
      <c r="N1392">
        <v>0</v>
      </c>
    </row>
    <row r="1393" spans="1:14" ht="14.4">
      <c r="A1393">
        <v>13367</v>
      </c>
      <c r="B1393">
        <v>13368</v>
      </c>
      <c r="C1393">
        <v>4086</v>
      </c>
      <c r="D1393" t="s">
        <v>390</v>
      </c>
      <c r="E1393" t="s">
        <v>587</v>
      </c>
      <c r="F1393">
        <v>8087</v>
      </c>
      <c r="G1393" t="s">
        <v>402</v>
      </c>
      <c r="H1393" t="s">
        <v>38</v>
      </c>
      <c r="I1393">
        <v>43626907</v>
      </c>
      <c r="J1393">
        <v>31883528</v>
      </c>
      <c r="K1393">
        <v>11743379</v>
      </c>
      <c r="L1393">
        <v>16032600</v>
      </c>
      <c r="M1393">
        <v>11090800</v>
      </c>
      <c r="N1393">
        <v>4941800</v>
      </c>
    </row>
    <row r="1394" spans="1:14" ht="14.4">
      <c r="A1394">
        <v>13367</v>
      </c>
      <c r="B1394">
        <v>13368</v>
      </c>
      <c r="C1394">
        <v>4086</v>
      </c>
      <c r="D1394" t="s">
        <v>390</v>
      </c>
      <c r="E1394" t="s">
        <v>587</v>
      </c>
      <c r="F1394">
        <v>8089</v>
      </c>
      <c r="G1394" t="s">
        <v>402</v>
      </c>
      <c r="H1394" t="s">
        <v>38</v>
      </c>
      <c r="I1394">
        <v>166487</v>
      </c>
      <c r="J1394">
        <v>166487</v>
      </c>
      <c r="K1394">
        <v>0</v>
      </c>
      <c r="L1394">
        <v>141500</v>
      </c>
      <c r="M1394">
        <v>141500</v>
      </c>
      <c r="N1394">
        <v>0</v>
      </c>
    </row>
    <row r="1395" spans="1:14" ht="14.4">
      <c r="A1395">
        <v>13367</v>
      </c>
      <c r="B1395">
        <v>13368</v>
      </c>
      <c r="C1395">
        <v>4086</v>
      </c>
      <c r="D1395" t="s">
        <v>390</v>
      </c>
      <c r="E1395" t="s">
        <v>587</v>
      </c>
      <c r="F1395">
        <v>8215</v>
      </c>
      <c r="G1395" t="s">
        <v>443</v>
      </c>
      <c r="H1395" t="s">
        <v>38</v>
      </c>
      <c r="I1395">
        <v>63846</v>
      </c>
      <c r="J1395">
        <v>54796</v>
      </c>
      <c r="K1395">
        <v>9050</v>
      </c>
      <c r="L1395">
        <v>42000</v>
      </c>
      <c r="M1395">
        <v>38000</v>
      </c>
      <c r="N1395">
        <v>4000</v>
      </c>
    </row>
    <row r="1396" spans="1:14" ht="14.4">
      <c r="A1396">
        <v>13367</v>
      </c>
      <c r="B1396">
        <v>13368</v>
      </c>
      <c r="C1396">
        <v>4086</v>
      </c>
      <c r="D1396" t="s">
        <v>390</v>
      </c>
      <c r="E1396" t="s">
        <v>587</v>
      </c>
      <c r="F1396">
        <v>8361</v>
      </c>
      <c r="G1396" t="s">
        <v>402</v>
      </c>
      <c r="H1396" t="s">
        <v>38</v>
      </c>
      <c r="I1396">
        <v>107306</v>
      </c>
      <c r="J1396">
        <v>73237</v>
      </c>
      <c r="K1396">
        <v>34069</v>
      </c>
      <c r="L1396">
        <v>94500</v>
      </c>
      <c r="M1396">
        <v>62500</v>
      </c>
      <c r="N1396">
        <v>32000</v>
      </c>
    </row>
    <row r="1397" spans="1:14" ht="14.4">
      <c r="A1397">
        <v>13367</v>
      </c>
      <c r="B1397">
        <v>13368</v>
      </c>
      <c r="C1397">
        <v>4086</v>
      </c>
      <c r="D1397" t="s">
        <v>390</v>
      </c>
      <c r="E1397" t="s">
        <v>588</v>
      </c>
      <c r="F1397">
        <v>8087</v>
      </c>
      <c r="G1397" t="s">
        <v>402</v>
      </c>
      <c r="H1397" t="s">
        <v>38</v>
      </c>
      <c r="I1397">
        <v>2780142</v>
      </c>
      <c r="J1397">
        <v>2036820</v>
      </c>
      <c r="K1397">
        <v>743322</v>
      </c>
      <c r="L1397">
        <v>1787300</v>
      </c>
      <c r="M1397">
        <v>1298400</v>
      </c>
      <c r="N1397">
        <v>488900</v>
      </c>
    </row>
    <row r="1398" spans="1:14" ht="14.4">
      <c r="A1398">
        <v>13367</v>
      </c>
      <c r="B1398">
        <v>13368</v>
      </c>
      <c r="C1398">
        <v>4086</v>
      </c>
      <c r="D1398" t="s">
        <v>390</v>
      </c>
      <c r="E1398" t="s">
        <v>589</v>
      </c>
      <c r="F1398">
        <v>8087</v>
      </c>
      <c r="G1398" t="s">
        <v>394</v>
      </c>
      <c r="H1398" t="s">
        <v>38</v>
      </c>
      <c r="I1398">
        <v>86384</v>
      </c>
      <c r="J1398">
        <v>57709</v>
      </c>
      <c r="K1398">
        <v>28675</v>
      </c>
      <c r="L1398">
        <v>0</v>
      </c>
      <c r="M1398">
        <v>0</v>
      </c>
      <c r="N1398">
        <v>0</v>
      </c>
    </row>
    <row r="1399" spans="1:14" ht="14.4">
      <c r="A1399">
        <v>13367</v>
      </c>
      <c r="B1399">
        <v>13368</v>
      </c>
      <c r="C1399">
        <v>4086</v>
      </c>
      <c r="D1399" t="s">
        <v>390</v>
      </c>
      <c r="E1399" t="s">
        <v>589</v>
      </c>
      <c r="F1399">
        <v>8087</v>
      </c>
      <c r="G1399" t="s">
        <v>402</v>
      </c>
      <c r="H1399" t="s">
        <v>38</v>
      </c>
      <c r="I1399">
        <v>27463744</v>
      </c>
      <c r="J1399">
        <v>20073685</v>
      </c>
      <c r="K1399">
        <v>7390059</v>
      </c>
      <c r="L1399">
        <v>10907100</v>
      </c>
      <c r="M1399">
        <v>7667900</v>
      </c>
      <c r="N1399">
        <v>3239200</v>
      </c>
    </row>
    <row r="1400" spans="1:14" ht="14.4">
      <c r="A1400">
        <v>13367</v>
      </c>
      <c r="B1400">
        <v>13368</v>
      </c>
      <c r="C1400">
        <v>4086</v>
      </c>
      <c r="D1400" t="s">
        <v>390</v>
      </c>
      <c r="E1400" t="s">
        <v>1549</v>
      </c>
      <c r="F1400">
        <v>8087</v>
      </c>
      <c r="G1400" t="s">
        <v>402</v>
      </c>
      <c r="H1400" t="s">
        <v>38</v>
      </c>
      <c r="I1400">
        <v>239800</v>
      </c>
      <c r="J1400">
        <v>177600</v>
      </c>
      <c r="K1400">
        <v>62200</v>
      </c>
      <c r="L1400">
        <v>92100</v>
      </c>
      <c r="M1400">
        <v>45500</v>
      </c>
      <c r="N1400">
        <v>46600</v>
      </c>
    </row>
    <row r="1401" spans="1:14" ht="14.4">
      <c r="A1401">
        <v>13367</v>
      </c>
      <c r="B1401">
        <v>13368</v>
      </c>
      <c r="C1401">
        <v>4086</v>
      </c>
      <c r="D1401" t="s">
        <v>390</v>
      </c>
      <c r="E1401" t="s">
        <v>1550</v>
      </c>
      <c r="F1401">
        <v>8087</v>
      </c>
      <c r="G1401" t="s">
        <v>402</v>
      </c>
      <c r="H1401" t="s">
        <v>38</v>
      </c>
      <c r="I1401">
        <v>56470</v>
      </c>
      <c r="J1401">
        <v>46070</v>
      </c>
      <c r="K1401">
        <v>10400</v>
      </c>
      <c r="L1401">
        <v>56500</v>
      </c>
      <c r="M1401">
        <v>46100</v>
      </c>
      <c r="N1401">
        <v>10400</v>
      </c>
    </row>
    <row r="1402" spans="1:14" ht="14.4">
      <c r="A1402">
        <v>13367</v>
      </c>
      <c r="B1402">
        <v>13368</v>
      </c>
      <c r="C1402">
        <v>4086</v>
      </c>
      <c r="D1402" t="s">
        <v>390</v>
      </c>
      <c r="E1402" t="s">
        <v>1551</v>
      </c>
      <c r="F1402">
        <v>8087</v>
      </c>
      <c r="G1402" t="s">
        <v>402</v>
      </c>
      <c r="H1402" t="s">
        <v>38</v>
      </c>
      <c r="I1402">
        <v>81743</v>
      </c>
      <c r="J1402">
        <v>54193</v>
      </c>
      <c r="K1402">
        <v>27550</v>
      </c>
      <c r="L1402">
        <v>76800</v>
      </c>
      <c r="M1402">
        <v>54200</v>
      </c>
      <c r="N1402">
        <v>22600</v>
      </c>
    </row>
    <row r="1403" spans="1:14" ht="14.4">
      <c r="A1403">
        <v>13367</v>
      </c>
      <c r="B1403">
        <v>13368</v>
      </c>
      <c r="C1403">
        <v>4086</v>
      </c>
      <c r="D1403" t="s">
        <v>390</v>
      </c>
      <c r="E1403" t="s">
        <v>1552</v>
      </c>
      <c r="F1403">
        <v>8087</v>
      </c>
      <c r="G1403" t="s">
        <v>402</v>
      </c>
      <c r="H1403" t="s">
        <v>38</v>
      </c>
      <c r="I1403">
        <v>90263</v>
      </c>
      <c r="J1403">
        <v>61913</v>
      </c>
      <c r="K1403">
        <v>28350</v>
      </c>
      <c r="L1403">
        <v>0</v>
      </c>
      <c r="M1403">
        <v>0</v>
      </c>
      <c r="N1403">
        <v>0</v>
      </c>
    </row>
    <row r="1404" spans="1:14" ht="14.4">
      <c r="A1404">
        <v>13367</v>
      </c>
      <c r="B1404">
        <v>13368</v>
      </c>
      <c r="C1404">
        <v>4086</v>
      </c>
      <c r="D1404" t="s">
        <v>390</v>
      </c>
      <c r="E1404" t="s">
        <v>590</v>
      </c>
      <c r="F1404">
        <v>7424</v>
      </c>
      <c r="G1404" t="s">
        <v>429</v>
      </c>
      <c r="H1404" t="s">
        <v>38</v>
      </c>
      <c r="I1404">
        <v>157051</v>
      </c>
      <c r="J1404">
        <v>137641</v>
      </c>
      <c r="K1404">
        <v>19410</v>
      </c>
      <c r="L1404">
        <v>14000</v>
      </c>
      <c r="M1404">
        <v>14000</v>
      </c>
      <c r="N1404">
        <v>0</v>
      </c>
    </row>
    <row r="1405" spans="1:14" ht="14.4">
      <c r="A1405">
        <v>13367</v>
      </c>
      <c r="B1405">
        <v>13368</v>
      </c>
      <c r="C1405">
        <v>4086</v>
      </c>
      <c r="D1405" t="s">
        <v>390</v>
      </c>
      <c r="E1405" t="s">
        <v>202</v>
      </c>
      <c r="F1405">
        <v>7642</v>
      </c>
      <c r="G1405" t="s">
        <v>76</v>
      </c>
      <c r="H1405" t="s">
        <v>38</v>
      </c>
      <c r="I1405">
        <v>7085</v>
      </c>
      <c r="J1405">
        <v>0</v>
      </c>
      <c r="K1405">
        <v>7085</v>
      </c>
      <c r="L1405">
        <v>0</v>
      </c>
      <c r="M1405">
        <v>0</v>
      </c>
      <c r="N1405">
        <v>0</v>
      </c>
    </row>
    <row r="1406" spans="1:14" ht="14.4">
      <c r="A1406">
        <v>13367</v>
      </c>
      <c r="B1406">
        <v>13368</v>
      </c>
      <c r="C1406">
        <v>4086</v>
      </c>
      <c r="D1406" t="s">
        <v>390</v>
      </c>
      <c r="E1406" t="s">
        <v>202</v>
      </c>
      <c r="F1406">
        <v>7643</v>
      </c>
      <c r="G1406" t="s">
        <v>76</v>
      </c>
      <c r="H1406" t="s">
        <v>38</v>
      </c>
      <c r="I1406">
        <v>21845597</v>
      </c>
      <c r="J1406">
        <v>11606854</v>
      </c>
      <c r="K1406">
        <v>10238743</v>
      </c>
      <c r="L1406">
        <v>7310100</v>
      </c>
      <c r="M1406">
        <v>3951100</v>
      </c>
      <c r="N1406">
        <v>3353000</v>
      </c>
    </row>
    <row r="1407" spans="1:14" ht="14.4">
      <c r="A1407">
        <v>13367</v>
      </c>
      <c r="B1407">
        <v>13368</v>
      </c>
      <c r="C1407">
        <v>4086</v>
      </c>
      <c r="D1407" t="s">
        <v>390</v>
      </c>
      <c r="E1407" t="s">
        <v>202</v>
      </c>
      <c r="F1407">
        <v>97643</v>
      </c>
      <c r="G1407" t="s">
        <v>76</v>
      </c>
      <c r="H1407" t="s">
        <v>38</v>
      </c>
      <c r="I1407">
        <v>85085</v>
      </c>
      <c r="J1407">
        <v>57205</v>
      </c>
      <c r="K1407">
        <v>27880</v>
      </c>
      <c r="L1407">
        <v>0</v>
      </c>
      <c r="M1407">
        <v>0</v>
      </c>
      <c r="N1407">
        <v>0</v>
      </c>
    </row>
    <row r="1408" spans="1:14" ht="14.4">
      <c r="A1408">
        <v>13367</v>
      </c>
      <c r="B1408">
        <v>13368</v>
      </c>
      <c r="C1408">
        <v>4086</v>
      </c>
      <c r="D1408" t="s">
        <v>390</v>
      </c>
      <c r="E1408" t="s">
        <v>591</v>
      </c>
      <c r="F1408">
        <v>7724</v>
      </c>
      <c r="G1408" t="s">
        <v>392</v>
      </c>
      <c r="H1408" t="s">
        <v>38</v>
      </c>
      <c r="I1408">
        <v>70730</v>
      </c>
      <c r="J1408">
        <v>61680</v>
      </c>
      <c r="K1408">
        <v>9050</v>
      </c>
      <c r="L1408">
        <v>64300</v>
      </c>
      <c r="M1408">
        <v>55300</v>
      </c>
      <c r="N1408">
        <v>9000</v>
      </c>
    </row>
    <row r="1409" spans="1:14" ht="14.4">
      <c r="A1409">
        <v>13367</v>
      </c>
      <c r="B1409">
        <v>13368</v>
      </c>
      <c r="C1409">
        <v>4086</v>
      </c>
      <c r="D1409" t="s">
        <v>390</v>
      </c>
      <c r="E1409" t="s">
        <v>591</v>
      </c>
      <c r="F1409">
        <v>7739</v>
      </c>
      <c r="G1409" t="s">
        <v>392</v>
      </c>
      <c r="H1409" t="s">
        <v>38</v>
      </c>
      <c r="I1409">
        <v>16856843</v>
      </c>
      <c r="J1409">
        <v>12946071</v>
      </c>
      <c r="K1409">
        <v>3910772</v>
      </c>
      <c r="L1409">
        <v>8095200</v>
      </c>
      <c r="M1409">
        <v>6189400</v>
      </c>
      <c r="N1409">
        <v>1905800</v>
      </c>
    </row>
    <row r="1410" spans="1:14" ht="14.4">
      <c r="A1410">
        <v>13367</v>
      </c>
      <c r="B1410">
        <v>13368</v>
      </c>
      <c r="C1410">
        <v>4086</v>
      </c>
      <c r="D1410" t="s">
        <v>390</v>
      </c>
      <c r="E1410" t="s">
        <v>592</v>
      </c>
      <c r="F1410">
        <v>7039</v>
      </c>
      <c r="G1410" t="s">
        <v>428</v>
      </c>
      <c r="H1410" t="s">
        <v>38</v>
      </c>
      <c r="I1410">
        <v>379163</v>
      </c>
      <c r="J1410">
        <v>316563</v>
      </c>
      <c r="K1410">
        <v>62600</v>
      </c>
      <c r="L1410">
        <v>170400</v>
      </c>
      <c r="M1410">
        <v>138700</v>
      </c>
      <c r="N1410">
        <v>31700</v>
      </c>
    </row>
    <row r="1411" spans="1:14" ht="14.4">
      <c r="A1411">
        <v>13367</v>
      </c>
      <c r="B1411">
        <v>13368</v>
      </c>
      <c r="C1411">
        <v>4086</v>
      </c>
      <c r="D1411" t="s">
        <v>390</v>
      </c>
      <c r="E1411" t="s">
        <v>1553</v>
      </c>
      <c r="F1411">
        <v>7711</v>
      </c>
      <c r="G1411" t="s">
        <v>392</v>
      </c>
      <c r="H1411" t="s">
        <v>38</v>
      </c>
      <c r="I1411">
        <v>572854</v>
      </c>
      <c r="J1411">
        <v>485329</v>
      </c>
      <c r="K1411">
        <v>87525</v>
      </c>
      <c r="L1411">
        <v>0</v>
      </c>
      <c r="M1411">
        <v>0</v>
      </c>
      <c r="N1411">
        <v>0</v>
      </c>
    </row>
    <row r="1412" spans="1:14" ht="14.4">
      <c r="A1412">
        <v>13367</v>
      </c>
      <c r="B1412">
        <v>13368</v>
      </c>
      <c r="C1412">
        <v>4086</v>
      </c>
      <c r="D1412" t="s">
        <v>390</v>
      </c>
      <c r="E1412" t="s">
        <v>593</v>
      </c>
      <c r="F1412">
        <v>7644</v>
      </c>
      <c r="G1412" t="s">
        <v>76</v>
      </c>
      <c r="H1412" t="s">
        <v>38</v>
      </c>
      <c r="I1412">
        <v>178020</v>
      </c>
      <c r="J1412">
        <v>166605</v>
      </c>
      <c r="K1412">
        <v>11415</v>
      </c>
      <c r="L1412">
        <v>33400</v>
      </c>
      <c r="M1412">
        <v>33000</v>
      </c>
      <c r="N1412">
        <v>400</v>
      </c>
    </row>
    <row r="1413" spans="1:14" ht="14.4">
      <c r="A1413">
        <v>13367</v>
      </c>
      <c r="B1413">
        <v>13368</v>
      </c>
      <c r="C1413">
        <v>4086</v>
      </c>
      <c r="D1413" t="s">
        <v>390</v>
      </c>
      <c r="E1413" t="s">
        <v>594</v>
      </c>
      <c r="F1413">
        <v>8008</v>
      </c>
      <c r="G1413" t="s">
        <v>402</v>
      </c>
      <c r="H1413" t="s">
        <v>38</v>
      </c>
      <c r="I1413">
        <v>339815</v>
      </c>
      <c r="J1413">
        <v>209565</v>
      </c>
      <c r="K1413">
        <v>130250</v>
      </c>
      <c r="L1413">
        <v>218000</v>
      </c>
      <c r="M1413">
        <v>146400</v>
      </c>
      <c r="N1413">
        <v>71600</v>
      </c>
    </row>
    <row r="1414" spans="1:14" ht="14.4">
      <c r="A1414">
        <v>13367</v>
      </c>
      <c r="B1414">
        <v>13368</v>
      </c>
      <c r="C1414">
        <v>4086</v>
      </c>
      <c r="D1414" t="s">
        <v>390</v>
      </c>
      <c r="E1414" t="s">
        <v>208</v>
      </c>
      <c r="F1414">
        <v>8008</v>
      </c>
      <c r="G1414" t="s">
        <v>443</v>
      </c>
      <c r="H1414" t="s">
        <v>38</v>
      </c>
      <c r="I1414">
        <v>69632</v>
      </c>
      <c r="J1414">
        <v>46607</v>
      </c>
      <c r="K1414">
        <v>23025</v>
      </c>
      <c r="L1414">
        <v>0</v>
      </c>
      <c r="M1414">
        <v>0</v>
      </c>
      <c r="N1414">
        <v>0</v>
      </c>
    </row>
    <row r="1415" spans="1:14" ht="14.4">
      <c r="A1415">
        <v>13367</v>
      </c>
      <c r="B1415">
        <v>13368</v>
      </c>
      <c r="C1415">
        <v>4086</v>
      </c>
      <c r="D1415" t="s">
        <v>390</v>
      </c>
      <c r="E1415" t="s">
        <v>208</v>
      </c>
      <c r="F1415">
        <v>8008</v>
      </c>
      <c r="G1415" t="s">
        <v>402</v>
      </c>
      <c r="H1415" t="s">
        <v>38</v>
      </c>
      <c r="I1415">
        <v>746230</v>
      </c>
      <c r="J1415">
        <v>580980</v>
      </c>
      <c r="K1415">
        <v>165250</v>
      </c>
      <c r="L1415">
        <v>161500</v>
      </c>
      <c r="M1415">
        <v>103200</v>
      </c>
      <c r="N1415">
        <v>58300</v>
      </c>
    </row>
    <row r="1416" spans="1:14" ht="14.4">
      <c r="A1416">
        <v>13367</v>
      </c>
      <c r="B1416">
        <v>13368</v>
      </c>
      <c r="C1416">
        <v>4086</v>
      </c>
      <c r="D1416" t="s">
        <v>390</v>
      </c>
      <c r="E1416" t="s">
        <v>1554</v>
      </c>
      <c r="F1416">
        <v>8008</v>
      </c>
      <c r="G1416" t="s">
        <v>402</v>
      </c>
      <c r="H1416" t="s">
        <v>38</v>
      </c>
      <c r="I1416">
        <v>41088</v>
      </c>
      <c r="J1416">
        <v>35588</v>
      </c>
      <c r="K1416">
        <v>5500</v>
      </c>
      <c r="L1416">
        <v>0</v>
      </c>
      <c r="M1416">
        <v>0</v>
      </c>
      <c r="N1416">
        <v>0</v>
      </c>
    </row>
    <row r="1417" spans="1:14" ht="14.4">
      <c r="A1417">
        <v>13367</v>
      </c>
      <c r="B1417">
        <v>13368</v>
      </c>
      <c r="C1417">
        <v>4086</v>
      </c>
      <c r="D1417" t="s">
        <v>390</v>
      </c>
      <c r="E1417" t="s">
        <v>595</v>
      </c>
      <c r="F1417">
        <v>8008</v>
      </c>
      <c r="G1417" t="s">
        <v>402</v>
      </c>
      <c r="H1417" t="s">
        <v>38</v>
      </c>
      <c r="I1417">
        <v>13805930</v>
      </c>
      <c r="J1417">
        <v>9841792</v>
      </c>
      <c r="K1417">
        <v>3964138</v>
      </c>
      <c r="L1417">
        <v>6105800</v>
      </c>
      <c r="M1417">
        <v>4262600</v>
      </c>
      <c r="N1417">
        <v>1843200</v>
      </c>
    </row>
    <row r="1418" spans="1:14" ht="14.4">
      <c r="A1418">
        <v>13367</v>
      </c>
      <c r="B1418">
        <v>13368</v>
      </c>
      <c r="C1418">
        <v>4086</v>
      </c>
      <c r="D1418" t="s">
        <v>390</v>
      </c>
      <c r="E1418" t="s">
        <v>595</v>
      </c>
      <c r="F1418">
        <v>8008</v>
      </c>
      <c r="G1418" t="s">
        <v>413</v>
      </c>
      <c r="H1418" t="s">
        <v>38</v>
      </c>
      <c r="I1418">
        <v>98591</v>
      </c>
      <c r="J1418">
        <v>78221</v>
      </c>
      <c r="K1418">
        <v>20370</v>
      </c>
      <c r="L1418">
        <v>85100</v>
      </c>
      <c r="M1418">
        <v>67300</v>
      </c>
      <c r="N1418">
        <v>17800</v>
      </c>
    </row>
    <row r="1419" spans="1:14" ht="14.4">
      <c r="A1419">
        <v>13367</v>
      </c>
      <c r="B1419">
        <v>13368</v>
      </c>
      <c r="C1419">
        <v>4086</v>
      </c>
      <c r="D1419" t="s">
        <v>390</v>
      </c>
      <c r="E1419" t="s">
        <v>1555</v>
      </c>
      <c r="F1419">
        <v>8008</v>
      </c>
      <c r="G1419" t="s">
        <v>402</v>
      </c>
      <c r="H1419" t="s">
        <v>38</v>
      </c>
      <c r="I1419">
        <v>146490</v>
      </c>
      <c r="J1419">
        <v>130790</v>
      </c>
      <c r="K1419">
        <v>15700</v>
      </c>
      <c r="L1419">
        <v>0</v>
      </c>
      <c r="M1419">
        <v>0</v>
      </c>
      <c r="N1419">
        <v>0</v>
      </c>
    </row>
    <row r="1420" spans="1:14" ht="14.4">
      <c r="A1420">
        <v>13367</v>
      </c>
      <c r="B1420">
        <v>13368</v>
      </c>
      <c r="C1420">
        <v>4086</v>
      </c>
      <c r="D1420" t="s">
        <v>390</v>
      </c>
      <c r="E1420" t="s">
        <v>597</v>
      </c>
      <c r="F1420">
        <v>8008</v>
      </c>
      <c r="G1420" t="s">
        <v>402</v>
      </c>
      <c r="H1420" t="s">
        <v>38</v>
      </c>
      <c r="I1420">
        <v>1423945</v>
      </c>
      <c r="J1420">
        <v>1044098</v>
      </c>
      <c r="K1420">
        <v>379847</v>
      </c>
      <c r="L1420">
        <v>805900</v>
      </c>
      <c r="M1420">
        <v>571100</v>
      </c>
      <c r="N1420">
        <v>234800</v>
      </c>
    </row>
    <row r="1421" spans="1:14" ht="14.4">
      <c r="A1421">
        <v>13367</v>
      </c>
      <c r="B1421">
        <v>13368</v>
      </c>
      <c r="C1421">
        <v>4086</v>
      </c>
      <c r="D1421" t="s">
        <v>390</v>
      </c>
      <c r="E1421" t="s">
        <v>597</v>
      </c>
      <c r="F1421">
        <v>8808</v>
      </c>
      <c r="G1421" t="s">
        <v>402</v>
      </c>
      <c r="H1421" t="s">
        <v>38</v>
      </c>
      <c r="I1421">
        <v>26343</v>
      </c>
      <c r="J1421">
        <v>20543</v>
      </c>
      <c r="K1421">
        <v>5800</v>
      </c>
      <c r="L1421">
        <v>20300</v>
      </c>
      <c r="M1421">
        <v>14500</v>
      </c>
      <c r="N1421">
        <v>5800</v>
      </c>
    </row>
    <row r="1422" spans="1:14" ht="14.4">
      <c r="A1422">
        <v>13367</v>
      </c>
      <c r="B1422">
        <v>13368</v>
      </c>
      <c r="C1422">
        <v>4086</v>
      </c>
      <c r="D1422" t="s">
        <v>390</v>
      </c>
      <c r="E1422" t="s">
        <v>598</v>
      </c>
      <c r="F1422">
        <v>8008</v>
      </c>
      <c r="G1422" t="s">
        <v>402</v>
      </c>
      <c r="H1422" t="s">
        <v>38</v>
      </c>
      <c r="I1422">
        <v>149784</v>
      </c>
      <c r="J1422">
        <v>82039</v>
      </c>
      <c r="K1422">
        <v>67745</v>
      </c>
      <c r="L1422">
        <v>94000</v>
      </c>
      <c r="M1422">
        <v>67000</v>
      </c>
      <c r="N1422">
        <v>27000</v>
      </c>
    </row>
    <row r="1423" spans="1:14" ht="14.4">
      <c r="A1423">
        <v>13367</v>
      </c>
      <c r="B1423">
        <v>13368</v>
      </c>
      <c r="C1423">
        <v>4086</v>
      </c>
      <c r="D1423" t="s">
        <v>390</v>
      </c>
      <c r="E1423" t="s">
        <v>1556</v>
      </c>
      <c r="F1423">
        <v>8008</v>
      </c>
      <c r="G1423" t="s">
        <v>402</v>
      </c>
      <c r="H1423" t="s">
        <v>38</v>
      </c>
      <c r="I1423">
        <v>123119</v>
      </c>
      <c r="J1423">
        <v>97519</v>
      </c>
      <c r="K1423">
        <v>25600</v>
      </c>
      <c r="L1423">
        <v>0</v>
      </c>
      <c r="M1423">
        <v>0</v>
      </c>
      <c r="N1423">
        <v>0</v>
      </c>
    </row>
    <row r="1424" spans="1:14" ht="14.4">
      <c r="A1424">
        <v>13367</v>
      </c>
      <c r="B1424">
        <v>13368</v>
      </c>
      <c r="C1424">
        <v>4086</v>
      </c>
      <c r="D1424" t="s">
        <v>390</v>
      </c>
      <c r="E1424" t="s">
        <v>1557</v>
      </c>
      <c r="F1424">
        <v>8008</v>
      </c>
      <c r="G1424" t="s">
        <v>402</v>
      </c>
      <c r="H1424" t="s">
        <v>38</v>
      </c>
      <c r="I1424">
        <v>66880</v>
      </c>
      <c r="J1424">
        <v>43780</v>
      </c>
      <c r="K1424">
        <v>23100</v>
      </c>
      <c r="L1424">
        <v>0</v>
      </c>
      <c r="M1424">
        <v>0</v>
      </c>
      <c r="N1424">
        <v>0</v>
      </c>
    </row>
    <row r="1425" spans="1:14" ht="14.4">
      <c r="A1425">
        <v>13367</v>
      </c>
      <c r="B1425">
        <v>13368</v>
      </c>
      <c r="C1425">
        <v>4086</v>
      </c>
      <c r="D1425" t="s">
        <v>390</v>
      </c>
      <c r="E1425" t="s">
        <v>599</v>
      </c>
      <c r="F1425">
        <v>7739</v>
      </c>
      <c r="G1425" t="s">
        <v>392</v>
      </c>
      <c r="H1425" t="s">
        <v>38</v>
      </c>
      <c r="I1425">
        <v>13275</v>
      </c>
      <c r="J1425">
        <v>0</v>
      </c>
      <c r="K1425">
        <v>13275</v>
      </c>
      <c r="L1425">
        <v>3200</v>
      </c>
      <c r="M1425">
        <v>0</v>
      </c>
      <c r="N1425">
        <v>3200</v>
      </c>
    </row>
    <row r="1426" spans="1:14" ht="14.4">
      <c r="A1426">
        <v>13367</v>
      </c>
      <c r="B1426">
        <v>13368</v>
      </c>
      <c r="C1426">
        <v>4086</v>
      </c>
      <c r="D1426" t="s">
        <v>390</v>
      </c>
      <c r="E1426" t="s">
        <v>599</v>
      </c>
      <c r="F1426">
        <v>7740</v>
      </c>
      <c r="G1426" t="s">
        <v>392</v>
      </c>
      <c r="H1426" t="s">
        <v>38</v>
      </c>
      <c r="I1426">
        <v>20519844</v>
      </c>
      <c r="J1426">
        <v>13446980</v>
      </c>
      <c r="K1426">
        <v>7072864</v>
      </c>
      <c r="L1426">
        <v>7995300</v>
      </c>
      <c r="M1426">
        <v>4842800</v>
      </c>
      <c r="N1426">
        <v>3152500</v>
      </c>
    </row>
    <row r="1427" spans="1:14" ht="14.4">
      <c r="A1427">
        <v>13367</v>
      </c>
      <c r="B1427">
        <v>13368</v>
      </c>
      <c r="C1427">
        <v>4086</v>
      </c>
      <c r="D1427" t="s">
        <v>390</v>
      </c>
      <c r="E1427" t="s">
        <v>599</v>
      </c>
      <c r="F1427">
        <v>7740</v>
      </c>
      <c r="G1427" t="s">
        <v>402</v>
      </c>
      <c r="H1427" t="s">
        <v>38</v>
      </c>
      <c r="I1427">
        <v>64648</v>
      </c>
      <c r="J1427">
        <v>49723</v>
      </c>
      <c r="K1427">
        <v>14925</v>
      </c>
      <c r="L1427">
        <v>0</v>
      </c>
      <c r="M1427">
        <v>0</v>
      </c>
      <c r="N1427">
        <v>0</v>
      </c>
    </row>
    <row r="1428" spans="1:14" ht="14.4">
      <c r="A1428">
        <v>13367</v>
      </c>
      <c r="B1428">
        <v>13368</v>
      </c>
      <c r="C1428">
        <v>4086</v>
      </c>
      <c r="D1428" t="s">
        <v>390</v>
      </c>
      <c r="E1428" t="s">
        <v>599</v>
      </c>
      <c r="F1428">
        <v>7741</v>
      </c>
      <c r="G1428" t="s">
        <v>392</v>
      </c>
      <c r="H1428" t="s">
        <v>38</v>
      </c>
      <c r="I1428">
        <v>13750</v>
      </c>
      <c r="J1428">
        <v>0</v>
      </c>
      <c r="K1428">
        <v>13750</v>
      </c>
      <c r="L1428">
        <v>0</v>
      </c>
      <c r="M1428">
        <v>0</v>
      </c>
      <c r="N1428">
        <v>0</v>
      </c>
    </row>
    <row r="1429" spans="1:14" ht="14.4">
      <c r="A1429">
        <v>13367</v>
      </c>
      <c r="B1429">
        <v>13368</v>
      </c>
      <c r="C1429">
        <v>4086</v>
      </c>
      <c r="D1429" t="s">
        <v>390</v>
      </c>
      <c r="E1429" t="s">
        <v>599</v>
      </c>
      <c r="F1429">
        <v>7764</v>
      </c>
      <c r="G1429" t="s">
        <v>392</v>
      </c>
      <c r="H1429" t="s">
        <v>38</v>
      </c>
      <c r="I1429">
        <v>17700</v>
      </c>
      <c r="J1429">
        <v>0</v>
      </c>
      <c r="K1429">
        <v>17700</v>
      </c>
      <c r="L1429">
        <v>17700</v>
      </c>
      <c r="M1429">
        <v>0</v>
      </c>
      <c r="N1429">
        <v>17700</v>
      </c>
    </row>
    <row r="1430" spans="1:14" ht="14.4">
      <c r="A1430">
        <v>13367</v>
      </c>
      <c r="B1430">
        <v>13368</v>
      </c>
      <c r="C1430">
        <v>4086</v>
      </c>
      <c r="D1430" t="s">
        <v>390</v>
      </c>
      <c r="E1430" t="s">
        <v>1558</v>
      </c>
      <c r="F1430">
        <v>7740</v>
      </c>
      <c r="G1430" t="s">
        <v>392</v>
      </c>
      <c r="H1430" t="s">
        <v>38</v>
      </c>
      <c r="I1430">
        <v>43338</v>
      </c>
      <c r="J1430">
        <v>8088</v>
      </c>
      <c r="K1430">
        <v>35250</v>
      </c>
      <c r="L1430">
        <v>0</v>
      </c>
      <c r="M1430">
        <v>0</v>
      </c>
      <c r="N1430">
        <v>0</v>
      </c>
    </row>
    <row r="1431" spans="1:14" ht="14.4">
      <c r="A1431">
        <v>13367</v>
      </c>
      <c r="B1431">
        <v>13368</v>
      </c>
      <c r="C1431">
        <v>4086</v>
      </c>
      <c r="D1431" t="s">
        <v>390</v>
      </c>
      <c r="E1431" t="s">
        <v>1559</v>
      </c>
      <c r="F1431">
        <v>7740</v>
      </c>
      <c r="G1431" t="s">
        <v>392</v>
      </c>
      <c r="H1431" t="s">
        <v>38</v>
      </c>
      <c r="I1431">
        <v>6575</v>
      </c>
      <c r="J1431">
        <v>0</v>
      </c>
      <c r="K1431">
        <v>6575</v>
      </c>
      <c r="L1431">
        <v>0</v>
      </c>
      <c r="M1431">
        <v>0</v>
      </c>
      <c r="N1431">
        <v>0</v>
      </c>
    </row>
    <row r="1432" spans="1:14" ht="14.4">
      <c r="A1432">
        <v>13367</v>
      </c>
      <c r="B1432">
        <v>13368</v>
      </c>
      <c r="C1432">
        <v>4086</v>
      </c>
      <c r="D1432" t="s">
        <v>390</v>
      </c>
      <c r="E1432" t="s">
        <v>1560</v>
      </c>
      <c r="F1432">
        <v>7853</v>
      </c>
      <c r="G1432" t="s">
        <v>441</v>
      </c>
      <c r="H1432" t="s">
        <v>38</v>
      </c>
      <c r="I1432">
        <v>251829</v>
      </c>
      <c r="J1432">
        <v>240089</v>
      </c>
      <c r="K1432">
        <v>11740</v>
      </c>
      <c r="L1432">
        <v>196500</v>
      </c>
      <c r="M1432">
        <v>196000</v>
      </c>
      <c r="N1432">
        <v>500</v>
      </c>
    </row>
    <row r="1433" spans="1:14" ht="14.4">
      <c r="A1433">
        <v>13367</v>
      </c>
      <c r="B1433">
        <v>13368</v>
      </c>
      <c r="C1433">
        <v>4086</v>
      </c>
      <c r="D1433" t="s">
        <v>390</v>
      </c>
      <c r="E1433" t="s">
        <v>1561</v>
      </c>
      <c r="F1433">
        <v>7740</v>
      </c>
      <c r="G1433" t="s">
        <v>392</v>
      </c>
      <c r="H1433" t="s">
        <v>38</v>
      </c>
      <c r="I1433">
        <v>85722</v>
      </c>
      <c r="J1433">
        <v>27985</v>
      </c>
      <c r="K1433">
        <v>57737</v>
      </c>
      <c r="L1433">
        <v>16500</v>
      </c>
      <c r="M1433">
        <v>0</v>
      </c>
      <c r="N1433">
        <v>16500</v>
      </c>
    </row>
    <row r="1434" spans="1:14" ht="14.4">
      <c r="A1434">
        <v>13367</v>
      </c>
      <c r="B1434">
        <v>13368</v>
      </c>
      <c r="C1434">
        <v>4086</v>
      </c>
      <c r="D1434" t="s">
        <v>390</v>
      </c>
      <c r="E1434" t="s">
        <v>600</v>
      </c>
      <c r="F1434">
        <v>8402</v>
      </c>
      <c r="G1434" t="s">
        <v>394</v>
      </c>
      <c r="H1434" t="s">
        <v>38</v>
      </c>
      <c r="I1434">
        <v>98676</v>
      </c>
      <c r="J1434">
        <v>72626</v>
      </c>
      <c r="K1434">
        <v>26050</v>
      </c>
      <c r="L1434">
        <v>0</v>
      </c>
      <c r="M1434">
        <v>0</v>
      </c>
      <c r="N1434">
        <v>0</v>
      </c>
    </row>
    <row r="1435" spans="1:14" ht="14.4">
      <c r="A1435">
        <v>13367</v>
      </c>
      <c r="B1435">
        <v>13368</v>
      </c>
      <c r="C1435">
        <v>4086</v>
      </c>
      <c r="D1435" t="s">
        <v>390</v>
      </c>
      <c r="E1435" t="s">
        <v>600</v>
      </c>
      <c r="F1435">
        <v>8403</v>
      </c>
      <c r="G1435" t="s">
        <v>394</v>
      </c>
      <c r="H1435" t="s">
        <v>38</v>
      </c>
      <c r="I1435">
        <v>2725768</v>
      </c>
      <c r="J1435">
        <v>2174389</v>
      </c>
      <c r="K1435">
        <v>551379</v>
      </c>
      <c r="L1435">
        <v>1173000</v>
      </c>
      <c r="M1435">
        <v>951600</v>
      </c>
      <c r="N1435">
        <v>221400</v>
      </c>
    </row>
    <row r="1436" spans="1:14" ht="14.4">
      <c r="A1436">
        <v>13367</v>
      </c>
      <c r="B1436">
        <v>13368</v>
      </c>
      <c r="C1436">
        <v>4086</v>
      </c>
      <c r="D1436" t="s">
        <v>390</v>
      </c>
      <c r="E1436" t="s">
        <v>600</v>
      </c>
      <c r="F1436">
        <v>8403</v>
      </c>
      <c r="G1436" t="s">
        <v>76</v>
      </c>
      <c r="H1436" t="s">
        <v>38</v>
      </c>
      <c r="I1436">
        <v>9117</v>
      </c>
      <c r="J1436">
        <v>7617</v>
      </c>
      <c r="K1436">
        <v>1500</v>
      </c>
      <c r="L1436">
        <v>0</v>
      </c>
      <c r="M1436">
        <v>0</v>
      </c>
      <c r="N1436">
        <v>0</v>
      </c>
    </row>
    <row r="1437" spans="1:14" ht="14.4">
      <c r="A1437">
        <v>13367</v>
      </c>
      <c r="B1437">
        <v>13368</v>
      </c>
      <c r="C1437">
        <v>4086</v>
      </c>
      <c r="D1437" t="s">
        <v>390</v>
      </c>
      <c r="E1437" t="s">
        <v>1562</v>
      </c>
      <c r="F1437">
        <v>8008</v>
      </c>
      <c r="G1437" t="s">
        <v>402</v>
      </c>
      <c r="H1437" t="s">
        <v>38</v>
      </c>
      <c r="I1437">
        <v>275192</v>
      </c>
      <c r="J1437">
        <v>265442</v>
      </c>
      <c r="K1437">
        <v>9750</v>
      </c>
      <c r="L1437">
        <v>0</v>
      </c>
      <c r="M1437">
        <v>0</v>
      </c>
      <c r="N1437">
        <v>0</v>
      </c>
    </row>
    <row r="1438" spans="1:14" ht="14.4">
      <c r="A1438">
        <v>13367</v>
      </c>
      <c r="B1438">
        <v>13368</v>
      </c>
      <c r="C1438">
        <v>4086</v>
      </c>
      <c r="D1438" t="s">
        <v>390</v>
      </c>
      <c r="E1438" t="s">
        <v>1563</v>
      </c>
      <c r="F1438">
        <v>8087</v>
      </c>
      <c r="G1438" t="s">
        <v>402</v>
      </c>
      <c r="H1438" t="s">
        <v>38</v>
      </c>
      <c r="I1438">
        <v>68763</v>
      </c>
      <c r="J1438">
        <v>28603</v>
      </c>
      <c r="K1438">
        <v>40160</v>
      </c>
      <c r="L1438">
        <v>0</v>
      </c>
      <c r="M1438">
        <v>0</v>
      </c>
      <c r="N1438">
        <v>0</v>
      </c>
    </row>
    <row r="1439" spans="1:14" ht="14.4">
      <c r="A1439">
        <v>13367</v>
      </c>
      <c r="B1439">
        <v>13368</v>
      </c>
      <c r="C1439">
        <v>4086</v>
      </c>
      <c r="D1439" t="s">
        <v>390</v>
      </c>
      <c r="E1439" t="s">
        <v>601</v>
      </c>
      <c r="F1439">
        <v>7071</v>
      </c>
      <c r="G1439" t="s">
        <v>76</v>
      </c>
      <c r="H1439" t="s">
        <v>38</v>
      </c>
      <c r="I1439">
        <v>1852566</v>
      </c>
      <c r="J1439">
        <v>1391606</v>
      </c>
      <c r="K1439">
        <v>460960</v>
      </c>
      <c r="L1439">
        <v>716700</v>
      </c>
      <c r="M1439">
        <v>522500</v>
      </c>
      <c r="N1439">
        <v>194200</v>
      </c>
    </row>
    <row r="1440" spans="1:14" ht="14.4">
      <c r="A1440">
        <v>13367</v>
      </c>
      <c r="B1440">
        <v>13368</v>
      </c>
      <c r="C1440">
        <v>4086</v>
      </c>
      <c r="D1440" t="s">
        <v>390</v>
      </c>
      <c r="E1440" t="s">
        <v>848</v>
      </c>
      <c r="F1440">
        <v>7940</v>
      </c>
      <c r="G1440" t="s">
        <v>441</v>
      </c>
      <c r="H1440" t="s">
        <v>38</v>
      </c>
      <c r="I1440">
        <v>89704</v>
      </c>
      <c r="J1440">
        <v>89704</v>
      </c>
      <c r="K1440">
        <v>0</v>
      </c>
      <c r="L1440">
        <v>67300</v>
      </c>
      <c r="M1440">
        <v>67300</v>
      </c>
      <c r="N1440">
        <v>0</v>
      </c>
    </row>
    <row r="1441" spans="1:14" ht="14.4">
      <c r="A1441">
        <v>13367</v>
      </c>
      <c r="B1441">
        <v>13368</v>
      </c>
      <c r="C1441">
        <v>4086</v>
      </c>
      <c r="D1441" t="s">
        <v>390</v>
      </c>
      <c r="E1441" t="s">
        <v>1564</v>
      </c>
      <c r="F1441">
        <v>8049</v>
      </c>
      <c r="G1441" t="s">
        <v>465</v>
      </c>
      <c r="H1441" t="s">
        <v>38</v>
      </c>
      <c r="I1441">
        <v>26656</v>
      </c>
      <c r="J1441">
        <v>25806</v>
      </c>
      <c r="K1441">
        <v>850</v>
      </c>
      <c r="L1441">
        <v>19200</v>
      </c>
      <c r="M1441">
        <v>18400</v>
      </c>
      <c r="N1441">
        <v>800</v>
      </c>
    </row>
    <row r="1442" spans="1:14" ht="14.4">
      <c r="A1442">
        <v>13367</v>
      </c>
      <c r="B1442">
        <v>13368</v>
      </c>
      <c r="C1442">
        <v>4086</v>
      </c>
      <c r="D1442" t="s">
        <v>390</v>
      </c>
      <c r="E1442" t="s">
        <v>1565</v>
      </c>
      <c r="F1442">
        <v>8050</v>
      </c>
      <c r="G1442" t="s">
        <v>402</v>
      </c>
      <c r="H1442" t="s">
        <v>38</v>
      </c>
      <c r="I1442">
        <v>129523</v>
      </c>
      <c r="J1442">
        <v>77723</v>
      </c>
      <c r="K1442">
        <v>51800</v>
      </c>
      <c r="L1442">
        <v>99300</v>
      </c>
      <c r="M1442">
        <v>59300</v>
      </c>
      <c r="N1442">
        <v>40000</v>
      </c>
    </row>
    <row r="1443" spans="1:14" ht="14.4">
      <c r="A1443">
        <v>13367</v>
      </c>
      <c r="B1443">
        <v>13368</v>
      </c>
      <c r="C1443">
        <v>4086</v>
      </c>
      <c r="D1443" t="s">
        <v>390</v>
      </c>
      <c r="E1443" t="s">
        <v>604</v>
      </c>
      <c r="F1443">
        <v>7440</v>
      </c>
      <c r="G1443" t="s">
        <v>402</v>
      </c>
      <c r="H1443" t="s">
        <v>38</v>
      </c>
      <c r="I1443">
        <v>113263</v>
      </c>
      <c r="J1443">
        <v>107488</v>
      </c>
      <c r="K1443">
        <v>5775</v>
      </c>
      <c r="L1443">
        <v>0</v>
      </c>
      <c r="M1443">
        <v>0</v>
      </c>
      <c r="N1443">
        <v>0</v>
      </c>
    </row>
    <row r="1444" spans="1:14" ht="14.4">
      <c r="A1444">
        <v>13367</v>
      </c>
      <c r="B1444">
        <v>13368</v>
      </c>
      <c r="C1444">
        <v>4086</v>
      </c>
      <c r="D1444" t="s">
        <v>390</v>
      </c>
      <c r="E1444" t="s">
        <v>604</v>
      </c>
      <c r="F1444">
        <v>8005</v>
      </c>
      <c r="G1444" t="s">
        <v>402</v>
      </c>
      <c r="H1444" t="s">
        <v>38</v>
      </c>
      <c r="I1444">
        <v>107580</v>
      </c>
      <c r="J1444">
        <v>90335</v>
      </c>
      <c r="K1444">
        <v>17245</v>
      </c>
      <c r="L1444">
        <v>0</v>
      </c>
      <c r="M1444">
        <v>0</v>
      </c>
      <c r="N1444">
        <v>0</v>
      </c>
    </row>
    <row r="1445" spans="1:14" ht="14.4">
      <c r="A1445">
        <v>13367</v>
      </c>
      <c r="B1445">
        <v>13368</v>
      </c>
      <c r="C1445">
        <v>4086</v>
      </c>
      <c r="D1445" t="s">
        <v>390</v>
      </c>
      <c r="E1445" t="s">
        <v>604</v>
      </c>
      <c r="F1445">
        <v>8050</v>
      </c>
      <c r="G1445" t="s">
        <v>76</v>
      </c>
      <c r="H1445" t="s">
        <v>38</v>
      </c>
      <c r="I1445">
        <v>103225</v>
      </c>
      <c r="J1445">
        <v>75125</v>
      </c>
      <c r="K1445">
        <v>28100</v>
      </c>
      <c r="L1445">
        <v>0</v>
      </c>
      <c r="M1445">
        <v>0</v>
      </c>
      <c r="N1445">
        <v>0</v>
      </c>
    </row>
    <row r="1446" spans="1:14" ht="14.4">
      <c r="A1446">
        <v>13367</v>
      </c>
      <c r="B1446">
        <v>13368</v>
      </c>
      <c r="C1446">
        <v>4086</v>
      </c>
      <c r="D1446" t="s">
        <v>390</v>
      </c>
      <c r="E1446" t="s">
        <v>604</v>
      </c>
      <c r="F1446">
        <v>8050</v>
      </c>
      <c r="G1446" t="s">
        <v>443</v>
      </c>
      <c r="H1446" t="s">
        <v>38</v>
      </c>
      <c r="I1446">
        <v>73896</v>
      </c>
      <c r="J1446">
        <v>51896</v>
      </c>
      <c r="K1446">
        <v>22000</v>
      </c>
      <c r="L1446">
        <v>0</v>
      </c>
      <c r="M1446">
        <v>0</v>
      </c>
      <c r="N1446">
        <v>0</v>
      </c>
    </row>
    <row r="1447" spans="1:14" ht="14.4">
      <c r="A1447">
        <v>13367</v>
      </c>
      <c r="B1447">
        <v>13368</v>
      </c>
      <c r="C1447">
        <v>4086</v>
      </c>
      <c r="D1447" t="s">
        <v>390</v>
      </c>
      <c r="E1447" t="s">
        <v>604</v>
      </c>
      <c r="F1447">
        <v>8050</v>
      </c>
      <c r="G1447" t="s">
        <v>402</v>
      </c>
      <c r="H1447" t="s">
        <v>38</v>
      </c>
      <c r="I1447">
        <v>80119306</v>
      </c>
      <c r="J1447">
        <v>56364212</v>
      </c>
      <c r="K1447">
        <v>23755094</v>
      </c>
      <c r="L1447">
        <v>31275100</v>
      </c>
      <c r="M1447">
        <v>21424600</v>
      </c>
      <c r="N1447">
        <v>9850500</v>
      </c>
    </row>
    <row r="1448" spans="1:14" ht="14.4">
      <c r="A1448">
        <v>13367</v>
      </c>
      <c r="B1448">
        <v>13368</v>
      </c>
      <c r="C1448">
        <v>4086</v>
      </c>
      <c r="D1448" t="s">
        <v>390</v>
      </c>
      <c r="E1448" t="s">
        <v>604</v>
      </c>
      <c r="F1448">
        <v>8050</v>
      </c>
      <c r="G1448" t="s">
        <v>429</v>
      </c>
      <c r="H1448" t="s">
        <v>38</v>
      </c>
      <c r="I1448">
        <v>112157</v>
      </c>
      <c r="J1448">
        <v>85757</v>
      </c>
      <c r="K1448">
        <v>26400</v>
      </c>
      <c r="L1448">
        <v>0</v>
      </c>
      <c r="M1448">
        <v>0</v>
      </c>
      <c r="N1448">
        <v>0</v>
      </c>
    </row>
    <row r="1449" spans="1:14" ht="14.4">
      <c r="A1449">
        <v>13367</v>
      </c>
      <c r="B1449">
        <v>13368</v>
      </c>
      <c r="C1449">
        <v>4086</v>
      </c>
      <c r="D1449" t="s">
        <v>390</v>
      </c>
      <c r="E1449" t="s">
        <v>604</v>
      </c>
      <c r="F1449">
        <v>8050</v>
      </c>
      <c r="G1449" t="s">
        <v>435</v>
      </c>
      <c r="H1449" t="s">
        <v>38</v>
      </c>
      <c r="I1449">
        <v>154529</v>
      </c>
      <c r="J1449">
        <v>106729</v>
      </c>
      <c r="K1449">
        <v>47800</v>
      </c>
      <c r="L1449">
        <v>104200</v>
      </c>
      <c r="M1449">
        <v>71400</v>
      </c>
      <c r="N1449">
        <v>32800</v>
      </c>
    </row>
    <row r="1450" spans="1:14" ht="14.4">
      <c r="A1450">
        <v>13367</v>
      </c>
      <c r="B1450">
        <v>13368</v>
      </c>
      <c r="C1450">
        <v>4086</v>
      </c>
      <c r="D1450" t="s">
        <v>390</v>
      </c>
      <c r="E1450" t="s">
        <v>604</v>
      </c>
      <c r="F1450">
        <v>8080</v>
      </c>
      <c r="G1450" t="s">
        <v>402</v>
      </c>
      <c r="H1450" t="s">
        <v>38</v>
      </c>
      <c r="I1450">
        <v>140248</v>
      </c>
      <c r="J1450">
        <v>117198</v>
      </c>
      <c r="K1450">
        <v>23050</v>
      </c>
      <c r="L1450">
        <v>140300</v>
      </c>
      <c r="M1450">
        <v>117200</v>
      </c>
      <c r="N1450">
        <v>23100</v>
      </c>
    </row>
    <row r="1451" spans="1:14" ht="14.4">
      <c r="A1451">
        <v>13367</v>
      </c>
      <c r="B1451">
        <v>13368</v>
      </c>
      <c r="C1451">
        <v>4086</v>
      </c>
      <c r="D1451" t="s">
        <v>390</v>
      </c>
      <c r="E1451" t="s">
        <v>1566</v>
      </c>
      <c r="F1451">
        <v>8050</v>
      </c>
      <c r="G1451" t="s">
        <v>402</v>
      </c>
      <c r="H1451" t="s">
        <v>38</v>
      </c>
      <c r="I1451">
        <v>163411</v>
      </c>
      <c r="J1451">
        <v>101811</v>
      </c>
      <c r="K1451">
        <v>61600</v>
      </c>
      <c r="L1451">
        <v>99500</v>
      </c>
      <c r="M1451">
        <v>59500</v>
      </c>
      <c r="N1451">
        <v>40000</v>
      </c>
    </row>
    <row r="1452" spans="1:14" ht="14.4">
      <c r="A1452">
        <v>13367</v>
      </c>
      <c r="B1452">
        <v>13368</v>
      </c>
      <c r="C1452">
        <v>4086</v>
      </c>
      <c r="D1452" t="s">
        <v>390</v>
      </c>
      <c r="E1452" t="s">
        <v>1567</v>
      </c>
      <c r="F1452">
        <v>8050</v>
      </c>
      <c r="G1452" t="s">
        <v>402</v>
      </c>
      <c r="H1452" t="s">
        <v>38</v>
      </c>
      <c r="I1452">
        <v>98576</v>
      </c>
      <c r="J1452">
        <v>75751</v>
      </c>
      <c r="K1452">
        <v>22825</v>
      </c>
      <c r="L1452">
        <v>0</v>
      </c>
      <c r="M1452">
        <v>0</v>
      </c>
      <c r="N1452">
        <v>0</v>
      </c>
    </row>
    <row r="1453" spans="1:14" ht="14.4">
      <c r="A1453">
        <v>13367</v>
      </c>
      <c r="B1453">
        <v>13368</v>
      </c>
      <c r="C1453">
        <v>4086</v>
      </c>
      <c r="D1453" t="s">
        <v>390</v>
      </c>
      <c r="E1453" t="s">
        <v>1568</v>
      </c>
      <c r="F1453">
        <v>8050</v>
      </c>
      <c r="G1453" t="s">
        <v>402</v>
      </c>
      <c r="H1453" t="s">
        <v>38</v>
      </c>
      <c r="I1453">
        <v>184510</v>
      </c>
      <c r="J1453">
        <v>103110</v>
      </c>
      <c r="K1453">
        <v>81400</v>
      </c>
      <c r="L1453">
        <v>0</v>
      </c>
      <c r="M1453">
        <v>0</v>
      </c>
      <c r="N1453">
        <v>0</v>
      </c>
    </row>
    <row r="1454" spans="1:14" ht="14.4">
      <c r="A1454">
        <v>13367</v>
      </c>
      <c r="B1454">
        <v>13368</v>
      </c>
      <c r="C1454">
        <v>4086</v>
      </c>
      <c r="D1454" t="s">
        <v>390</v>
      </c>
      <c r="E1454" t="s">
        <v>605</v>
      </c>
      <c r="F1454">
        <v>7726</v>
      </c>
      <c r="G1454" t="s">
        <v>392</v>
      </c>
      <c r="H1454" t="s">
        <v>38</v>
      </c>
      <c r="I1454">
        <v>1063398</v>
      </c>
      <c r="J1454">
        <v>999747</v>
      </c>
      <c r="K1454">
        <v>63651</v>
      </c>
      <c r="L1454">
        <v>317700</v>
      </c>
      <c r="M1454">
        <v>290600</v>
      </c>
      <c r="N1454">
        <v>27100</v>
      </c>
    </row>
    <row r="1455" spans="1:14" ht="14.4">
      <c r="A1455">
        <v>13367</v>
      </c>
      <c r="B1455">
        <v>13368</v>
      </c>
      <c r="C1455">
        <v>4086</v>
      </c>
      <c r="D1455" t="s">
        <v>390</v>
      </c>
      <c r="E1455" t="s">
        <v>1569</v>
      </c>
      <c r="F1455">
        <v>8736</v>
      </c>
      <c r="G1455" t="s">
        <v>392</v>
      </c>
      <c r="H1455" t="s">
        <v>38</v>
      </c>
      <c r="I1455">
        <v>77513</v>
      </c>
      <c r="J1455">
        <v>62168</v>
      </c>
      <c r="K1455">
        <v>15345</v>
      </c>
      <c r="L1455">
        <v>0</v>
      </c>
      <c r="M1455">
        <v>0</v>
      </c>
      <c r="N1455">
        <v>0</v>
      </c>
    </row>
    <row r="1456" spans="1:14" ht="14.4">
      <c r="A1456">
        <v>13367</v>
      </c>
      <c r="B1456">
        <v>13368</v>
      </c>
      <c r="C1456">
        <v>4086</v>
      </c>
      <c r="D1456" t="s">
        <v>390</v>
      </c>
      <c r="E1456" t="s">
        <v>1570</v>
      </c>
      <c r="F1456">
        <v>8736</v>
      </c>
      <c r="G1456" t="s">
        <v>392</v>
      </c>
      <c r="H1456" t="s">
        <v>38</v>
      </c>
      <c r="I1456">
        <v>14128</v>
      </c>
      <c r="J1456">
        <v>0</v>
      </c>
      <c r="K1456">
        <v>14128</v>
      </c>
      <c r="L1456">
        <v>0</v>
      </c>
      <c r="M1456">
        <v>0</v>
      </c>
      <c r="N1456">
        <v>0</v>
      </c>
    </row>
    <row r="1457" spans="1:14" ht="14.4">
      <c r="A1457">
        <v>13367</v>
      </c>
      <c r="B1457">
        <v>13368</v>
      </c>
      <c r="C1457">
        <v>4086</v>
      </c>
      <c r="D1457" t="s">
        <v>390</v>
      </c>
      <c r="E1457" t="s">
        <v>606</v>
      </c>
      <c r="F1457">
        <v>7002</v>
      </c>
      <c r="G1457" t="s">
        <v>392</v>
      </c>
      <c r="H1457" t="s">
        <v>38</v>
      </c>
      <c r="I1457">
        <v>75729</v>
      </c>
      <c r="J1457">
        <v>56179</v>
      </c>
      <c r="K1457">
        <v>19550</v>
      </c>
      <c r="L1457">
        <v>60800</v>
      </c>
      <c r="M1457">
        <v>41200</v>
      </c>
      <c r="N1457">
        <v>19600</v>
      </c>
    </row>
    <row r="1458" spans="1:14" ht="14.4">
      <c r="A1458">
        <v>13367</v>
      </c>
      <c r="B1458">
        <v>13368</v>
      </c>
      <c r="C1458">
        <v>4086</v>
      </c>
      <c r="D1458" t="s">
        <v>390</v>
      </c>
      <c r="E1458" t="s">
        <v>606</v>
      </c>
      <c r="F1458">
        <v>7719</v>
      </c>
      <c r="G1458" t="s">
        <v>392</v>
      </c>
      <c r="H1458" t="s">
        <v>38</v>
      </c>
      <c r="I1458">
        <v>13275</v>
      </c>
      <c r="J1458">
        <v>0</v>
      </c>
      <c r="K1458">
        <v>13275</v>
      </c>
      <c r="L1458">
        <v>0</v>
      </c>
      <c r="M1458">
        <v>0</v>
      </c>
      <c r="N1458">
        <v>0</v>
      </c>
    </row>
    <row r="1459" spans="1:14" ht="14.4">
      <c r="A1459">
        <v>13367</v>
      </c>
      <c r="B1459">
        <v>13368</v>
      </c>
      <c r="C1459">
        <v>4086</v>
      </c>
      <c r="D1459" t="s">
        <v>390</v>
      </c>
      <c r="E1459" t="s">
        <v>606</v>
      </c>
      <c r="F1459">
        <v>7731</v>
      </c>
      <c r="G1459" t="s">
        <v>392</v>
      </c>
      <c r="H1459" t="s">
        <v>38</v>
      </c>
      <c r="I1459">
        <v>87705</v>
      </c>
      <c r="J1459">
        <v>60655</v>
      </c>
      <c r="K1459">
        <v>27050</v>
      </c>
      <c r="L1459">
        <v>0</v>
      </c>
      <c r="M1459">
        <v>0</v>
      </c>
      <c r="N1459">
        <v>0</v>
      </c>
    </row>
    <row r="1460" spans="1:14" ht="14.4">
      <c r="A1460">
        <v>13367</v>
      </c>
      <c r="B1460">
        <v>13368</v>
      </c>
      <c r="C1460">
        <v>4086</v>
      </c>
      <c r="D1460" t="s">
        <v>390</v>
      </c>
      <c r="E1460" t="s">
        <v>606</v>
      </c>
      <c r="F1460">
        <v>7836</v>
      </c>
      <c r="G1460" t="s">
        <v>392</v>
      </c>
      <c r="H1460" t="s">
        <v>38</v>
      </c>
      <c r="I1460">
        <v>352901</v>
      </c>
      <c r="J1460">
        <v>269211</v>
      </c>
      <c r="K1460">
        <v>83690</v>
      </c>
      <c r="L1460">
        <v>47500</v>
      </c>
      <c r="M1460">
        <v>27000</v>
      </c>
      <c r="N1460">
        <v>20500</v>
      </c>
    </row>
    <row r="1461" spans="1:14" ht="14.4">
      <c r="A1461">
        <v>13367</v>
      </c>
      <c r="B1461">
        <v>13368</v>
      </c>
      <c r="C1461">
        <v>4086</v>
      </c>
      <c r="D1461" t="s">
        <v>390</v>
      </c>
      <c r="E1461" t="s">
        <v>606</v>
      </c>
      <c r="F1461">
        <v>8736</v>
      </c>
      <c r="G1461" t="s">
        <v>392</v>
      </c>
      <c r="H1461" t="s">
        <v>38</v>
      </c>
      <c r="I1461">
        <v>35995945</v>
      </c>
      <c r="J1461">
        <v>25549746</v>
      </c>
      <c r="K1461">
        <v>10446199</v>
      </c>
      <c r="L1461">
        <v>15596700</v>
      </c>
      <c r="M1461">
        <v>10069900</v>
      </c>
      <c r="N1461">
        <v>5526800</v>
      </c>
    </row>
    <row r="1462" spans="1:14" ht="14.4">
      <c r="A1462">
        <v>13367</v>
      </c>
      <c r="B1462">
        <v>13368</v>
      </c>
      <c r="C1462">
        <v>4086</v>
      </c>
      <c r="D1462" t="s">
        <v>390</v>
      </c>
      <c r="E1462" t="s">
        <v>606</v>
      </c>
      <c r="F1462">
        <v>8737</v>
      </c>
      <c r="G1462" t="s">
        <v>392</v>
      </c>
      <c r="H1462" t="s">
        <v>38</v>
      </c>
      <c r="I1462">
        <v>73269</v>
      </c>
      <c r="J1462">
        <v>48194</v>
      </c>
      <c r="K1462">
        <v>25075</v>
      </c>
      <c r="L1462">
        <v>0</v>
      </c>
      <c r="M1462">
        <v>0</v>
      </c>
      <c r="N1462">
        <v>0</v>
      </c>
    </row>
    <row r="1463" spans="1:14" ht="14.4">
      <c r="A1463">
        <v>13367</v>
      </c>
      <c r="B1463">
        <v>13368</v>
      </c>
      <c r="C1463">
        <v>4086</v>
      </c>
      <c r="D1463" t="s">
        <v>390</v>
      </c>
      <c r="E1463" t="s">
        <v>1571</v>
      </c>
      <c r="F1463">
        <v>8759</v>
      </c>
      <c r="G1463" t="s">
        <v>402</v>
      </c>
      <c r="H1463" t="s">
        <v>38</v>
      </c>
      <c r="I1463">
        <v>222574</v>
      </c>
      <c r="J1463">
        <v>184859</v>
      </c>
      <c r="K1463">
        <v>37715</v>
      </c>
      <c r="L1463">
        <v>40600</v>
      </c>
      <c r="M1463">
        <v>37700</v>
      </c>
      <c r="N1463">
        <v>2900</v>
      </c>
    </row>
    <row r="1464" spans="1:14" ht="14.4">
      <c r="A1464">
        <v>13367</v>
      </c>
      <c r="B1464">
        <v>13368</v>
      </c>
      <c r="C1464">
        <v>4086</v>
      </c>
      <c r="D1464" t="s">
        <v>390</v>
      </c>
      <c r="E1464" t="s">
        <v>1572</v>
      </c>
      <c r="F1464">
        <v>8759</v>
      </c>
      <c r="G1464" t="s">
        <v>402</v>
      </c>
      <c r="H1464" t="s">
        <v>38</v>
      </c>
      <c r="I1464">
        <v>77036</v>
      </c>
      <c r="J1464">
        <v>75036</v>
      </c>
      <c r="K1464">
        <v>2000</v>
      </c>
      <c r="L1464">
        <v>0</v>
      </c>
      <c r="M1464">
        <v>0</v>
      </c>
      <c r="N1464">
        <v>0</v>
      </c>
    </row>
    <row r="1465" spans="1:14" ht="14.4">
      <c r="A1465">
        <v>13367</v>
      </c>
      <c r="B1465">
        <v>13368</v>
      </c>
      <c r="C1465">
        <v>4086</v>
      </c>
      <c r="D1465" t="s">
        <v>390</v>
      </c>
      <c r="E1465" t="s">
        <v>1573</v>
      </c>
      <c r="F1465">
        <v>8050</v>
      </c>
      <c r="G1465" t="s">
        <v>402</v>
      </c>
      <c r="H1465" t="s">
        <v>38</v>
      </c>
      <c r="I1465">
        <v>285445</v>
      </c>
      <c r="J1465">
        <v>191605</v>
      </c>
      <c r="K1465">
        <v>93840</v>
      </c>
      <c r="L1465">
        <v>115700</v>
      </c>
      <c r="M1465">
        <v>51500</v>
      </c>
      <c r="N1465">
        <v>64200</v>
      </c>
    </row>
    <row r="1466" spans="1:14" ht="14.4">
      <c r="A1466">
        <v>13367</v>
      </c>
      <c r="B1466">
        <v>13368</v>
      </c>
      <c r="C1466">
        <v>4086</v>
      </c>
      <c r="D1466" t="s">
        <v>390</v>
      </c>
      <c r="E1466" t="s">
        <v>1574</v>
      </c>
      <c r="F1466">
        <v>8736</v>
      </c>
      <c r="G1466" t="s">
        <v>392</v>
      </c>
      <c r="H1466" t="s">
        <v>38</v>
      </c>
      <c r="I1466">
        <v>233087</v>
      </c>
      <c r="J1466">
        <v>153657</v>
      </c>
      <c r="K1466">
        <v>79430</v>
      </c>
      <c r="L1466">
        <v>105000</v>
      </c>
      <c r="M1466">
        <v>65000</v>
      </c>
      <c r="N1466">
        <v>40000</v>
      </c>
    </row>
    <row r="1467" spans="1:14" ht="14.4">
      <c r="A1467">
        <v>13367</v>
      </c>
      <c r="B1467">
        <v>13368</v>
      </c>
      <c r="C1467">
        <v>4086</v>
      </c>
      <c r="D1467" t="s">
        <v>390</v>
      </c>
      <c r="E1467" t="s">
        <v>1575</v>
      </c>
      <c r="F1467">
        <v>8738</v>
      </c>
      <c r="G1467" t="s">
        <v>402</v>
      </c>
      <c r="H1467" t="s">
        <v>38</v>
      </c>
      <c r="I1467">
        <v>482407</v>
      </c>
      <c r="J1467">
        <v>357117</v>
      </c>
      <c r="K1467">
        <v>125290</v>
      </c>
      <c r="L1467">
        <v>0</v>
      </c>
      <c r="M1467">
        <v>0</v>
      </c>
      <c r="N1467">
        <v>0</v>
      </c>
    </row>
    <row r="1468" spans="1:14" ht="14.4">
      <c r="A1468">
        <v>13367</v>
      </c>
      <c r="B1468">
        <v>13368</v>
      </c>
      <c r="C1468">
        <v>4086</v>
      </c>
      <c r="D1468" t="s">
        <v>390</v>
      </c>
      <c r="E1468" t="s">
        <v>608</v>
      </c>
      <c r="F1468">
        <v>7738</v>
      </c>
      <c r="G1468" t="s">
        <v>402</v>
      </c>
      <c r="H1468" t="s">
        <v>38</v>
      </c>
      <c r="I1468">
        <v>247269</v>
      </c>
      <c r="J1468">
        <v>192569</v>
      </c>
      <c r="K1468">
        <v>54700</v>
      </c>
      <c r="L1468">
        <v>215300</v>
      </c>
      <c r="M1468">
        <v>175300</v>
      </c>
      <c r="N1468">
        <v>40000</v>
      </c>
    </row>
    <row r="1469" spans="1:14" ht="14.4">
      <c r="A1469">
        <v>13367</v>
      </c>
      <c r="B1469">
        <v>13368</v>
      </c>
      <c r="C1469">
        <v>4086</v>
      </c>
      <c r="D1469" t="s">
        <v>390</v>
      </c>
      <c r="E1469" t="s">
        <v>608</v>
      </c>
      <c r="F1469">
        <v>8378</v>
      </c>
      <c r="G1469" t="s">
        <v>402</v>
      </c>
      <c r="H1469" t="s">
        <v>38</v>
      </c>
      <c r="I1469">
        <v>153062</v>
      </c>
      <c r="J1469">
        <v>105162</v>
      </c>
      <c r="K1469">
        <v>47900</v>
      </c>
      <c r="L1469">
        <v>0</v>
      </c>
      <c r="M1469">
        <v>0</v>
      </c>
      <c r="N1469">
        <v>0</v>
      </c>
    </row>
    <row r="1470" spans="1:14" ht="14.4">
      <c r="A1470">
        <v>13367</v>
      </c>
      <c r="B1470">
        <v>13368</v>
      </c>
      <c r="C1470">
        <v>4086</v>
      </c>
      <c r="D1470" t="s">
        <v>390</v>
      </c>
      <c r="E1470" t="s">
        <v>608</v>
      </c>
      <c r="F1470">
        <v>8738</v>
      </c>
      <c r="G1470" t="s">
        <v>402</v>
      </c>
      <c r="H1470" t="s">
        <v>38</v>
      </c>
      <c r="I1470">
        <v>57453810</v>
      </c>
      <c r="J1470">
        <v>46857215</v>
      </c>
      <c r="K1470">
        <v>10596595</v>
      </c>
      <c r="L1470">
        <v>16273600</v>
      </c>
      <c r="M1470">
        <v>12965800</v>
      </c>
      <c r="N1470">
        <v>3307800</v>
      </c>
    </row>
    <row r="1471" spans="1:14" ht="14.4">
      <c r="A1471">
        <v>13367</v>
      </c>
      <c r="B1471">
        <v>13368</v>
      </c>
      <c r="C1471">
        <v>4086</v>
      </c>
      <c r="D1471" t="s">
        <v>390</v>
      </c>
      <c r="E1471" t="s">
        <v>608</v>
      </c>
      <c r="F1471">
        <v>8738</v>
      </c>
      <c r="G1471" t="s">
        <v>691</v>
      </c>
      <c r="H1471" t="s">
        <v>38</v>
      </c>
      <c r="I1471">
        <v>115185</v>
      </c>
      <c r="J1471">
        <v>84785</v>
      </c>
      <c r="K1471">
        <v>30400</v>
      </c>
      <c r="L1471">
        <v>54800</v>
      </c>
      <c r="M1471">
        <v>30600</v>
      </c>
      <c r="N1471">
        <v>24200</v>
      </c>
    </row>
    <row r="1472" spans="1:14" ht="14.4">
      <c r="A1472">
        <v>13367</v>
      </c>
      <c r="B1472">
        <v>13368</v>
      </c>
      <c r="C1472">
        <v>4086</v>
      </c>
      <c r="D1472" t="s">
        <v>390</v>
      </c>
      <c r="E1472" t="s">
        <v>608</v>
      </c>
      <c r="F1472">
        <v>8739</v>
      </c>
      <c r="G1472" t="s">
        <v>402</v>
      </c>
      <c r="H1472" t="s">
        <v>38</v>
      </c>
      <c r="I1472">
        <v>103692</v>
      </c>
      <c r="J1472">
        <v>85017</v>
      </c>
      <c r="K1472">
        <v>18675</v>
      </c>
      <c r="L1472">
        <v>72800</v>
      </c>
      <c r="M1472">
        <v>56600</v>
      </c>
      <c r="N1472">
        <v>16200</v>
      </c>
    </row>
    <row r="1473" spans="1:14" ht="14.4">
      <c r="A1473">
        <v>13367</v>
      </c>
      <c r="B1473">
        <v>13368</v>
      </c>
      <c r="C1473">
        <v>4086</v>
      </c>
      <c r="D1473" t="s">
        <v>390</v>
      </c>
      <c r="E1473" t="s">
        <v>1576</v>
      </c>
      <c r="F1473">
        <v>8738</v>
      </c>
      <c r="G1473" t="s">
        <v>402</v>
      </c>
      <c r="H1473" t="s">
        <v>38</v>
      </c>
      <c r="I1473">
        <v>304589</v>
      </c>
      <c r="J1473">
        <v>243829</v>
      </c>
      <c r="K1473">
        <v>60760</v>
      </c>
      <c r="L1473">
        <v>205200</v>
      </c>
      <c r="M1473">
        <v>162200</v>
      </c>
      <c r="N1473">
        <v>43000</v>
      </c>
    </row>
    <row r="1474" spans="1:14" ht="14.4">
      <c r="A1474">
        <v>13367</v>
      </c>
      <c r="B1474">
        <v>13368</v>
      </c>
      <c r="C1474">
        <v>4086</v>
      </c>
      <c r="D1474" t="s">
        <v>390</v>
      </c>
      <c r="E1474" t="s">
        <v>1577</v>
      </c>
      <c r="F1474">
        <v>8738</v>
      </c>
      <c r="G1474" t="s">
        <v>402</v>
      </c>
      <c r="H1474" t="s">
        <v>38</v>
      </c>
      <c r="I1474">
        <v>265785</v>
      </c>
      <c r="J1474">
        <v>170835</v>
      </c>
      <c r="K1474">
        <v>94950</v>
      </c>
      <c r="L1474">
        <v>0</v>
      </c>
      <c r="M1474">
        <v>0</v>
      </c>
      <c r="N1474">
        <v>0</v>
      </c>
    </row>
    <row r="1475" spans="1:14" ht="14.4">
      <c r="A1475">
        <v>13367</v>
      </c>
      <c r="B1475">
        <v>13368</v>
      </c>
      <c r="C1475">
        <v>4086</v>
      </c>
      <c r="D1475" t="s">
        <v>390</v>
      </c>
      <c r="E1475" t="s">
        <v>963</v>
      </c>
      <c r="F1475">
        <v>8835</v>
      </c>
      <c r="G1475" t="s">
        <v>413</v>
      </c>
      <c r="H1475" t="s">
        <v>38</v>
      </c>
      <c r="I1475">
        <v>49835</v>
      </c>
      <c r="J1475">
        <v>49585</v>
      </c>
      <c r="K1475">
        <v>250</v>
      </c>
      <c r="L1475">
        <v>0</v>
      </c>
      <c r="M1475">
        <v>0</v>
      </c>
      <c r="N1475">
        <v>0</v>
      </c>
    </row>
    <row r="1476" spans="1:14" ht="14.4">
      <c r="A1476">
        <v>13367</v>
      </c>
      <c r="B1476">
        <v>13368</v>
      </c>
      <c r="C1476">
        <v>4086</v>
      </c>
      <c r="D1476" t="s">
        <v>390</v>
      </c>
      <c r="E1476" t="s">
        <v>610</v>
      </c>
      <c r="F1476">
        <v>7040</v>
      </c>
      <c r="G1476" t="s">
        <v>428</v>
      </c>
      <c r="H1476" t="s">
        <v>38</v>
      </c>
      <c r="I1476">
        <v>592523</v>
      </c>
      <c r="J1476">
        <v>563498</v>
      </c>
      <c r="K1476">
        <v>29025</v>
      </c>
      <c r="L1476">
        <v>192200</v>
      </c>
      <c r="M1476">
        <v>177000</v>
      </c>
      <c r="N1476">
        <v>15200</v>
      </c>
    </row>
    <row r="1477" spans="1:14" ht="14.4">
      <c r="A1477">
        <v>13367</v>
      </c>
      <c r="B1477">
        <v>13368</v>
      </c>
      <c r="C1477">
        <v>4086</v>
      </c>
      <c r="D1477" t="s">
        <v>390</v>
      </c>
      <c r="E1477" t="s">
        <v>1578</v>
      </c>
      <c r="F1477">
        <v>8402</v>
      </c>
      <c r="G1477" t="s">
        <v>394</v>
      </c>
      <c r="H1477" t="s">
        <v>38</v>
      </c>
      <c r="I1477">
        <v>67713</v>
      </c>
      <c r="J1477">
        <v>52238</v>
      </c>
      <c r="K1477">
        <v>15475</v>
      </c>
      <c r="L1477">
        <v>0</v>
      </c>
      <c r="M1477">
        <v>0</v>
      </c>
      <c r="N1477">
        <v>0</v>
      </c>
    </row>
    <row r="1478" spans="1:14" ht="14.4">
      <c r="A1478">
        <v>13367</v>
      </c>
      <c r="B1478">
        <v>13368</v>
      </c>
      <c r="C1478">
        <v>4086</v>
      </c>
      <c r="D1478" t="s">
        <v>390</v>
      </c>
      <c r="E1478" t="s">
        <v>611</v>
      </c>
      <c r="F1478">
        <v>8003</v>
      </c>
      <c r="G1478" t="s">
        <v>394</v>
      </c>
      <c r="H1478" t="s">
        <v>38</v>
      </c>
      <c r="I1478">
        <v>65072</v>
      </c>
      <c r="J1478">
        <v>44446</v>
      </c>
      <c r="K1478">
        <v>20626</v>
      </c>
      <c r="L1478">
        <v>0</v>
      </c>
      <c r="M1478">
        <v>0</v>
      </c>
      <c r="N1478">
        <v>0</v>
      </c>
    </row>
    <row r="1479" spans="1:14" ht="14.4">
      <c r="A1479">
        <v>13367</v>
      </c>
      <c r="B1479">
        <v>13368</v>
      </c>
      <c r="C1479">
        <v>4086</v>
      </c>
      <c r="D1479" t="s">
        <v>390</v>
      </c>
      <c r="E1479" t="s">
        <v>611</v>
      </c>
      <c r="F1479">
        <v>8203</v>
      </c>
      <c r="G1479" t="s">
        <v>394</v>
      </c>
      <c r="H1479" t="s">
        <v>38</v>
      </c>
      <c r="I1479">
        <v>34900</v>
      </c>
      <c r="J1479">
        <v>0</v>
      </c>
      <c r="K1479">
        <v>34900</v>
      </c>
      <c r="L1479">
        <v>14000</v>
      </c>
      <c r="M1479">
        <v>0</v>
      </c>
      <c r="N1479">
        <v>14000</v>
      </c>
    </row>
    <row r="1480" spans="1:14" ht="14.4">
      <c r="A1480">
        <v>13367</v>
      </c>
      <c r="B1480">
        <v>13368</v>
      </c>
      <c r="C1480">
        <v>4086</v>
      </c>
      <c r="D1480" t="s">
        <v>390</v>
      </c>
      <c r="E1480" t="s">
        <v>611</v>
      </c>
      <c r="F1480">
        <v>8402</v>
      </c>
      <c r="G1480" t="s">
        <v>394</v>
      </c>
      <c r="H1480" t="s">
        <v>38</v>
      </c>
      <c r="I1480">
        <v>4919690</v>
      </c>
      <c r="J1480">
        <v>3532010</v>
      </c>
      <c r="K1480">
        <v>1387680</v>
      </c>
      <c r="L1480">
        <v>1901700</v>
      </c>
      <c r="M1480">
        <v>1266400</v>
      </c>
      <c r="N1480">
        <v>635300</v>
      </c>
    </row>
    <row r="1481" spans="1:14" ht="14.4">
      <c r="A1481">
        <v>13367</v>
      </c>
      <c r="B1481">
        <v>13368</v>
      </c>
      <c r="C1481">
        <v>4086</v>
      </c>
      <c r="D1481" t="s">
        <v>390</v>
      </c>
      <c r="E1481" t="s">
        <v>612</v>
      </c>
      <c r="F1481">
        <v>8402</v>
      </c>
      <c r="G1481" t="s">
        <v>394</v>
      </c>
      <c r="H1481" t="s">
        <v>38</v>
      </c>
      <c r="I1481">
        <v>6156981</v>
      </c>
      <c r="J1481">
        <v>4533371</v>
      </c>
      <c r="K1481">
        <v>1623610</v>
      </c>
      <c r="L1481">
        <v>2867400</v>
      </c>
      <c r="M1481">
        <v>2080500</v>
      </c>
      <c r="N1481">
        <v>786900</v>
      </c>
    </row>
    <row r="1482" spans="1:14" ht="14.4">
      <c r="A1482">
        <v>13367</v>
      </c>
      <c r="B1482">
        <v>13368</v>
      </c>
      <c r="C1482">
        <v>4086</v>
      </c>
      <c r="D1482" t="s">
        <v>390</v>
      </c>
      <c r="E1482" t="s">
        <v>1579</v>
      </c>
      <c r="F1482">
        <v>7726</v>
      </c>
      <c r="G1482" t="s">
        <v>392</v>
      </c>
      <c r="H1482" t="s">
        <v>38</v>
      </c>
      <c r="I1482">
        <v>19686</v>
      </c>
      <c r="J1482">
        <v>13086</v>
      </c>
      <c r="K1482">
        <v>6600</v>
      </c>
      <c r="L1482">
        <v>0</v>
      </c>
      <c r="M1482">
        <v>0</v>
      </c>
      <c r="N1482">
        <v>0</v>
      </c>
    </row>
    <row r="1483" spans="1:14" ht="14.4">
      <c r="A1483">
        <v>13367</v>
      </c>
      <c r="B1483">
        <v>13368</v>
      </c>
      <c r="C1483">
        <v>4086</v>
      </c>
      <c r="D1483" t="s">
        <v>390</v>
      </c>
      <c r="E1483" t="s">
        <v>1579</v>
      </c>
      <c r="F1483">
        <v>7746</v>
      </c>
      <c r="G1483" t="s">
        <v>392</v>
      </c>
      <c r="H1483" t="s">
        <v>38</v>
      </c>
      <c r="I1483">
        <v>394987</v>
      </c>
      <c r="J1483">
        <v>344487</v>
      </c>
      <c r="K1483">
        <v>50500</v>
      </c>
      <c r="L1483">
        <v>221400</v>
      </c>
      <c r="M1483">
        <v>179200</v>
      </c>
      <c r="N1483">
        <v>42200</v>
      </c>
    </row>
    <row r="1484" spans="1:14" ht="14.4">
      <c r="A1484">
        <v>13367</v>
      </c>
      <c r="B1484">
        <v>13368</v>
      </c>
      <c r="C1484">
        <v>4086</v>
      </c>
      <c r="D1484" t="s">
        <v>390</v>
      </c>
      <c r="E1484" t="s">
        <v>1580</v>
      </c>
      <c r="F1484">
        <v>8330</v>
      </c>
      <c r="G1484" t="s">
        <v>394</v>
      </c>
      <c r="H1484" t="s">
        <v>38</v>
      </c>
      <c r="I1484">
        <v>6350</v>
      </c>
      <c r="J1484">
        <v>0</v>
      </c>
      <c r="K1484">
        <v>6350</v>
      </c>
      <c r="L1484">
        <v>0</v>
      </c>
      <c r="M1484">
        <v>0</v>
      </c>
      <c r="N1484">
        <v>0</v>
      </c>
    </row>
    <row r="1485" spans="1:14" ht="14.4">
      <c r="A1485">
        <v>13367</v>
      </c>
      <c r="B1485">
        <v>13368</v>
      </c>
      <c r="C1485">
        <v>4086</v>
      </c>
      <c r="D1485" t="s">
        <v>390</v>
      </c>
      <c r="E1485" t="s">
        <v>615</v>
      </c>
      <c r="F1485">
        <v>7747</v>
      </c>
      <c r="G1485" t="s">
        <v>406</v>
      </c>
      <c r="H1485" t="s">
        <v>38</v>
      </c>
      <c r="I1485">
        <v>1572</v>
      </c>
      <c r="J1485">
        <v>732</v>
      </c>
      <c r="K1485">
        <v>840</v>
      </c>
      <c r="L1485">
        <v>0</v>
      </c>
      <c r="M1485">
        <v>0</v>
      </c>
      <c r="N1485">
        <v>0</v>
      </c>
    </row>
    <row r="1486" spans="1:14" ht="14.4">
      <c r="A1486">
        <v>13367</v>
      </c>
      <c r="B1486">
        <v>13368</v>
      </c>
      <c r="C1486">
        <v>4086</v>
      </c>
      <c r="D1486" t="s">
        <v>390</v>
      </c>
      <c r="E1486" t="s">
        <v>615</v>
      </c>
      <c r="F1486">
        <v>7747</v>
      </c>
      <c r="G1486" t="s">
        <v>392</v>
      </c>
      <c r="H1486" t="s">
        <v>38</v>
      </c>
      <c r="I1486">
        <v>208844</v>
      </c>
      <c r="J1486">
        <v>176308</v>
      </c>
      <c r="K1486">
        <v>32536</v>
      </c>
      <c r="L1486">
        <v>123100</v>
      </c>
      <c r="M1486">
        <v>114200</v>
      </c>
      <c r="N1486">
        <v>8900</v>
      </c>
    </row>
    <row r="1487" spans="1:14" ht="14.4">
      <c r="A1487">
        <v>13367</v>
      </c>
      <c r="B1487">
        <v>13368</v>
      </c>
      <c r="C1487">
        <v>4086</v>
      </c>
      <c r="D1487" t="s">
        <v>390</v>
      </c>
      <c r="E1487" t="s">
        <v>1581</v>
      </c>
      <c r="F1487">
        <v>8348</v>
      </c>
      <c r="G1487" t="s">
        <v>452</v>
      </c>
      <c r="H1487" t="s">
        <v>38</v>
      </c>
      <c r="I1487">
        <v>94568</v>
      </c>
      <c r="J1487">
        <v>91868</v>
      </c>
      <c r="K1487">
        <v>2700</v>
      </c>
      <c r="L1487">
        <v>94600</v>
      </c>
      <c r="M1487">
        <v>91900</v>
      </c>
      <c r="N1487">
        <v>2700</v>
      </c>
    </row>
    <row r="1488" spans="1:14" ht="14.4">
      <c r="A1488">
        <v>13367</v>
      </c>
      <c r="B1488">
        <v>13368</v>
      </c>
      <c r="C1488">
        <v>4086</v>
      </c>
      <c r="D1488" t="s">
        <v>390</v>
      </c>
      <c r="E1488" t="s">
        <v>616</v>
      </c>
      <c r="F1488">
        <v>8330</v>
      </c>
      <c r="G1488" t="s">
        <v>394</v>
      </c>
      <c r="H1488" t="s">
        <v>38</v>
      </c>
      <c r="I1488">
        <v>2256793</v>
      </c>
      <c r="J1488">
        <v>1829265</v>
      </c>
      <c r="K1488">
        <v>427528</v>
      </c>
      <c r="L1488">
        <v>962100</v>
      </c>
      <c r="M1488">
        <v>810746.20</v>
      </c>
      <c r="N1488">
        <v>151353.79999999999</v>
      </c>
    </row>
    <row r="1489" spans="1:14" ht="14.4">
      <c r="A1489">
        <v>13367</v>
      </c>
      <c r="B1489">
        <v>13368</v>
      </c>
      <c r="C1489">
        <v>4086</v>
      </c>
      <c r="D1489" t="s">
        <v>390</v>
      </c>
      <c r="E1489" t="s">
        <v>617</v>
      </c>
      <c r="F1489">
        <v>7607</v>
      </c>
      <c r="G1489" t="s">
        <v>76</v>
      </c>
      <c r="H1489" t="s">
        <v>38</v>
      </c>
      <c r="I1489">
        <v>18040</v>
      </c>
      <c r="J1489">
        <v>0</v>
      </c>
      <c r="K1489">
        <v>18040</v>
      </c>
      <c r="L1489">
        <v>0</v>
      </c>
      <c r="M1489">
        <v>0</v>
      </c>
      <c r="N1489">
        <v>0</v>
      </c>
    </row>
    <row r="1490" spans="1:14" ht="14.4">
      <c r="A1490">
        <v>13367</v>
      </c>
      <c r="B1490">
        <v>13368</v>
      </c>
      <c r="C1490">
        <v>4086</v>
      </c>
      <c r="D1490" t="s">
        <v>390</v>
      </c>
      <c r="E1490" t="s">
        <v>222</v>
      </c>
      <c r="F1490">
        <v>8055</v>
      </c>
      <c r="G1490" t="s">
        <v>443</v>
      </c>
      <c r="H1490" t="s">
        <v>38</v>
      </c>
      <c r="I1490">
        <v>4266</v>
      </c>
      <c r="J1490">
        <v>4266</v>
      </c>
      <c r="K1490">
        <v>0</v>
      </c>
      <c r="L1490">
        <v>0</v>
      </c>
      <c r="M1490">
        <v>0</v>
      </c>
      <c r="N1490">
        <v>0</v>
      </c>
    </row>
    <row r="1491" spans="1:14" ht="14.4">
      <c r="A1491">
        <v>13367</v>
      </c>
      <c r="B1491">
        <v>13368</v>
      </c>
      <c r="C1491">
        <v>4086</v>
      </c>
      <c r="D1491" t="s">
        <v>390</v>
      </c>
      <c r="E1491" t="s">
        <v>222</v>
      </c>
      <c r="F1491">
        <v>8055</v>
      </c>
      <c r="G1491" t="s">
        <v>402</v>
      </c>
      <c r="H1491" t="s">
        <v>38</v>
      </c>
      <c r="I1491">
        <v>173115</v>
      </c>
      <c r="J1491">
        <v>162995</v>
      </c>
      <c r="K1491">
        <v>10120</v>
      </c>
      <c r="L1491">
        <v>0</v>
      </c>
      <c r="M1491">
        <v>0</v>
      </c>
      <c r="N1491">
        <v>0</v>
      </c>
    </row>
    <row r="1492" spans="1:14" ht="14.4">
      <c r="A1492">
        <v>13367</v>
      </c>
      <c r="B1492">
        <v>13368</v>
      </c>
      <c r="C1492">
        <v>4086</v>
      </c>
      <c r="D1492" t="s">
        <v>390</v>
      </c>
      <c r="E1492" t="s">
        <v>619</v>
      </c>
      <c r="F1492">
        <v>7945</v>
      </c>
      <c r="G1492" t="s">
        <v>441</v>
      </c>
      <c r="H1492" t="s">
        <v>38</v>
      </c>
      <c r="I1492">
        <v>91101</v>
      </c>
      <c r="J1492">
        <v>90851</v>
      </c>
      <c r="K1492">
        <v>250</v>
      </c>
      <c r="L1492">
        <v>26800</v>
      </c>
      <c r="M1492">
        <v>26800</v>
      </c>
      <c r="N1492">
        <v>0</v>
      </c>
    </row>
    <row r="1493" spans="1:14" ht="14.4">
      <c r="A1493">
        <v>13367</v>
      </c>
      <c r="B1493">
        <v>13368</v>
      </c>
      <c r="C1493">
        <v>4086</v>
      </c>
      <c r="D1493" t="s">
        <v>390</v>
      </c>
      <c r="E1493" t="s">
        <v>1582</v>
      </c>
      <c r="F1493">
        <v>7945</v>
      </c>
      <c r="G1493" t="s">
        <v>441</v>
      </c>
      <c r="H1493" t="s">
        <v>38</v>
      </c>
      <c r="I1493">
        <v>153662</v>
      </c>
      <c r="J1493">
        <v>130962</v>
      </c>
      <c r="K1493">
        <v>22700</v>
      </c>
      <c r="L1493">
        <v>0</v>
      </c>
      <c r="M1493">
        <v>0</v>
      </c>
      <c r="N1493">
        <v>0</v>
      </c>
    </row>
    <row r="1494" spans="1:14" ht="14.4">
      <c r="A1494">
        <v>13367</v>
      </c>
      <c r="B1494">
        <v>13368</v>
      </c>
      <c r="C1494">
        <v>4086</v>
      </c>
      <c r="D1494" t="s">
        <v>390</v>
      </c>
      <c r="E1494" t="s">
        <v>620</v>
      </c>
      <c r="F1494">
        <v>8840</v>
      </c>
      <c r="G1494" t="s">
        <v>406</v>
      </c>
      <c r="H1494" t="s">
        <v>38</v>
      </c>
      <c r="I1494">
        <v>171220</v>
      </c>
      <c r="J1494">
        <v>165333</v>
      </c>
      <c r="K1494">
        <v>5887</v>
      </c>
      <c r="L1494">
        <v>72600</v>
      </c>
      <c r="M1494">
        <v>72600</v>
      </c>
      <c r="N1494">
        <v>0</v>
      </c>
    </row>
    <row r="1495" spans="1:14" ht="14.4">
      <c r="A1495">
        <v>13367</v>
      </c>
      <c r="B1495">
        <v>13368</v>
      </c>
      <c r="C1495">
        <v>4086</v>
      </c>
      <c r="D1495" t="s">
        <v>390</v>
      </c>
      <c r="E1495" t="s">
        <v>406</v>
      </c>
      <c r="F1495">
        <v>8846</v>
      </c>
      <c r="G1495" t="s">
        <v>406</v>
      </c>
      <c r="H1495" t="s">
        <v>38</v>
      </c>
      <c r="I1495">
        <v>596636</v>
      </c>
      <c r="J1495">
        <v>518436</v>
      </c>
      <c r="K1495">
        <v>78200</v>
      </c>
      <c r="L1495">
        <v>155000</v>
      </c>
      <c r="M1495">
        <v>146000</v>
      </c>
      <c r="N1495">
        <v>9000</v>
      </c>
    </row>
    <row r="1496" spans="1:14" ht="14.4">
      <c r="A1496">
        <v>13367</v>
      </c>
      <c r="B1496">
        <v>13368</v>
      </c>
      <c r="C1496">
        <v>4086</v>
      </c>
      <c r="D1496" t="s">
        <v>390</v>
      </c>
      <c r="E1496" t="s">
        <v>226</v>
      </c>
      <c r="F1496">
        <v>7701</v>
      </c>
      <c r="G1496" t="s">
        <v>392</v>
      </c>
      <c r="H1496" t="s">
        <v>38</v>
      </c>
      <c r="I1496">
        <v>85627</v>
      </c>
      <c r="J1496">
        <v>57127</v>
      </c>
      <c r="K1496">
        <v>28500</v>
      </c>
      <c r="L1496">
        <v>0</v>
      </c>
      <c r="M1496">
        <v>0</v>
      </c>
      <c r="N1496">
        <v>0</v>
      </c>
    </row>
    <row r="1497" spans="1:14" ht="14.4">
      <c r="A1497">
        <v>13367</v>
      </c>
      <c r="B1497">
        <v>13368</v>
      </c>
      <c r="C1497">
        <v>4086</v>
      </c>
      <c r="D1497" t="s">
        <v>390</v>
      </c>
      <c r="E1497" t="s">
        <v>226</v>
      </c>
      <c r="F1497">
        <v>7748</v>
      </c>
      <c r="G1497" t="s">
        <v>392</v>
      </c>
      <c r="H1497" t="s">
        <v>38</v>
      </c>
      <c r="I1497">
        <v>350107</v>
      </c>
      <c r="J1497">
        <v>315270</v>
      </c>
      <c r="K1497">
        <v>34837</v>
      </c>
      <c r="L1497">
        <v>151400</v>
      </c>
      <c r="M1497">
        <v>125500</v>
      </c>
      <c r="N1497">
        <v>25900</v>
      </c>
    </row>
    <row r="1498" spans="1:14" ht="14.4">
      <c r="A1498">
        <v>13367</v>
      </c>
      <c r="B1498">
        <v>13368</v>
      </c>
      <c r="C1498">
        <v>4086</v>
      </c>
      <c r="D1498" t="s">
        <v>390</v>
      </c>
      <c r="E1498" t="s">
        <v>226</v>
      </c>
      <c r="F1498">
        <v>7758</v>
      </c>
      <c r="G1498" t="s">
        <v>392</v>
      </c>
      <c r="H1498" t="s">
        <v>38</v>
      </c>
      <c r="I1498">
        <v>211552</v>
      </c>
      <c r="J1498">
        <v>169617</v>
      </c>
      <c r="K1498">
        <v>41935</v>
      </c>
      <c r="L1498">
        <v>114000</v>
      </c>
      <c r="M1498">
        <v>75200</v>
      </c>
      <c r="N1498">
        <v>38800</v>
      </c>
    </row>
    <row r="1499" spans="1:14" ht="14.4">
      <c r="A1499">
        <v>13367</v>
      </c>
      <c r="B1499">
        <v>13368</v>
      </c>
      <c r="C1499">
        <v>4086</v>
      </c>
      <c r="D1499" t="s">
        <v>390</v>
      </c>
      <c r="E1499" t="s">
        <v>622</v>
      </c>
      <c r="F1499">
        <v>7432</v>
      </c>
      <c r="G1499" t="s">
        <v>76</v>
      </c>
      <c r="H1499" t="s">
        <v>38</v>
      </c>
      <c r="I1499">
        <v>30108</v>
      </c>
      <c r="J1499">
        <v>28108</v>
      </c>
      <c r="K1499">
        <v>2000</v>
      </c>
      <c r="L1499">
        <v>28200</v>
      </c>
      <c r="M1499">
        <v>28200</v>
      </c>
      <c r="N1499">
        <v>0</v>
      </c>
    </row>
    <row r="1500" spans="1:14" ht="14.4">
      <c r="A1500">
        <v>13367</v>
      </c>
      <c r="B1500">
        <v>13368</v>
      </c>
      <c r="C1500">
        <v>4086</v>
      </c>
      <c r="D1500" t="s">
        <v>390</v>
      </c>
      <c r="E1500" t="s">
        <v>849</v>
      </c>
      <c r="F1500">
        <v>8848</v>
      </c>
      <c r="G1500" t="s">
        <v>464</v>
      </c>
      <c r="H1500" t="s">
        <v>38</v>
      </c>
      <c r="I1500">
        <v>147227</v>
      </c>
      <c r="J1500">
        <v>143547</v>
      </c>
      <c r="K1500">
        <v>3680</v>
      </c>
      <c r="L1500">
        <v>60600</v>
      </c>
      <c r="M1500">
        <v>59000</v>
      </c>
      <c r="N1500">
        <v>1600</v>
      </c>
    </row>
    <row r="1501" spans="1:14" ht="14.4">
      <c r="A1501">
        <v>13367</v>
      </c>
      <c r="B1501">
        <v>13368</v>
      </c>
      <c r="C1501">
        <v>4086</v>
      </c>
      <c r="D1501" t="s">
        <v>390</v>
      </c>
      <c r="E1501" t="s">
        <v>624</v>
      </c>
      <c r="F1501">
        <v>7041</v>
      </c>
      <c r="G1501" t="s">
        <v>428</v>
      </c>
      <c r="H1501" t="s">
        <v>38</v>
      </c>
      <c r="I1501">
        <v>8407</v>
      </c>
      <c r="J1501">
        <v>8407</v>
      </c>
      <c r="K1501">
        <v>0</v>
      </c>
      <c r="L1501">
        <v>0</v>
      </c>
      <c r="M1501">
        <v>0</v>
      </c>
      <c r="N1501">
        <v>0</v>
      </c>
    </row>
    <row r="1502" spans="1:14" ht="14.4">
      <c r="A1502">
        <v>13367</v>
      </c>
      <c r="B1502">
        <v>13368</v>
      </c>
      <c r="C1502">
        <v>4086</v>
      </c>
      <c r="D1502" t="s">
        <v>390</v>
      </c>
      <c r="E1502" t="s">
        <v>625</v>
      </c>
      <c r="F1502">
        <v>7946</v>
      </c>
      <c r="G1502" t="s">
        <v>441</v>
      </c>
      <c r="H1502" t="s">
        <v>38</v>
      </c>
      <c r="I1502">
        <v>130311</v>
      </c>
      <c r="J1502">
        <v>108311</v>
      </c>
      <c r="K1502">
        <v>22000</v>
      </c>
      <c r="L1502">
        <v>50200</v>
      </c>
      <c r="M1502">
        <v>39800</v>
      </c>
      <c r="N1502">
        <v>10400</v>
      </c>
    </row>
    <row r="1503" spans="1:14" ht="14.4">
      <c r="A1503">
        <v>13367</v>
      </c>
      <c r="B1503">
        <v>13368</v>
      </c>
      <c r="C1503">
        <v>4086</v>
      </c>
      <c r="D1503" t="s">
        <v>390</v>
      </c>
      <c r="E1503" t="s">
        <v>1583</v>
      </c>
      <c r="F1503">
        <v>8535</v>
      </c>
      <c r="G1503" t="s">
        <v>392</v>
      </c>
      <c r="H1503" t="s">
        <v>38</v>
      </c>
      <c r="I1503">
        <v>599</v>
      </c>
      <c r="J1503">
        <v>599</v>
      </c>
      <c r="K1503">
        <v>0</v>
      </c>
      <c r="L1503">
        <v>0</v>
      </c>
      <c r="M1503">
        <v>0</v>
      </c>
      <c r="N1503">
        <v>0</v>
      </c>
    </row>
    <row r="1504" spans="1:14" ht="14.4">
      <c r="A1504">
        <v>13367</v>
      </c>
      <c r="B1504">
        <v>13368</v>
      </c>
      <c r="C1504">
        <v>4086</v>
      </c>
      <c r="D1504" t="s">
        <v>390</v>
      </c>
      <c r="E1504" t="s">
        <v>1584</v>
      </c>
      <c r="F1504">
        <v>8510</v>
      </c>
      <c r="G1504" t="s">
        <v>392</v>
      </c>
      <c r="H1504" t="s">
        <v>38</v>
      </c>
      <c r="I1504">
        <v>65663</v>
      </c>
      <c r="J1504">
        <v>58463</v>
      </c>
      <c r="K1504">
        <v>7200</v>
      </c>
      <c r="L1504">
        <v>59900</v>
      </c>
      <c r="M1504">
        <v>52800</v>
      </c>
      <c r="N1504">
        <v>7100</v>
      </c>
    </row>
    <row r="1505" spans="1:14" ht="14.4">
      <c r="A1505">
        <v>13367</v>
      </c>
      <c r="B1505">
        <v>13368</v>
      </c>
      <c r="C1505">
        <v>4086</v>
      </c>
      <c r="D1505" t="s">
        <v>390</v>
      </c>
      <c r="E1505" t="s">
        <v>1584</v>
      </c>
      <c r="F1505">
        <v>8535</v>
      </c>
      <c r="G1505" t="s">
        <v>392</v>
      </c>
      <c r="H1505" t="s">
        <v>38</v>
      </c>
      <c r="I1505">
        <v>159276</v>
      </c>
      <c r="J1505">
        <v>145676</v>
      </c>
      <c r="K1505">
        <v>13600</v>
      </c>
      <c r="L1505">
        <v>46400</v>
      </c>
      <c r="M1505">
        <v>34700</v>
      </c>
      <c r="N1505">
        <v>11700</v>
      </c>
    </row>
    <row r="1506" spans="1:14" ht="14.4">
      <c r="A1506">
        <v>13367</v>
      </c>
      <c r="B1506">
        <v>13368</v>
      </c>
      <c r="C1506">
        <v>4086</v>
      </c>
      <c r="D1506" t="s">
        <v>390</v>
      </c>
      <c r="E1506" t="s">
        <v>1585</v>
      </c>
      <c r="F1506">
        <v>8535</v>
      </c>
      <c r="G1506" t="s">
        <v>392</v>
      </c>
      <c r="H1506" t="s">
        <v>38</v>
      </c>
      <c r="I1506">
        <v>29789</v>
      </c>
      <c r="J1506">
        <v>29789</v>
      </c>
      <c r="K1506">
        <v>0</v>
      </c>
      <c r="L1506">
        <v>0</v>
      </c>
      <c r="M1506">
        <v>0</v>
      </c>
      <c r="N1506">
        <v>0</v>
      </c>
    </row>
    <row r="1507" spans="1:14" ht="14.4">
      <c r="A1507">
        <v>13367</v>
      </c>
      <c r="B1507">
        <v>13368</v>
      </c>
      <c r="C1507">
        <v>4086</v>
      </c>
      <c r="D1507" t="s">
        <v>390</v>
      </c>
      <c r="E1507" t="s">
        <v>1586</v>
      </c>
      <c r="F1507">
        <v>8850</v>
      </c>
      <c r="G1507" t="s">
        <v>406</v>
      </c>
      <c r="H1507" t="s">
        <v>38</v>
      </c>
      <c r="I1507">
        <v>51404</v>
      </c>
      <c r="J1507">
        <v>50279</v>
      </c>
      <c r="K1507">
        <v>1125</v>
      </c>
      <c r="L1507">
        <v>28700</v>
      </c>
      <c r="M1507">
        <v>28400</v>
      </c>
      <c r="N1507">
        <v>300</v>
      </c>
    </row>
    <row r="1508" spans="1:14" ht="14.4">
      <c r="A1508">
        <v>13367</v>
      </c>
      <c r="B1508">
        <v>13368</v>
      </c>
      <c r="C1508">
        <v>4086</v>
      </c>
      <c r="D1508" t="s">
        <v>390</v>
      </c>
      <c r="E1508" t="s">
        <v>1587</v>
      </c>
      <c r="F1508">
        <v>8332</v>
      </c>
      <c r="G1508" t="s">
        <v>452</v>
      </c>
      <c r="H1508" t="s">
        <v>38</v>
      </c>
      <c r="I1508">
        <v>32924</v>
      </c>
      <c r="J1508">
        <v>30074</v>
      </c>
      <c r="K1508">
        <v>2850</v>
      </c>
      <c r="L1508">
        <v>15100</v>
      </c>
      <c r="M1508">
        <v>12600</v>
      </c>
      <c r="N1508">
        <v>2500</v>
      </c>
    </row>
    <row r="1509" spans="1:14" ht="14.4">
      <c r="A1509">
        <v>13367</v>
      </c>
      <c r="B1509">
        <v>13368</v>
      </c>
      <c r="C1509">
        <v>4086</v>
      </c>
      <c r="D1509" t="s">
        <v>390</v>
      </c>
      <c r="E1509" t="s">
        <v>1588</v>
      </c>
      <c r="F1509">
        <v>7803</v>
      </c>
      <c r="G1509" t="s">
        <v>441</v>
      </c>
      <c r="H1509" t="s">
        <v>38</v>
      </c>
      <c r="I1509">
        <v>5686</v>
      </c>
      <c r="J1509">
        <v>5126</v>
      </c>
      <c r="K1509">
        <v>560</v>
      </c>
      <c r="L1509">
        <v>1200</v>
      </c>
      <c r="M1509">
        <v>900</v>
      </c>
      <c r="N1509">
        <v>300</v>
      </c>
    </row>
    <row r="1510" spans="1:14" ht="14.4">
      <c r="A1510">
        <v>13367</v>
      </c>
      <c r="B1510">
        <v>13368</v>
      </c>
      <c r="C1510">
        <v>4086</v>
      </c>
      <c r="D1510" t="s">
        <v>390</v>
      </c>
      <c r="E1510" t="s">
        <v>1589</v>
      </c>
      <c r="F1510">
        <v>7750</v>
      </c>
      <c r="G1510" t="s">
        <v>392</v>
      </c>
      <c r="H1510" t="s">
        <v>38</v>
      </c>
      <c r="I1510">
        <v>233268</v>
      </c>
      <c r="J1510">
        <v>147143</v>
      </c>
      <c r="K1510">
        <v>86125</v>
      </c>
      <c r="L1510">
        <v>145600</v>
      </c>
      <c r="M1510">
        <v>105600</v>
      </c>
      <c r="N1510">
        <v>40000</v>
      </c>
    </row>
    <row r="1511" spans="1:14" ht="14.4">
      <c r="A1511">
        <v>13367</v>
      </c>
      <c r="B1511">
        <v>13368</v>
      </c>
      <c r="C1511">
        <v>4086</v>
      </c>
      <c r="D1511" t="s">
        <v>390</v>
      </c>
      <c r="E1511" t="s">
        <v>1590</v>
      </c>
      <c r="F1511">
        <v>7750</v>
      </c>
      <c r="G1511" t="s">
        <v>392</v>
      </c>
      <c r="H1511" t="s">
        <v>38</v>
      </c>
      <c r="I1511">
        <v>520649</v>
      </c>
      <c r="J1511">
        <v>475599</v>
      </c>
      <c r="K1511">
        <v>45050</v>
      </c>
      <c r="L1511">
        <v>0</v>
      </c>
      <c r="M1511">
        <v>0</v>
      </c>
      <c r="N1511">
        <v>0</v>
      </c>
    </row>
    <row r="1512" spans="1:14" ht="14.4">
      <c r="A1512">
        <v>13367</v>
      </c>
      <c r="B1512">
        <v>13368</v>
      </c>
      <c r="C1512">
        <v>4086</v>
      </c>
      <c r="D1512" t="s">
        <v>390</v>
      </c>
      <c r="E1512" t="s">
        <v>392</v>
      </c>
      <c r="F1512">
        <v>7757</v>
      </c>
      <c r="G1512" t="s">
        <v>392</v>
      </c>
      <c r="H1512" t="s">
        <v>38</v>
      </c>
      <c r="I1512">
        <v>346902</v>
      </c>
      <c r="J1512">
        <v>260602</v>
      </c>
      <c r="K1512">
        <v>86300</v>
      </c>
      <c r="L1512">
        <v>0</v>
      </c>
      <c r="M1512">
        <v>0</v>
      </c>
      <c r="N1512">
        <v>0</v>
      </c>
    </row>
    <row r="1513" spans="1:14" ht="14.4">
      <c r="A1513">
        <v>13367</v>
      </c>
      <c r="B1513">
        <v>13368</v>
      </c>
      <c r="C1513">
        <v>4086</v>
      </c>
      <c r="D1513" t="s">
        <v>390</v>
      </c>
      <c r="E1513" t="s">
        <v>1591</v>
      </c>
      <c r="F1513">
        <v>7750</v>
      </c>
      <c r="G1513" t="s">
        <v>392</v>
      </c>
      <c r="H1513" t="s">
        <v>38</v>
      </c>
      <c r="I1513">
        <v>23925</v>
      </c>
      <c r="J1513">
        <v>0</v>
      </c>
      <c r="K1513">
        <v>23925</v>
      </c>
      <c r="L1513">
        <v>14000</v>
      </c>
      <c r="M1513">
        <v>0</v>
      </c>
      <c r="N1513">
        <v>14000</v>
      </c>
    </row>
    <row r="1514" spans="1:14" ht="14.4">
      <c r="A1514">
        <v>13367</v>
      </c>
      <c r="B1514">
        <v>13368</v>
      </c>
      <c r="C1514">
        <v>4086</v>
      </c>
      <c r="D1514" t="s">
        <v>390</v>
      </c>
      <c r="E1514" t="s">
        <v>627</v>
      </c>
      <c r="F1514">
        <v>7702</v>
      </c>
      <c r="G1514" t="s">
        <v>392</v>
      </c>
      <c r="H1514" t="s">
        <v>38</v>
      </c>
      <c r="I1514">
        <v>34394</v>
      </c>
      <c r="J1514">
        <v>11244</v>
      </c>
      <c r="K1514">
        <v>23150</v>
      </c>
      <c r="L1514">
        <v>0</v>
      </c>
      <c r="M1514">
        <v>0</v>
      </c>
      <c r="N1514">
        <v>0</v>
      </c>
    </row>
    <row r="1515" spans="1:14" ht="14.4">
      <c r="A1515">
        <v>13367</v>
      </c>
      <c r="B1515">
        <v>13368</v>
      </c>
      <c r="C1515">
        <v>4086</v>
      </c>
      <c r="D1515" t="s">
        <v>390</v>
      </c>
      <c r="E1515" t="s">
        <v>627</v>
      </c>
      <c r="F1515">
        <v>7750</v>
      </c>
      <c r="G1515" t="s">
        <v>392</v>
      </c>
      <c r="H1515" t="s">
        <v>38</v>
      </c>
      <c r="I1515">
        <v>40194627</v>
      </c>
      <c r="J1515">
        <v>30070102</v>
      </c>
      <c r="K1515">
        <v>10124525</v>
      </c>
      <c r="L1515">
        <v>15423200</v>
      </c>
      <c r="M1515">
        <v>10729500</v>
      </c>
      <c r="N1515">
        <v>4693700</v>
      </c>
    </row>
    <row r="1516" spans="1:14" ht="14.4">
      <c r="A1516">
        <v>13367</v>
      </c>
      <c r="B1516">
        <v>13368</v>
      </c>
      <c r="C1516">
        <v>4086</v>
      </c>
      <c r="D1516" t="s">
        <v>390</v>
      </c>
      <c r="E1516" t="s">
        <v>627</v>
      </c>
      <c r="F1516">
        <v>7750</v>
      </c>
      <c r="G1516" t="s">
        <v>402</v>
      </c>
      <c r="H1516" t="s">
        <v>38</v>
      </c>
      <c r="I1516">
        <v>26239</v>
      </c>
      <c r="J1516">
        <v>21039</v>
      </c>
      <c r="K1516">
        <v>5200</v>
      </c>
      <c r="L1516">
        <v>0</v>
      </c>
      <c r="M1516">
        <v>0</v>
      </c>
      <c r="N1516">
        <v>0</v>
      </c>
    </row>
    <row r="1517" spans="1:14" ht="14.4">
      <c r="A1517">
        <v>13367</v>
      </c>
      <c r="B1517">
        <v>13368</v>
      </c>
      <c r="C1517">
        <v>4086</v>
      </c>
      <c r="D1517" t="s">
        <v>390</v>
      </c>
      <c r="E1517" t="s">
        <v>627</v>
      </c>
      <c r="F1517">
        <v>7755</v>
      </c>
      <c r="G1517" t="s">
        <v>392</v>
      </c>
      <c r="H1517" t="s">
        <v>38</v>
      </c>
      <c r="I1517">
        <v>99594</v>
      </c>
      <c r="J1517">
        <v>66344</v>
      </c>
      <c r="K1517">
        <v>33250</v>
      </c>
      <c r="L1517">
        <v>0</v>
      </c>
      <c r="M1517">
        <v>0</v>
      </c>
      <c r="N1517">
        <v>0</v>
      </c>
    </row>
    <row r="1518" spans="1:14" ht="14.4">
      <c r="A1518">
        <v>13367</v>
      </c>
      <c r="B1518">
        <v>13368</v>
      </c>
      <c r="C1518">
        <v>4086</v>
      </c>
      <c r="D1518" t="s">
        <v>390</v>
      </c>
      <c r="E1518" t="s">
        <v>627</v>
      </c>
      <c r="F1518">
        <v>8330</v>
      </c>
      <c r="G1518" t="s">
        <v>392</v>
      </c>
      <c r="H1518" t="s">
        <v>38</v>
      </c>
      <c r="I1518">
        <v>31298</v>
      </c>
      <c r="J1518">
        <v>13523</v>
      </c>
      <c r="K1518">
        <v>17775</v>
      </c>
      <c r="L1518">
        <v>0</v>
      </c>
      <c r="M1518">
        <v>0</v>
      </c>
      <c r="N1518">
        <v>0</v>
      </c>
    </row>
    <row r="1519" spans="1:14" ht="14.4">
      <c r="A1519">
        <v>13367</v>
      </c>
      <c r="B1519">
        <v>13368</v>
      </c>
      <c r="C1519">
        <v>4086</v>
      </c>
      <c r="D1519" t="s">
        <v>390</v>
      </c>
      <c r="E1519" t="s">
        <v>1592</v>
      </c>
      <c r="F1519">
        <v>8852</v>
      </c>
      <c r="G1519" t="s">
        <v>406</v>
      </c>
      <c r="H1519" t="s">
        <v>38</v>
      </c>
      <c r="I1519">
        <v>90090</v>
      </c>
      <c r="J1519">
        <v>80690</v>
      </c>
      <c r="K1519">
        <v>9400</v>
      </c>
      <c r="L1519">
        <v>78900</v>
      </c>
      <c r="M1519">
        <v>69500</v>
      </c>
      <c r="N1519">
        <v>9400</v>
      </c>
    </row>
    <row r="1520" spans="1:14" ht="14.4">
      <c r="A1520">
        <v>13367</v>
      </c>
      <c r="B1520">
        <v>13368</v>
      </c>
      <c r="C1520">
        <v>4086</v>
      </c>
      <c r="D1520" t="s">
        <v>390</v>
      </c>
      <c r="E1520" t="s">
        <v>229</v>
      </c>
      <c r="F1520">
        <v>8831</v>
      </c>
      <c r="G1520" t="s">
        <v>406</v>
      </c>
      <c r="H1520" t="s">
        <v>38</v>
      </c>
      <c r="I1520">
        <v>96184</v>
      </c>
      <c r="J1520">
        <v>88284</v>
      </c>
      <c r="K1520">
        <v>7900</v>
      </c>
      <c r="L1520">
        <v>0</v>
      </c>
      <c r="M1520">
        <v>0</v>
      </c>
      <c r="N1520">
        <v>0</v>
      </c>
    </row>
    <row r="1521" spans="1:14" ht="14.4">
      <c r="A1521">
        <v>13367</v>
      </c>
      <c r="B1521">
        <v>13368</v>
      </c>
      <c r="C1521">
        <v>4086</v>
      </c>
      <c r="D1521" t="s">
        <v>390</v>
      </c>
      <c r="E1521" t="s">
        <v>629</v>
      </c>
      <c r="F1521">
        <v>8831</v>
      </c>
      <c r="G1521" t="s">
        <v>406</v>
      </c>
      <c r="H1521" t="s">
        <v>38</v>
      </c>
      <c r="I1521">
        <v>107452</v>
      </c>
      <c r="J1521">
        <v>72927</v>
      </c>
      <c r="K1521">
        <v>34525</v>
      </c>
      <c r="L1521">
        <v>66200</v>
      </c>
      <c r="M1521">
        <v>33500</v>
      </c>
      <c r="N1521">
        <v>32700</v>
      </c>
    </row>
    <row r="1522" spans="1:14" ht="14.4">
      <c r="A1522">
        <v>13367</v>
      </c>
      <c r="B1522">
        <v>13368</v>
      </c>
      <c r="C1522">
        <v>4086</v>
      </c>
      <c r="D1522" t="s">
        <v>390</v>
      </c>
      <c r="E1522" t="s">
        <v>1593</v>
      </c>
      <c r="F1522">
        <v>8831</v>
      </c>
      <c r="G1522" t="s">
        <v>406</v>
      </c>
      <c r="H1522" t="s">
        <v>38</v>
      </c>
      <c r="I1522">
        <v>410911</v>
      </c>
      <c r="J1522">
        <v>345786</v>
      </c>
      <c r="K1522">
        <v>65125</v>
      </c>
      <c r="L1522">
        <v>0</v>
      </c>
      <c r="M1522">
        <v>0</v>
      </c>
      <c r="N1522">
        <v>0</v>
      </c>
    </row>
    <row r="1523" spans="1:14" ht="14.4">
      <c r="A1523">
        <v>13367</v>
      </c>
      <c r="B1523">
        <v>13368</v>
      </c>
      <c r="C1523">
        <v>4086</v>
      </c>
      <c r="D1523" t="s">
        <v>390</v>
      </c>
      <c r="E1523" t="s">
        <v>630</v>
      </c>
      <c r="F1523">
        <v>7042</v>
      </c>
      <c r="G1523" t="s">
        <v>428</v>
      </c>
      <c r="H1523" t="s">
        <v>38</v>
      </c>
      <c r="I1523">
        <v>68794</v>
      </c>
      <c r="J1523">
        <v>44444</v>
      </c>
      <c r="K1523">
        <v>24350</v>
      </c>
      <c r="L1523">
        <v>14000</v>
      </c>
      <c r="M1523">
        <v>14000</v>
      </c>
      <c r="N1523">
        <v>0</v>
      </c>
    </row>
    <row r="1524" spans="1:14" ht="14.4">
      <c r="A1524">
        <v>13367</v>
      </c>
      <c r="B1524">
        <v>13368</v>
      </c>
      <c r="C1524">
        <v>4086</v>
      </c>
      <c r="D1524" t="s">
        <v>390</v>
      </c>
      <c r="E1524" t="s">
        <v>630</v>
      </c>
      <c r="F1524">
        <v>7043</v>
      </c>
      <c r="G1524" t="s">
        <v>428</v>
      </c>
      <c r="H1524" t="s">
        <v>38</v>
      </c>
      <c r="I1524">
        <v>51097</v>
      </c>
      <c r="J1524">
        <v>47547</v>
      </c>
      <c r="K1524">
        <v>3550</v>
      </c>
      <c r="L1524">
        <v>50700</v>
      </c>
      <c r="M1524">
        <v>47600</v>
      </c>
      <c r="N1524">
        <v>3100</v>
      </c>
    </row>
    <row r="1525" spans="1:14" ht="14.4">
      <c r="A1525">
        <v>13367</v>
      </c>
      <c r="B1525">
        <v>13368</v>
      </c>
      <c r="C1525">
        <v>4086</v>
      </c>
      <c r="D1525" t="s">
        <v>390</v>
      </c>
      <c r="E1525" t="s">
        <v>1594</v>
      </c>
      <c r="F1525">
        <v>8735</v>
      </c>
      <c r="G1525" t="s">
        <v>402</v>
      </c>
      <c r="H1525" t="s">
        <v>38</v>
      </c>
      <c r="I1525">
        <v>70757</v>
      </c>
      <c r="J1525">
        <v>54807</v>
      </c>
      <c r="K1525">
        <v>15950</v>
      </c>
      <c r="L1525">
        <v>0</v>
      </c>
      <c r="M1525">
        <v>0</v>
      </c>
      <c r="N1525">
        <v>0</v>
      </c>
    </row>
    <row r="1526" spans="1:14" ht="14.4">
      <c r="A1526">
        <v>13367</v>
      </c>
      <c r="B1526">
        <v>13368</v>
      </c>
      <c r="C1526">
        <v>4086</v>
      </c>
      <c r="D1526" t="s">
        <v>390</v>
      </c>
      <c r="E1526" t="s">
        <v>1595</v>
      </c>
      <c r="F1526">
        <v>7074</v>
      </c>
      <c r="G1526" t="s">
        <v>76</v>
      </c>
      <c r="H1526" t="s">
        <v>38</v>
      </c>
      <c r="I1526">
        <v>10550</v>
      </c>
      <c r="J1526">
        <v>0</v>
      </c>
      <c r="K1526">
        <v>10550</v>
      </c>
      <c r="L1526">
        <v>0</v>
      </c>
      <c r="M1526">
        <v>0</v>
      </c>
      <c r="N1526">
        <v>0</v>
      </c>
    </row>
    <row r="1527" spans="1:14" ht="14.4">
      <c r="A1527">
        <v>13367</v>
      </c>
      <c r="B1527">
        <v>13368</v>
      </c>
      <c r="C1527">
        <v>4086</v>
      </c>
      <c r="D1527" t="s">
        <v>390</v>
      </c>
      <c r="E1527" t="s">
        <v>632</v>
      </c>
      <c r="F1527">
        <v>7074</v>
      </c>
      <c r="G1527" t="s">
        <v>76</v>
      </c>
      <c r="H1527" t="s">
        <v>38</v>
      </c>
      <c r="I1527">
        <v>8222373</v>
      </c>
      <c r="J1527">
        <v>4580506</v>
      </c>
      <c r="K1527">
        <v>3641867</v>
      </c>
      <c r="L1527">
        <v>2423600</v>
      </c>
      <c r="M1527">
        <v>1325500</v>
      </c>
      <c r="N1527">
        <v>1098100</v>
      </c>
    </row>
    <row r="1528" spans="1:14" ht="14.4">
      <c r="A1528">
        <v>13367</v>
      </c>
      <c r="B1528">
        <v>13368</v>
      </c>
      <c r="C1528">
        <v>4086</v>
      </c>
      <c r="D1528" t="s">
        <v>390</v>
      </c>
      <c r="E1528" t="s">
        <v>1596</v>
      </c>
      <c r="F1528">
        <v>7074</v>
      </c>
      <c r="G1528" t="s">
        <v>76</v>
      </c>
      <c r="H1528" t="s">
        <v>38</v>
      </c>
      <c r="I1528">
        <v>16539</v>
      </c>
      <c r="J1528">
        <v>14414</v>
      </c>
      <c r="K1528">
        <v>2125</v>
      </c>
      <c r="L1528">
        <v>9000</v>
      </c>
      <c r="M1528">
        <v>7300</v>
      </c>
      <c r="N1528">
        <v>1700</v>
      </c>
    </row>
    <row r="1529" spans="1:14" ht="14.4">
      <c r="A1529">
        <v>13367</v>
      </c>
      <c r="B1529">
        <v>13368</v>
      </c>
      <c r="C1529">
        <v>4086</v>
      </c>
      <c r="D1529" t="s">
        <v>390</v>
      </c>
      <c r="E1529" t="s">
        <v>1597</v>
      </c>
      <c r="F1529">
        <v>8057</v>
      </c>
      <c r="G1529" t="s">
        <v>443</v>
      </c>
      <c r="H1529" t="s">
        <v>38</v>
      </c>
      <c r="I1529">
        <v>16315</v>
      </c>
      <c r="J1529">
        <v>14065</v>
      </c>
      <c r="K1529">
        <v>2250</v>
      </c>
      <c r="L1529">
        <v>12500</v>
      </c>
      <c r="M1529">
        <v>12500</v>
      </c>
      <c r="N1529">
        <v>0</v>
      </c>
    </row>
    <row r="1530" spans="1:14" ht="14.4">
      <c r="A1530">
        <v>13367</v>
      </c>
      <c r="B1530">
        <v>13368</v>
      </c>
      <c r="C1530">
        <v>4086</v>
      </c>
      <c r="D1530" t="s">
        <v>390</v>
      </c>
      <c r="E1530" t="s">
        <v>633</v>
      </c>
      <c r="F1530">
        <v>7751</v>
      </c>
      <c r="G1530" t="s">
        <v>392</v>
      </c>
      <c r="H1530" t="s">
        <v>38</v>
      </c>
      <c r="I1530">
        <v>502033</v>
      </c>
      <c r="J1530">
        <v>475983</v>
      </c>
      <c r="K1530">
        <v>26050</v>
      </c>
      <c r="L1530">
        <v>305100</v>
      </c>
      <c r="M1530">
        <v>303600</v>
      </c>
      <c r="N1530">
        <v>1500</v>
      </c>
    </row>
    <row r="1531" spans="1:14" ht="14.4">
      <c r="A1531">
        <v>13367</v>
      </c>
      <c r="B1531">
        <v>13368</v>
      </c>
      <c r="C1531">
        <v>4086</v>
      </c>
      <c r="D1531" t="s">
        <v>390</v>
      </c>
      <c r="E1531" t="s">
        <v>1598</v>
      </c>
      <c r="F1531">
        <v>8739</v>
      </c>
      <c r="G1531" t="s">
        <v>402</v>
      </c>
      <c r="H1531" t="s">
        <v>38</v>
      </c>
      <c r="I1531">
        <v>193052</v>
      </c>
      <c r="J1531">
        <v>120142</v>
      </c>
      <c r="K1531">
        <v>72910</v>
      </c>
      <c r="L1531">
        <v>0</v>
      </c>
      <c r="M1531">
        <v>0</v>
      </c>
      <c r="N1531">
        <v>0</v>
      </c>
    </row>
    <row r="1532" spans="1:14" ht="14.4">
      <c r="A1532">
        <v>13367</v>
      </c>
      <c r="B1532">
        <v>13368</v>
      </c>
      <c r="C1532">
        <v>4086</v>
      </c>
      <c r="D1532" t="s">
        <v>390</v>
      </c>
      <c r="E1532" t="s">
        <v>1599</v>
      </c>
      <c r="F1532">
        <v>7950</v>
      </c>
      <c r="G1532" t="s">
        <v>441</v>
      </c>
      <c r="H1532" t="s">
        <v>38</v>
      </c>
      <c r="I1532">
        <v>262851</v>
      </c>
      <c r="J1532">
        <v>259051</v>
      </c>
      <c r="K1532">
        <v>3800</v>
      </c>
      <c r="L1532">
        <v>159700</v>
      </c>
      <c r="M1532">
        <v>157000</v>
      </c>
      <c r="N1532">
        <v>2700</v>
      </c>
    </row>
    <row r="1533" spans="1:14" ht="14.4">
      <c r="A1533">
        <v>13367</v>
      </c>
      <c r="B1533">
        <v>13368</v>
      </c>
      <c r="C1533">
        <v>4086</v>
      </c>
      <c r="D1533" t="s">
        <v>390</v>
      </c>
      <c r="E1533" t="s">
        <v>1600</v>
      </c>
      <c r="F1533">
        <v>7950</v>
      </c>
      <c r="G1533" t="s">
        <v>441</v>
      </c>
      <c r="H1533" t="s">
        <v>38</v>
      </c>
      <c r="I1533">
        <v>12444</v>
      </c>
      <c r="J1533">
        <v>12444</v>
      </c>
      <c r="K1533">
        <v>0</v>
      </c>
      <c r="L1533">
        <v>6700</v>
      </c>
      <c r="M1533">
        <v>6700</v>
      </c>
      <c r="N1533">
        <v>0</v>
      </c>
    </row>
    <row r="1534" spans="1:14" ht="14.4">
      <c r="A1534">
        <v>13367</v>
      </c>
      <c r="B1534">
        <v>13368</v>
      </c>
      <c r="C1534">
        <v>4086</v>
      </c>
      <c r="D1534" t="s">
        <v>390</v>
      </c>
      <c r="E1534" t="s">
        <v>634</v>
      </c>
      <c r="F1534">
        <v>7960</v>
      </c>
      <c r="G1534" t="s">
        <v>441</v>
      </c>
      <c r="H1534" t="s">
        <v>38</v>
      </c>
      <c r="I1534">
        <v>516216</v>
      </c>
      <c r="J1534">
        <v>509706</v>
      </c>
      <c r="K1534">
        <v>6510</v>
      </c>
      <c r="L1534">
        <v>297300</v>
      </c>
      <c r="M1534">
        <v>292600</v>
      </c>
      <c r="N1534">
        <v>4700</v>
      </c>
    </row>
    <row r="1535" spans="1:14" ht="14.4">
      <c r="A1535">
        <v>13367</v>
      </c>
      <c r="B1535">
        <v>13368</v>
      </c>
      <c r="C1535">
        <v>4086</v>
      </c>
      <c r="D1535" t="s">
        <v>390</v>
      </c>
      <c r="E1535" t="s">
        <v>1601</v>
      </c>
      <c r="F1535">
        <v>8060</v>
      </c>
      <c r="G1535" t="s">
        <v>443</v>
      </c>
      <c r="H1535" t="s">
        <v>38</v>
      </c>
      <c r="I1535">
        <v>21470</v>
      </c>
      <c r="J1535">
        <v>20950</v>
      </c>
      <c r="K1535">
        <v>520</v>
      </c>
      <c r="L1535">
        <v>14000</v>
      </c>
      <c r="M1535">
        <v>14000</v>
      </c>
      <c r="N1535">
        <v>0</v>
      </c>
    </row>
    <row r="1536" spans="1:14" ht="14.4">
      <c r="A1536">
        <v>13367</v>
      </c>
      <c r="B1536">
        <v>13368</v>
      </c>
      <c r="C1536">
        <v>4086</v>
      </c>
      <c r="D1536" t="s">
        <v>390</v>
      </c>
      <c r="E1536" t="s">
        <v>1602</v>
      </c>
      <c r="F1536">
        <v>8054</v>
      </c>
      <c r="G1536" t="s">
        <v>443</v>
      </c>
      <c r="H1536" t="s">
        <v>38</v>
      </c>
      <c r="I1536">
        <v>35304</v>
      </c>
      <c r="J1536">
        <v>35304</v>
      </c>
      <c r="K1536">
        <v>0</v>
      </c>
      <c r="L1536">
        <v>0</v>
      </c>
      <c r="M1536">
        <v>0</v>
      </c>
      <c r="N1536">
        <v>0</v>
      </c>
    </row>
    <row r="1537" spans="1:14" ht="14.4">
      <c r="A1537">
        <v>13367</v>
      </c>
      <c r="B1537">
        <v>13368</v>
      </c>
      <c r="C1537">
        <v>4086</v>
      </c>
      <c r="D1537" t="s">
        <v>390</v>
      </c>
      <c r="E1537" t="s">
        <v>1603</v>
      </c>
      <c r="F1537">
        <v>7878</v>
      </c>
      <c r="G1537" t="s">
        <v>441</v>
      </c>
      <c r="H1537" t="s">
        <v>38</v>
      </c>
      <c r="I1537">
        <v>266338</v>
      </c>
      <c r="J1537">
        <v>231413</v>
      </c>
      <c r="K1537">
        <v>34925</v>
      </c>
      <c r="L1537">
        <v>103600</v>
      </c>
      <c r="M1537">
        <v>78800</v>
      </c>
      <c r="N1537">
        <v>24800</v>
      </c>
    </row>
    <row r="1538" spans="1:14" ht="14.4">
      <c r="A1538">
        <v>13367</v>
      </c>
      <c r="B1538">
        <v>13368</v>
      </c>
      <c r="C1538">
        <v>4086</v>
      </c>
      <c r="D1538" t="s">
        <v>390</v>
      </c>
      <c r="E1538" t="s">
        <v>635</v>
      </c>
      <c r="F1538">
        <v>7046</v>
      </c>
      <c r="G1538" t="s">
        <v>441</v>
      </c>
      <c r="H1538" t="s">
        <v>38</v>
      </c>
      <c r="I1538">
        <v>79515</v>
      </c>
      <c r="J1538">
        <v>76215</v>
      </c>
      <c r="K1538">
        <v>3300</v>
      </c>
      <c r="L1538">
        <v>65000</v>
      </c>
      <c r="M1538">
        <v>61700</v>
      </c>
      <c r="N1538">
        <v>3300</v>
      </c>
    </row>
    <row r="1539" spans="1:14" ht="14.4">
      <c r="A1539">
        <v>13367</v>
      </c>
      <c r="B1539">
        <v>13368</v>
      </c>
      <c r="C1539">
        <v>4086</v>
      </c>
      <c r="D1539" t="s">
        <v>390</v>
      </c>
      <c r="E1539" t="s">
        <v>1604</v>
      </c>
      <c r="F1539">
        <v>7092</v>
      </c>
      <c r="G1539" t="s">
        <v>435</v>
      </c>
      <c r="H1539" t="s">
        <v>38</v>
      </c>
      <c r="I1539">
        <v>25824</v>
      </c>
      <c r="J1539">
        <v>25824</v>
      </c>
      <c r="K1539">
        <v>0</v>
      </c>
      <c r="L1539">
        <v>24200</v>
      </c>
      <c r="M1539">
        <v>24200</v>
      </c>
      <c r="N1539">
        <v>0</v>
      </c>
    </row>
    <row r="1540" spans="1:14" ht="14.4">
      <c r="A1540">
        <v>13367</v>
      </c>
      <c r="B1540">
        <v>13368</v>
      </c>
      <c r="C1540">
        <v>4086</v>
      </c>
      <c r="D1540" t="s">
        <v>390</v>
      </c>
      <c r="E1540" t="s">
        <v>636</v>
      </c>
      <c r="F1540">
        <v>7092</v>
      </c>
      <c r="G1540" t="s">
        <v>435</v>
      </c>
      <c r="H1540" t="s">
        <v>38</v>
      </c>
      <c r="I1540">
        <v>87528</v>
      </c>
      <c r="J1540">
        <v>73528</v>
      </c>
      <c r="K1540">
        <v>14000</v>
      </c>
      <c r="L1540">
        <v>23700</v>
      </c>
      <c r="M1540">
        <v>14100</v>
      </c>
      <c r="N1540">
        <v>9600</v>
      </c>
    </row>
    <row r="1541" spans="1:14" ht="14.4">
      <c r="A1541">
        <v>13367</v>
      </c>
      <c r="B1541">
        <v>13368</v>
      </c>
      <c r="C1541">
        <v>4086</v>
      </c>
      <c r="D1541" t="s">
        <v>390</v>
      </c>
      <c r="E1541" t="s">
        <v>1605</v>
      </c>
      <c r="F1541">
        <v>8054</v>
      </c>
      <c r="G1541" t="s">
        <v>443</v>
      </c>
      <c r="H1541" t="s">
        <v>38</v>
      </c>
      <c r="I1541">
        <v>56236</v>
      </c>
      <c r="J1541">
        <v>35911</v>
      </c>
      <c r="K1541">
        <v>20325</v>
      </c>
      <c r="L1541">
        <v>41600</v>
      </c>
      <c r="M1541">
        <v>24300</v>
      </c>
      <c r="N1541">
        <v>17300</v>
      </c>
    </row>
    <row r="1542" spans="1:14" ht="14.4">
      <c r="A1542">
        <v>13367</v>
      </c>
      <c r="B1542">
        <v>13368</v>
      </c>
      <c r="C1542">
        <v>4086</v>
      </c>
      <c r="D1542" t="s">
        <v>390</v>
      </c>
      <c r="E1542" t="s">
        <v>1606</v>
      </c>
      <c r="F1542">
        <v>7046</v>
      </c>
      <c r="G1542" t="s">
        <v>441</v>
      </c>
      <c r="H1542" t="s">
        <v>38</v>
      </c>
      <c r="I1542">
        <v>29211</v>
      </c>
      <c r="J1542">
        <v>29211</v>
      </c>
      <c r="K1542">
        <v>0</v>
      </c>
      <c r="L1542">
        <v>28300</v>
      </c>
      <c r="M1542">
        <v>28300</v>
      </c>
      <c r="N1542">
        <v>0</v>
      </c>
    </row>
    <row r="1543" spans="1:14" ht="14.4">
      <c r="A1543">
        <v>13367</v>
      </c>
      <c r="B1543">
        <v>13368</v>
      </c>
      <c r="C1543">
        <v>4086</v>
      </c>
      <c r="D1543" t="s">
        <v>390</v>
      </c>
      <c r="E1543" t="s">
        <v>638</v>
      </c>
      <c r="F1543">
        <v>8087</v>
      </c>
      <c r="G1543" t="s">
        <v>402</v>
      </c>
      <c r="H1543" t="s">
        <v>38</v>
      </c>
      <c r="I1543">
        <v>812847</v>
      </c>
      <c r="J1543">
        <v>597935</v>
      </c>
      <c r="K1543">
        <v>214912</v>
      </c>
      <c r="L1543">
        <v>342100</v>
      </c>
      <c r="M1543">
        <v>276800</v>
      </c>
      <c r="N1543">
        <v>65300</v>
      </c>
    </row>
    <row r="1544" spans="1:14" ht="14.4">
      <c r="A1544">
        <v>13367</v>
      </c>
      <c r="B1544">
        <v>13368</v>
      </c>
      <c r="C1544">
        <v>4086</v>
      </c>
      <c r="D1544" t="s">
        <v>390</v>
      </c>
      <c r="E1544" t="s">
        <v>1607</v>
      </c>
      <c r="F1544">
        <v>8087</v>
      </c>
      <c r="G1544" t="s">
        <v>402</v>
      </c>
      <c r="H1544" t="s">
        <v>38</v>
      </c>
      <c r="I1544">
        <v>479585</v>
      </c>
      <c r="J1544">
        <v>349445</v>
      </c>
      <c r="K1544">
        <v>130140</v>
      </c>
      <c r="L1544">
        <v>65800</v>
      </c>
      <c r="M1544">
        <v>46200</v>
      </c>
      <c r="N1544">
        <v>19600</v>
      </c>
    </row>
    <row r="1545" spans="1:14" ht="14.4">
      <c r="A1545">
        <v>13367</v>
      </c>
      <c r="B1545">
        <v>13368</v>
      </c>
      <c r="C1545">
        <v>4086</v>
      </c>
      <c r="D1545" t="s">
        <v>390</v>
      </c>
      <c r="E1545" t="s">
        <v>639</v>
      </c>
      <c r="F1545">
        <v>8008</v>
      </c>
      <c r="G1545" t="s">
        <v>402</v>
      </c>
      <c r="H1545" t="s">
        <v>38</v>
      </c>
      <c r="I1545">
        <v>150084</v>
      </c>
      <c r="J1545">
        <v>114384</v>
      </c>
      <c r="K1545">
        <v>35700</v>
      </c>
      <c r="L1545">
        <v>35700</v>
      </c>
      <c r="M1545">
        <v>0</v>
      </c>
      <c r="N1545">
        <v>35700</v>
      </c>
    </row>
    <row r="1546" spans="1:14" ht="14.4">
      <c r="A1546">
        <v>13367</v>
      </c>
      <c r="B1546">
        <v>13368</v>
      </c>
      <c r="C1546">
        <v>4086</v>
      </c>
      <c r="D1546" t="s">
        <v>390</v>
      </c>
      <c r="E1546" t="s">
        <v>1608</v>
      </c>
      <c r="F1546">
        <v>8204</v>
      </c>
      <c r="G1546" t="s">
        <v>404</v>
      </c>
      <c r="H1546" t="s">
        <v>38</v>
      </c>
      <c r="I1546">
        <v>14947</v>
      </c>
      <c r="J1546">
        <v>14947</v>
      </c>
      <c r="K1546">
        <v>0</v>
      </c>
      <c r="L1546">
        <v>14000</v>
      </c>
      <c r="M1546">
        <v>14000</v>
      </c>
      <c r="N1546">
        <v>0</v>
      </c>
    </row>
    <row r="1547" spans="1:14" ht="14.4">
      <c r="A1547">
        <v>13367</v>
      </c>
      <c r="B1547">
        <v>13368</v>
      </c>
      <c r="C1547">
        <v>4086</v>
      </c>
      <c r="D1547" t="s">
        <v>390</v>
      </c>
      <c r="E1547" t="s">
        <v>1609</v>
      </c>
      <c r="F1547">
        <v>7748</v>
      </c>
      <c r="G1547" t="s">
        <v>392</v>
      </c>
      <c r="H1547" t="s">
        <v>38</v>
      </c>
      <c r="I1547">
        <v>21476</v>
      </c>
      <c r="J1547">
        <v>20876</v>
      </c>
      <c r="K1547">
        <v>600</v>
      </c>
      <c r="L1547">
        <v>16400</v>
      </c>
      <c r="M1547">
        <v>15800</v>
      </c>
      <c r="N1547">
        <v>600</v>
      </c>
    </row>
    <row r="1548" spans="1:14" ht="14.4">
      <c r="A1548">
        <v>13367</v>
      </c>
      <c r="B1548">
        <v>13368</v>
      </c>
      <c r="C1548">
        <v>4086</v>
      </c>
      <c r="D1548" t="s">
        <v>390</v>
      </c>
      <c r="E1548" t="s">
        <v>642</v>
      </c>
      <c r="F1548">
        <v>8260</v>
      </c>
      <c r="G1548" t="s">
        <v>404</v>
      </c>
      <c r="H1548" t="s">
        <v>38</v>
      </c>
      <c r="I1548">
        <v>30715</v>
      </c>
      <c r="J1548">
        <v>26090</v>
      </c>
      <c r="K1548">
        <v>4625</v>
      </c>
      <c r="L1548">
        <v>30800</v>
      </c>
      <c r="M1548">
        <v>26200</v>
      </c>
      <c r="N1548">
        <v>4600</v>
      </c>
    </row>
    <row r="1549" spans="1:14" ht="14.4">
      <c r="A1549">
        <v>13367</v>
      </c>
      <c r="B1549">
        <v>13368</v>
      </c>
      <c r="C1549">
        <v>4086</v>
      </c>
      <c r="D1549" t="s">
        <v>390</v>
      </c>
      <c r="E1549" t="s">
        <v>643</v>
      </c>
      <c r="F1549">
        <v>8008</v>
      </c>
      <c r="G1549" t="s">
        <v>402</v>
      </c>
      <c r="H1549" t="s">
        <v>38</v>
      </c>
      <c r="I1549">
        <v>177609</v>
      </c>
      <c r="J1549">
        <v>120959</v>
      </c>
      <c r="K1549">
        <v>56650</v>
      </c>
      <c r="L1549">
        <v>9200</v>
      </c>
      <c r="M1549">
        <v>5900</v>
      </c>
      <c r="N1549">
        <v>3300</v>
      </c>
    </row>
    <row r="1550" spans="1:14" ht="14.4">
      <c r="A1550">
        <v>13367</v>
      </c>
      <c r="B1550">
        <v>13368</v>
      </c>
      <c r="C1550">
        <v>4086</v>
      </c>
      <c r="D1550" t="s">
        <v>390</v>
      </c>
      <c r="E1550" t="s">
        <v>646</v>
      </c>
      <c r="F1550">
        <v>7753</v>
      </c>
      <c r="G1550" t="s">
        <v>392</v>
      </c>
      <c r="H1550" t="s">
        <v>38</v>
      </c>
      <c r="I1550">
        <v>12627129</v>
      </c>
      <c r="J1550">
        <v>9240372</v>
      </c>
      <c r="K1550">
        <v>3386757</v>
      </c>
      <c r="L1550">
        <v>5441300</v>
      </c>
      <c r="M1550">
        <v>3570200</v>
      </c>
      <c r="N1550">
        <v>1849700</v>
      </c>
    </row>
    <row r="1551" spans="1:14" ht="14.4">
      <c r="A1551">
        <v>13367</v>
      </c>
      <c r="B1551">
        <v>13368</v>
      </c>
      <c r="C1551">
        <v>4086</v>
      </c>
      <c r="D1551" t="s">
        <v>390</v>
      </c>
      <c r="E1551" t="s">
        <v>646</v>
      </c>
      <c r="F1551">
        <v>7753</v>
      </c>
      <c r="G1551" t="s">
        <v>402</v>
      </c>
      <c r="H1551" t="s">
        <v>38</v>
      </c>
      <c r="I1551">
        <v>37623</v>
      </c>
      <c r="J1551">
        <v>27423</v>
      </c>
      <c r="K1551">
        <v>10200</v>
      </c>
      <c r="L1551">
        <v>0</v>
      </c>
      <c r="M1551">
        <v>0</v>
      </c>
      <c r="N1551">
        <v>0</v>
      </c>
    </row>
    <row r="1552" spans="1:14" ht="14.4">
      <c r="A1552">
        <v>13367</v>
      </c>
      <c r="B1552">
        <v>13368</v>
      </c>
      <c r="C1552">
        <v>4086</v>
      </c>
      <c r="D1552" t="s">
        <v>390</v>
      </c>
      <c r="E1552" t="s">
        <v>647</v>
      </c>
      <c r="F1552">
        <v>7753</v>
      </c>
      <c r="G1552" t="s">
        <v>392</v>
      </c>
      <c r="H1552" t="s">
        <v>38</v>
      </c>
      <c r="I1552">
        <v>294116</v>
      </c>
      <c r="J1552">
        <v>175616</v>
      </c>
      <c r="K1552">
        <v>118500</v>
      </c>
      <c r="L1552">
        <v>179200</v>
      </c>
      <c r="M1552">
        <v>72800</v>
      </c>
      <c r="N1552">
        <v>106400</v>
      </c>
    </row>
    <row r="1553" spans="1:14" ht="14.4">
      <c r="A1553">
        <v>13367</v>
      </c>
      <c r="B1553">
        <v>13368</v>
      </c>
      <c r="C1553">
        <v>4086</v>
      </c>
      <c r="D1553" t="s">
        <v>390</v>
      </c>
      <c r="E1553" t="s">
        <v>1610</v>
      </c>
      <c r="F1553">
        <v>7753</v>
      </c>
      <c r="G1553" t="s">
        <v>392</v>
      </c>
      <c r="H1553" t="s">
        <v>38</v>
      </c>
      <c r="I1553">
        <v>31852</v>
      </c>
      <c r="J1553">
        <v>30352</v>
      </c>
      <c r="K1553">
        <v>1500</v>
      </c>
      <c r="L1553">
        <v>26900</v>
      </c>
      <c r="M1553">
        <v>25400</v>
      </c>
      <c r="N1553">
        <v>1500</v>
      </c>
    </row>
    <row r="1554" spans="1:14" ht="14.4">
      <c r="A1554">
        <v>13367</v>
      </c>
      <c r="B1554">
        <v>13368</v>
      </c>
      <c r="C1554">
        <v>4086</v>
      </c>
      <c r="D1554" t="s">
        <v>390</v>
      </c>
      <c r="E1554" t="s">
        <v>1611</v>
      </c>
      <c r="F1554">
        <v>8853</v>
      </c>
      <c r="G1554" t="s">
        <v>413</v>
      </c>
      <c r="H1554" t="s">
        <v>38</v>
      </c>
      <c r="I1554">
        <v>17051</v>
      </c>
      <c r="J1554">
        <v>17051</v>
      </c>
      <c r="K1554">
        <v>0</v>
      </c>
      <c r="L1554">
        <v>0</v>
      </c>
      <c r="M1554">
        <v>0</v>
      </c>
      <c r="N1554">
        <v>0</v>
      </c>
    </row>
    <row r="1555" spans="1:14" ht="14.4">
      <c r="A1555">
        <v>13367</v>
      </c>
      <c r="B1555">
        <v>13368</v>
      </c>
      <c r="C1555">
        <v>4086</v>
      </c>
      <c r="D1555" t="s">
        <v>390</v>
      </c>
      <c r="E1555" t="s">
        <v>1612</v>
      </c>
      <c r="F1555">
        <v>7857</v>
      </c>
      <c r="G1555" t="s">
        <v>441</v>
      </c>
      <c r="H1555" t="s">
        <v>38</v>
      </c>
      <c r="I1555">
        <v>5686</v>
      </c>
      <c r="J1555">
        <v>5686</v>
      </c>
      <c r="K1555">
        <v>0</v>
      </c>
      <c r="L1555">
        <v>5700</v>
      </c>
      <c r="M1555">
        <v>5700</v>
      </c>
      <c r="N1555">
        <v>0</v>
      </c>
    </row>
    <row r="1556" spans="1:14" ht="14.4">
      <c r="A1556">
        <v>13367</v>
      </c>
      <c r="B1556">
        <v>13368</v>
      </c>
      <c r="C1556">
        <v>4086</v>
      </c>
      <c r="D1556" t="s">
        <v>390</v>
      </c>
      <c r="E1556" t="s">
        <v>651</v>
      </c>
      <c r="F1556">
        <v>8901</v>
      </c>
      <c r="G1556" t="s">
        <v>406</v>
      </c>
      <c r="H1556" t="s">
        <v>38</v>
      </c>
      <c r="I1556">
        <v>194953</v>
      </c>
      <c r="J1556">
        <v>190118</v>
      </c>
      <c r="K1556">
        <v>4835</v>
      </c>
      <c r="L1556">
        <v>17200</v>
      </c>
      <c r="M1556">
        <v>16900</v>
      </c>
      <c r="N1556">
        <v>300</v>
      </c>
    </row>
    <row r="1557" spans="1:14" ht="14.4">
      <c r="A1557">
        <v>13367</v>
      </c>
      <c r="B1557">
        <v>13368</v>
      </c>
      <c r="C1557">
        <v>4086</v>
      </c>
      <c r="D1557" t="s">
        <v>390</v>
      </c>
      <c r="E1557" t="s">
        <v>1613</v>
      </c>
      <c r="F1557">
        <v>8533</v>
      </c>
      <c r="G1557" t="s">
        <v>402</v>
      </c>
      <c r="H1557" t="s">
        <v>38</v>
      </c>
      <c r="I1557">
        <v>35676</v>
      </c>
      <c r="J1557">
        <v>35676</v>
      </c>
      <c r="K1557">
        <v>0</v>
      </c>
      <c r="L1557">
        <v>16800</v>
      </c>
      <c r="M1557">
        <v>16800</v>
      </c>
      <c r="N1557">
        <v>0</v>
      </c>
    </row>
    <row r="1558" spans="1:14" ht="14.4">
      <c r="A1558">
        <v>13367</v>
      </c>
      <c r="B1558">
        <v>13368</v>
      </c>
      <c r="C1558">
        <v>4086</v>
      </c>
      <c r="D1558" t="s">
        <v>390</v>
      </c>
      <c r="E1558" t="s">
        <v>652</v>
      </c>
      <c r="F1558">
        <v>8224</v>
      </c>
      <c r="G1558" t="s">
        <v>443</v>
      </c>
      <c r="H1558" t="s">
        <v>38</v>
      </c>
      <c r="I1558">
        <v>480806</v>
      </c>
      <c r="J1558">
        <v>362416</v>
      </c>
      <c r="K1558">
        <v>118390</v>
      </c>
      <c r="L1558">
        <v>186300</v>
      </c>
      <c r="M1558">
        <v>139800</v>
      </c>
      <c r="N1558">
        <v>46500</v>
      </c>
    </row>
    <row r="1559" spans="1:14" ht="14.4">
      <c r="A1559">
        <v>13367</v>
      </c>
      <c r="B1559">
        <v>13368</v>
      </c>
      <c r="C1559">
        <v>4086</v>
      </c>
      <c r="D1559" t="s">
        <v>390</v>
      </c>
      <c r="E1559" t="s">
        <v>653</v>
      </c>
      <c r="F1559">
        <v>8742</v>
      </c>
      <c r="G1559" t="s">
        <v>402</v>
      </c>
      <c r="H1559" t="s">
        <v>38</v>
      </c>
      <c r="I1559">
        <v>100018</v>
      </c>
      <c r="J1559">
        <v>80768</v>
      </c>
      <c r="K1559">
        <v>19250</v>
      </c>
      <c r="L1559">
        <v>0</v>
      </c>
      <c r="M1559">
        <v>0</v>
      </c>
      <c r="N1559">
        <v>0</v>
      </c>
    </row>
    <row r="1560" spans="1:14" ht="14.4">
      <c r="A1560">
        <v>13367</v>
      </c>
      <c r="B1560">
        <v>13368</v>
      </c>
      <c r="C1560">
        <v>4086</v>
      </c>
      <c r="D1560" t="s">
        <v>390</v>
      </c>
      <c r="E1560" t="s">
        <v>1614</v>
      </c>
      <c r="F1560">
        <v>7646</v>
      </c>
      <c r="G1560" t="s">
        <v>76</v>
      </c>
      <c r="H1560" t="s">
        <v>38</v>
      </c>
      <c r="I1560">
        <v>24240</v>
      </c>
      <c r="J1560">
        <v>17854</v>
      </c>
      <c r="K1560">
        <v>6386</v>
      </c>
      <c r="L1560">
        <v>16200</v>
      </c>
      <c r="M1560">
        <v>11400</v>
      </c>
      <c r="N1560">
        <v>4800</v>
      </c>
    </row>
    <row r="1561" spans="1:14" ht="14.4">
      <c r="A1561">
        <v>13367</v>
      </c>
      <c r="B1561">
        <v>13368</v>
      </c>
      <c r="C1561">
        <v>4086</v>
      </c>
      <c r="D1561" t="s">
        <v>390</v>
      </c>
      <c r="E1561" t="s">
        <v>1615</v>
      </c>
      <c r="F1561">
        <v>8345</v>
      </c>
      <c r="G1561" t="s">
        <v>452</v>
      </c>
      <c r="H1561" t="s">
        <v>38</v>
      </c>
      <c r="I1561">
        <v>100821</v>
      </c>
      <c r="J1561">
        <v>74511</v>
      </c>
      <c r="K1561">
        <v>26310</v>
      </c>
      <c r="L1561">
        <v>0</v>
      </c>
      <c r="M1561">
        <v>0</v>
      </c>
      <c r="N1561">
        <v>0</v>
      </c>
    </row>
    <row r="1562" spans="1:14" ht="14.4">
      <c r="A1562">
        <v>13367</v>
      </c>
      <c r="B1562">
        <v>13368</v>
      </c>
      <c r="C1562">
        <v>4086</v>
      </c>
      <c r="D1562" t="s">
        <v>390</v>
      </c>
      <c r="E1562" t="s">
        <v>1616</v>
      </c>
      <c r="F1562">
        <v>7974</v>
      </c>
      <c r="G1562" t="s">
        <v>435</v>
      </c>
      <c r="H1562" t="s">
        <v>38</v>
      </c>
      <c r="I1562">
        <v>15214</v>
      </c>
      <c r="J1562">
        <v>12439</v>
      </c>
      <c r="K1562">
        <v>2775</v>
      </c>
      <c r="L1562">
        <v>0</v>
      </c>
      <c r="M1562">
        <v>0</v>
      </c>
      <c r="N1562">
        <v>0</v>
      </c>
    </row>
    <row r="1563" spans="1:14" ht="14.4">
      <c r="A1563">
        <v>13367</v>
      </c>
      <c r="B1563">
        <v>13368</v>
      </c>
      <c r="C1563">
        <v>4086</v>
      </c>
      <c r="D1563" t="s">
        <v>390</v>
      </c>
      <c r="E1563" t="s">
        <v>1617</v>
      </c>
      <c r="F1563">
        <v>7976</v>
      </c>
      <c r="G1563" t="s">
        <v>441</v>
      </c>
      <c r="H1563" t="s">
        <v>38</v>
      </c>
      <c r="I1563">
        <v>172738</v>
      </c>
      <c r="J1563">
        <v>172188</v>
      </c>
      <c r="K1563">
        <v>550</v>
      </c>
      <c r="L1563">
        <v>0</v>
      </c>
      <c r="M1563">
        <v>0</v>
      </c>
      <c r="N1563">
        <v>0</v>
      </c>
    </row>
    <row r="1564" spans="1:14" ht="14.4">
      <c r="A1564">
        <v>13367</v>
      </c>
      <c r="B1564">
        <v>13368</v>
      </c>
      <c r="C1564">
        <v>4086</v>
      </c>
      <c r="D1564" t="s">
        <v>390</v>
      </c>
      <c r="E1564" t="s">
        <v>654</v>
      </c>
      <c r="F1564">
        <v>7102</v>
      </c>
      <c r="G1564" t="s">
        <v>428</v>
      </c>
      <c r="H1564" t="s">
        <v>38</v>
      </c>
      <c r="I1564">
        <v>7345</v>
      </c>
      <c r="J1564">
        <v>6845</v>
      </c>
      <c r="K1564">
        <v>500</v>
      </c>
      <c r="L1564">
        <v>3000</v>
      </c>
      <c r="M1564">
        <v>3000</v>
      </c>
      <c r="N1564">
        <v>0</v>
      </c>
    </row>
    <row r="1565" spans="1:14" ht="14.4">
      <c r="A1565">
        <v>13367</v>
      </c>
      <c r="B1565">
        <v>13368</v>
      </c>
      <c r="C1565">
        <v>4086</v>
      </c>
      <c r="D1565" t="s">
        <v>390</v>
      </c>
      <c r="E1565" t="s">
        <v>654</v>
      </c>
      <c r="F1565">
        <v>7103</v>
      </c>
      <c r="G1565" t="s">
        <v>428</v>
      </c>
      <c r="H1565" t="s">
        <v>38</v>
      </c>
      <c r="I1565">
        <v>211343</v>
      </c>
      <c r="J1565">
        <v>151373</v>
      </c>
      <c r="K1565">
        <v>59970</v>
      </c>
      <c r="L1565">
        <v>136400</v>
      </c>
      <c r="M1565">
        <v>95800</v>
      </c>
      <c r="N1565">
        <v>40600</v>
      </c>
    </row>
    <row r="1566" spans="1:14" ht="14.4">
      <c r="A1566">
        <v>13367</v>
      </c>
      <c r="B1566">
        <v>13368</v>
      </c>
      <c r="C1566">
        <v>4086</v>
      </c>
      <c r="D1566" t="s">
        <v>390</v>
      </c>
      <c r="E1566" t="s">
        <v>654</v>
      </c>
      <c r="F1566">
        <v>7104</v>
      </c>
      <c r="G1566" t="s">
        <v>428</v>
      </c>
      <c r="H1566" t="s">
        <v>38</v>
      </c>
      <c r="I1566">
        <v>216891</v>
      </c>
      <c r="J1566">
        <v>177896</v>
      </c>
      <c r="K1566">
        <v>38995</v>
      </c>
      <c r="L1566">
        <v>25400</v>
      </c>
      <c r="M1566">
        <v>17100</v>
      </c>
      <c r="N1566">
        <v>8300</v>
      </c>
    </row>
    <row r="1567" spans="1:14" ht="14.4">
      <c r="A1567">
        <v>13367</v>
      </c>
      <c r="B1567">
        <v>13368</v>
      </c>
      <c r="C1567">
        <v>4086</v>
      </c>
      <c r="D1567" t="s">
        <v>390</v>
      </c>
      <c r="E1567" t="s">
        <v>654</v>
      </c>
      <c r="F1567">
        <v>7105</v>
      </c>
      <c r="G1567" t="s">
        <v>428</v>
      </c>
      <c r="H1567" t="s">
        <v>38</v>
      </c>
      <c r="I1567">
        <v>1170564</v>
      </c>
      <c r="J1567">
        <v>660952</v>
      </c>
      <c r="K1567">
        <v>509612</v>
      </c>
      <c r="L1567">
        <v>216000</v>
      </c>
      <c r="M1567">
        <v>117000</v>
      </c>
      <c r="N1567">
        <v>99000</v>
      </c>
    </row>
    <row r="1568" spans="1:14" ht="14.4">
      <c r="A1568">
        <v>13367</v>
      </c>
      <c r="B1568">
        <v>13368</v>
      </c>
      <c r="C1568">
        <v>4086</v>
      </c>
      <c r="D1568" t="s">
        <v>390</v>
      </c>
      <c r="E1568" t="s">
        <v>654</v>
      </c>
      <c r="F1568">
        <v>7106</v>
      </c>
      <c r="G1568" t="s">
        <v>428</v>
      </c>
      <c r="H1568" t="s">
        <v>38</v>
      </c>
      <c r="I1568">
        <v>420103</v>
      </c>
      <c r="J1568">
        <v>355638</v>
      </c>
      <c r="K1568">
        <v>64465</v>
      </c>
      <c r="L1568">
        <v>85200</v>
      </c>
      <c r="M1568">
        <v>63100</v>
      </c>
      <c r="N1568">
        <v>22100</v>
      </c>
    </row>
    <row r="1569" spans="1:14" ht="14.4">
      <c r="A1569">
        <v>13367</v>
      </c>
      <c r="B1569">
        <v>13368</v>
      </c>
      <c r="C1569">
        <v>4086</v>
      </c>
      <c r="D1569" t="s">
        <v>390</v>
      </c>
      <c r="E1569" t="s">
        <v>654</v>
      </c>
      <c r="F1569">
        <v>7107</v>
      </c>
      <c r="G1569" t="s">
        <v>428</v>
      </c>
      <c r="H1569" t="s">
        <v>38</v>
      </c>
      <c r="I1569">
        <v>175220</v>
      </c>
      <c r="J1569">
        <v>147470</v>
      </c>
      <c r="K1569">
        <v>27750</v>
      </c>
      <c r="L1569">
        <v>78400</v>
      </c>
      <c r="M1569">
        <v>73500</v>
      </c>
      <c r="N1569">
        <v>4900</v>
      </c>
    </row>
    <row r="1570" spans="1:14" ht="14.4">
      <c r="A1570">
        <v>13367</v>
      </c>
      <c r="B1570">
        <v>13368</v>
      </c>
      <c r="C1570">
        <v>4086</v>
      </c>
      <c r="D1570" t="s">
        <v>390</v>
      </c>
      <c r="E1570" t="s">
        <v>654</v>
      </c>
      <c r="F1570">
        <v>7108</v>
      </c>
      <c r="G1570" t="s">
        <v>428</v>
      </c>
      <c r="H1570" t="s">
        <v>38</v>
      </c>
      <c r="I1570">
        <v>72807</v>
      </c>
      <c r="J1570">
        <v>57707</v>
      </c>
      <c r="K1570">
        <v>15100</v>
      </c>
      <c r="L1570">
        <v>18800</v>
      </c>
      <c r="M1570">
        <v>18800</v>
      </c>
      <c r="N1570">
        <v>0</v>
      </c>
    </row>
    <row r="1571" spans="1:14" ht="14.4">
      <c r="A1571">
        <v>13367</v>
      </c>
      <c r="B1571">
        <v>13368</v>
      </c>
      <c r="C1571">
        <v>4086</v>
      </c>
      <c r="D1571" t="s">
        <v>390</v>
      </c>
      <c r="E1571" t="s">
        <v>654</v>
      </c>
      <c r="F1571">
        <v>7112</v>
      </c>
      <c r="G1571" t="s">
        <v>428</v>
      </c>
      <c r="H1571" t="s">
        <v>38</v>
      </c>
      <c r="I1571">
        <v>421296</v>
      </c>
      <c r="J1571">
        <v>337831</v>
      </c>
      <c r="K1571">
        <v>83465</v>
      </c>
      <c r="L1571">
        <v>66400</v>
      </c>
      <c r="M1571">
        <v>54400</v>
      </c>
      <c r="N1571">
        <v>12000</v>
      </c>
    </row>
    <row r="1572" spans="1:14" ht="14.4">
      <c r="A1572">
        <v>13367</v>
      </c>
      <c r="B1572">
        <v>13368</v>
      </c>
      <c r="C1572">
        <v>4086</v>
      </c>
      <c r="D1572" t="s">
        <v>390</v>
      </c>
      <c r="E1572" t="s">
        <v>654</v>
      </c>
      <c r="F1572">
        <v>7114</v>
      </c>
      <c r="G1572" t="s">
        <v>428</v>
      </c>
      <c r="H1572" t="s">
        <v>38</v>
      </c>
      <c r="I1572">
        <v>2288</v>
      </c>
      <c r="J1572">
        <v>2288</v>
      </c>
      <c r="K1572">
        <v>0</v>
      </c>
      <c r="L1572">
        <v>0</v>
      </c>
      <c r="M1572">
        <v>0</v>
      </c>
      <c r="N1572">
        <v>0</v>
      </c>
    </row>
    <row r="1573" spans="1:14" ht="14.4">
      <c r="A1573">
        <v>13367</v>
      </c>
      <c r="B1573">
        <v>13368</v>
      </c>
      <c r="C1573">
        <v>4086</v>
      </c>
      <c r="D1573" t="s">
        <v>390</v>
      </c>
      <c r="E1573" t="s">
        <v>1618</v>
      </c>
      <c r="F1573">
        <v>7435</v>
      </c>
      <c r="G1573" t="s">
        <v>429</v>
      </c>
      <c r="H1573" t="s">
        <v>38</v>
      </c>
      <c r="I1573">
        <v>32120</v>
      </c>
      <c r="J1573">
        <v>32120</v>
      </c>
      <c r="K1573">
        <v>0</v>
      </c>
      <c r="L1573">
        <v>25000</v>
      </c>
      <c r="M1573">
        <v>25000</v>
      </c>
      <c r="N1573">
        <v>0</v>
      </c>
    </row>
    <row r="1574" spans="1:14" ht="14.4">
      <c r="A1574">
        <v>13367</v>
      </c>
      <c r="B1574">
        <v>13368</v>
      </c>
      <c r="C1574">
        <v>4086</v>
      </c>
      <c r="D1574" t="s">
        <v>390</v>
      </c>
      <c r="E1574" t="s">
        <v>655</v>
      </c>
      <c r="F1574">
        <v>8345</v>
      </c>
      <c r="G1574" t="s">
        <v>452</v>
      </c>
      <c r="H1574" t="s">
        <v>38</v>
      </c>
      <c r="I1574">
        <v>247662</v>
      </c>
      <c r="J1574">
        <v>221312</v>
      </c>
      <c r="K1574">
        <v>26350</v>
      </c>
      <c r="L1574">
        <v>92600</v>
      </c>
      <c r="M1574">
        <v>75600</v>
      </c>
      <c r="N1574">
        <v>17000</v>
      </c>
    </row>
    <row r="1575" spans="1:14" ht="14.4">
      <c r="A1575">
        <v>13367</v>
      </c>
      <c r="B1575">
        <v>13368</v>
      </c>
      <c r="C1575">
        <v>4086</v>
      </c>
      <c r="D1575" t="s">
        <v>390</v>
      </c>
      <c r="E1575" t="s">
        <v>1619</v>
      </c>
      <c r="F1575">
        <v>7106</v>
      </c>
      <c r="G1575" t="s">
        <v>428</v>
      </c>
      <c r="H1575" t="s">
        <v>38</v>
      </c>
      <c r="I1575">
        <v>3000</v>
      </c>
      <c r="J1575">
        <v>0</v>
      </c>
      <c r="K1575">
        <v>3000</v>
      </c>
      <c r="L1575">
        <v>3000</v>
      </c>
      <c r="M1575">
        <v>0</v>
      </c>
      <c r="N1575">
        <v>3000</v>
      </c>
    </row>
    <row r="1576" spans="1:14" ht="14.4">
      <c r="A1576">
        <v>13367</v>
      </c>
      <c r="B1576">
        <v>13368</v>
      </c>
      <c r="C1576">
        <v>4086</v>
      </c>
      <c r="D1576" t="s">
        <v>390</v>
      </c>
      <c r="E1576" t="s">
        <v>656</v>
      </c>
      <c r="F1576">
        <v>7860</v>
      </c>
      <c r="G1576" t="s">
        <v>462</v>
      </c>
      <c r="H1576" t="s">
        <v>38</v>
      </c>
      <c r="I1576">
        <v>159992</v>
      </c>
      <c r="J1576">
        <v>155942</v>
      </c>
      <c r="K1576">
        <v>4050</v>
      </c>
      <c r="L1576">
        <v>98600</v>
      </c>
      <c r="M1576">
        <v>94500</v>
      </c>
      <c r="N1576">
        <v>4100</v>
      </c>
    </row>
    <row r="1577" spans="1:14" ht="14.4">
      <c r="A1577">
        <v>13367</v>
      </c>
      <c r="B1577">
        <v>13368</v>
      </c>
      <c r="C1577">
        <v>4086</v>
      </c>
      <c r="D1577" t="s">
        <v>390</v>
      </c>
      <c r="E1577" t="s">
        <v>1620</v>
      </c>
      <c r="F1577">
        <v>8739</v>
      </c>
      <c r="G1577" t="s">
        <v>402</v>
      </c>
      <c r="H1577" t="s">
        <v>38</v>
      </c>
      <c r="I1577">
        <v>169285</v>
      </c>
      <c r="J1577">
        <v>117835</v>
      </c>
      <c r="K1577">
        <v>51450</v>
      </c>
      <c r="L1577">
        <v>0</v>
      </c>
      <c r="M1577">
        <v>0</v>
      </c>
      <c r="N1577">
        <v>0</v>
      </c>
    </row>
    <row r="1578" spans="1:14" ht="14.4">
      <c r="A1578">
        <v>13367</v>
      </c>
      <c r="B1578">
        <v>13368</v>
      </c>
      <c r="C1578">
        <v>4086</v>
      </c>
      <c r="D1578" t="s">
        <v>390</v>
      </c>
      <c r="E1578" t="s">
        <v>657</v>
      </c>
      <c r="F1578">
        <v>8739</v>
      </c>
      <c r="G1578" t="s">
        <v>402</v>
      </c>
      <c r="H1578" t="s">
        <v>38</v>
      </c>
      <c r="I1578">
        <v>355815</v>
      </c>
      <c r="J1578">
        <v>234540</v>
      </c>
      <c r="K1578">
        <v>121275</v>
      </c>
      <c r="L1578">
        <v>65800</v>
      </c>
      <c r="M1578">
        <v>25800</v>
      </c>
      <c r="N1578">
        <v>40000</v>
      </c>
    </row>
    <row r="1579" spans="1:14" ht="14.4">
      <c r="A1579">
        <v>13367</v>
      </c>
      <c r="B1579">
        <v>13368</v>
      </c>
      <c r="C1579">
        <v>4086</v>
      </c>
      <c r="D1579" t="s">
        <v>390</v>
      </c>
      <c r="E1579" t="s">
        <v>658</v>
      </c>
      <c r="F1579">
        <v>7936</v>
      </c>
      <c r="G1579" t="s">
        <v>402</v>
      </c>
      <c r="H1579" t="s">
        <v>38</v>
      </c>
      <c r="I1579">
        <v>73341</v>
      </c>
      <c r="J1579">
        <v>57241</v>
      </c>
      <c r="K1579">
        <v>16100</v>
      </c>
      <c r="L1579">
        <v>72700</v>
      </c>
      <c r="M1579">
        <v>56600</v>
      </c>
      <c r="N1579">
        <v>16100</v>
      </c>
    </row>
    <row r="1580" spans="1:14" ht="14.4">
      <c r="A1580">
        <v>13367</v>
      </c>
      <c r="B1580">
        <v>13368</v>
      </c>
      <c r="C1580">
        <v>4086</v>
      </c>
      <c r="D1580" t="s">
        <v>390</v>
      </c>
      <c r="E1580" t="s">
        <v>658</v>
      </c>
      <c r="F1580">
        <v>7939</v>
      </c>
      <c r="G1580" t="s">
        <v>402</v>
      </c>
      <c r="H1580" t="s">
        <v>38</v>
      </c>
      <c r="I1580">
        <v>217989</v>
      </c>
      <c r="J1580">
        <v>163734</v>
      </c>
      <c r="K1580">
        <v>54255</v>
      </c>
      <c r="L1580">
        <v>0</v>
      </c>
      <c r="M1580">
        <v>0</v>
      </c>
      <c r="N1580">
        <v>0</v>
      </c>
    </row>
    <row r="1581" spans="1:14" ht="14.4">
      <c r="A1581">
        <v>13367</v>
      </c>
      <c r="B1581">
        <v>13368</v>
      </c>
      <c r="C1581">
        <v>4086</v>
      </c>
      <c r="D1581" t="s">
        <v>390</v>
      </c>
      <c r="E1581" t="s">
        <v>658</v>
      </c>
      <c r="F1581">
        <v>7974</v>
      </c>
      <c r="G1581" t="s">
        <v>402</v>
      </c>
      <c r="H1581" t="s">
        <v>38</v>
      </c>
      <c r="I1581">
        <v>20075</v>
      </c>
      <c r="J1581">
        <v>0</v>
      </c>
      <c r="K1581">
        <v>20075</v>
      </c>
      <c r="L1581">
        <v>0</v>
      </c>
      <c r="M1581">
        <v>0</v>
      </c>
      <c r="N1581">
        <v>0</v>
      </c>
    </row>
    <row r="1582" spans="1:14" ht="14.4">
      <c r="A1582">
        <v>13367</v>
      </c>
      <c r="B1582">
        <v>13368</v>
      </c>
      <c r="C1582">
        <v>4086</v>
      </c>
      <c r="D1582" t="s">
        <v>390</v>
      </c>
      <c r="E1582" t="s">
        <v>658</v>
      </c>
      <c r="F1582">
        <v>8735</v>
      </c>
      <c r="G1582" t="s">
        <v>402</v>
      </c>
      <c r="H1582" t="s">
        <v>38</v>
      </c>
      <c r="I1582">
        <v>246377</v>
      </c>
      <c r="J1582">
        <v>187537</v>
      </c>
      <c r="K1582">
        <v>58840</v>
      </c>
      <c r="L1582">
        <v>111500</v>
      </c>
      <c r="M1582">
        <v>87300</v>
      </c>
      <c r="N1582">
        <v>24200</v>
      </c>
    </row>
    <row r="1583" spans="1:14" ht="14.4">
      <c r="A1583">
        <v>13367</v>
      </c>
      <c r="B1583">
        <v>13368</v>
      </c>
      <c r="C1583">
        <v>4086</v>
      </c>
      <c r="D1583" t="s">
        <v>390</v>
      </c>
      <c r="E1583" t="s">
        <v>658</v>
      </c>
      <c r="F1583">
        <v>8738</v>
      </c>
      <c r="G1583" t="s">
        <v>402</v>
      </c>
      <c r="H1583" t="s">
        <v>38</v>
      </c>
      <c r="I1583">
        <v>301722</v>
      </c>
      <c r="J1583">
        <v>211657</v>
      </c>
      <c r="K1583">
        <v>90065</v>
      </c>
      <c r="L1583">
        <v>122100</v>
      </c>
      <c r="M1583">
        <v>89100</v>
      </c>
      <c r="N1583">
        <v>33000</v>
      </c>
    </row>
    <row r="1584" spans="1:14" ht="14.4">
      <c r="A1584">
        <v>13367</v>
      </c>
      <c r="B1584">
        <v>13368</v>
      </c>
      <c r="C1584">
        <v>4086</v>
      </c>
      <c r="D1584" t="s">
        <v>390</v>
      </c>
      <c r="E1584" t="s">
        <v>658</v>
      </c>
      <c r="F1584">
        <v>8739</v>
      </c>
      <c r="G1584" t="s">
        <v>402</v>
      </c>
      <c r="H1584" t="s">
        <v>38</v>
      </c>
      <c r="I1584">
        <v>12130061</v>
      </c>
      <c r="J1584">
        <v>9079158</v>
      </c>
      <c r="K1584">
        <v>3050903</v>
      </c>
      <c r="L1584">
        <v>3313700</v>
      </c>
      <c r="M1584">
        <v>2313100</v>
      </c>
      <c r="N1584">
        <v>1000600</v>
      </c>
    </row>
    <row r="1585" spans="1:14" ht="14.4">
      <c r="A1585">
        <v>13367</v>
      </c>
      <c r="B1585">
        <v>13368</v>
      </c>
      <c r="C1585">
        <v>4086</v>
      </c>
      <c r="D1585" t="s">
        <v>390</v>
      </c>
      <c r="E1585" t="s">
        <v>1621</v>
      </c>
      <c r="F1585">
        <v>8735</v>
      </c>
      <c r="G1585" t="s">
        <v>402</v>
      </c>
      <c r="H1585" t="s">
        <v>38</v>
      </c>
      <c r="I1585">
        <v>153426</v>
      </c>
      <c r="J1585">
        <v>118806</v>
      </c>
      <c r="K1585">
        <v>34620</v>
      </c>
      <c r="L1585">
        <v>0</v>
      </c>
      <c r="M1585">
        <v>0</v>
      </c>
      <c r="N1585">
        <v>0</v>
      </c>
    </row>
    <row r="1586" spans="1:14" ht="14.4">
      <c r="A1586">
        <v>13367</v>
      </c>
      <c r="B1586">
        <v>13368</v>
      </c>
      <c r="C1586">
        <v>4086</v>
      </c>
      <c r="D1586" t="s">
        <v>390</v>
      </c>
      <c r="E1586" t="s">
        <v>659</v>
      </c>
      <c r="F1586">
        <v>7031</v>
      </c>
      <c r="G1586" t="s">
        <v>76</v>
      </c>
      <c r="H1586" t="s">
        <v>38</v>
      </c>
      <c r="I1586">
        <v>76567</v>
      </c>
      <c r="J1586">
        <v>46692</v>
      </c>
      <c r="K1586">
        <v>29875</v>
      </c>
      <c r="L1586">
        <v>28600</v>
      </c>
      <c r="M1586">
        <v>28400</v>
      </c>
      <c r="N1586">
        <v>200</v>
      </c>
    </row>
    <row r="1587" spans="1:14" ht="14.4">
      <c r="A1587">
        <v>13367</v>
      </c>
      <c r="B1587">
        <v>13368</v>
      </c>
      <c r="C1587">
        <v>4086</v>
      </c>
      <c r="D1587" t="s">
        <v>390</v>
      </c>
      <c r="E1587" t="s">
        <v>660</v>
      </c>
      <c r="F1587">
        <v>8008</v>
      </c>
      <c r="G1587" t="s">
        <v>402</v>
      </c>
      <c r="H1587" t="s">
        <v>38</v>
      </c>
      <c r="I1587">
        <v>403560</v>
      </c>
      <c r="J1587">
        <v>297672</v>
      </c>
      <c r="K1587">
        <v>105888</v>
      </c>
      <c r="L1587">
        <v>67800</v>
      </c>
      <c r="M1587">
        <v>54300</v>
      </c>
      <c r="N1587">
        <v>13500</v>
      </c>
    </row>
    <row r="1588" spans="1:14" ht="14.4">
      <c r="A1588">
        <v>13367</v>
      </c>
      <c r="B1588">
        <v>13368</v>
      </c>
      <c r="C1588">
        <v>4086</v>
      </c>
      <c r="D1588" t="s">
        <v>390</v>
      </c>
      <c r="E1588" t="s">
        <v>661</v>
      </c>
      <c r="F1588">
        <v>8008</v>
      </c>
      <c r="G1588" t="s">
        <v>402</v>
      </c>
      <c r="H1588" t="s">
        <v>38</v>
      </c>
      <c r="I1588">
        <v>181964</v>
      </c>
      <c r="J1588">
        <v>104253</v>
      </c>
      <c r="K1588">
        <v>77711</v>
      </c>
      <c r="L1588">
        <v>142900</v>
      </c>
      <c r="M1588">
        <v>92500</v>
      </c>
      <c r="N1588">
        <v>50400</v>
      </c>
    </row>
    <row r="1589" spans="1:14" ht="14.4">
      <c r="A1589">
        <v>13367</v>
      </c>
      <c r="B1589">
        <v>13368</v>
      </c>
      <c r="C1589">
        <v>4086</v>
      </c>
      <c r="D1589" t="s">
        <v>390</v>
      </c>
      <c r="E1589" t="s">
        <v>662</v>
      </c>
      <c r="F1589">
        <v>7047</v>
      </c>
      <c r="G1589" t="s">
        <v>37</v>
      </c>
      <c r="H1589" t="s">
        <v>38</v>
      </c>
      <c r="I1589">
        <v>318156</v>
      </c>
      <c r="J1589">
        <v>198694</v>
      </c>
      <c r="K1589">
        <v>119462</v>
      </c>
      <c r="L1589">
        <v>94000</v>
      </c>
      <c r="M1589">
        <v>52900</v>
      </c>
      <c r="N1589">
        <v>41100</v>
      </c>
    </row>
    <row r="1590" spans="1:14" ht="14.4">
      <c r="A1590">
        <v>13367</v>
      </c>
      <c r="B1590">
        <v>13368</v>
      </c>
      <c r="C1590">
        <v>4086</v>
      </c>
      <c r="D1590" t="s">
        <v>390</v>
      </c>
      <c r="E1590" t="s">
        <v>663</v>
      </c>
      <c r="F1590">
        <v>8902</v>
      </c>
      <c r="G1590" t="s">
        <v>406</v>
      </c>
      <c r="H1590" t="s">
        <v>38</v>
      </c>
      <c r="I1590">
        <v>354258</v>
      </c>
      <c r="J1590">
        <v>313583</v>
      </c>
      <c r="K1590">
        <v>40675</v>
      </c>
      <c r="L1590">
        <v>149300</v>
      </c>
      <c r="M1590">
        <v>111700</v>
      </c>
      <c r="N1590">
        <v>37600</v>
      </c>
    </row>
    <row r="1591" spans="1:14" ht="14.4">
      <c r="A1591">
        <v>13367</v>
      </c>
      <c r="B1591">
        <v>13368</v>
      </c>
      <c r="C1591">
        <v>4086</v>
      </c>
      <c r="D1591" t="s">
        <v>390</v>
      </c>
      <c r="E1591" t="s">
        <v>664</v>
      </c>
      <c r="F1591">
        <v>8204</v>
      </c>
      <c r="G1591" t="s">
        <v>404</v>
      </c>
      <c r="H1591" t="s">
        <v>38</v>
      </c>
      <c r="I1591">
        <v>60885</v>
      </c>
      <c r="J1591">
        <v>57885</v>
      </c>
      <c r="K1591">
        <v>3000</v>
      </c>
      <c r="L1591">
        <v>50000</v>
      </c>
      <c r="M1591">
        <v>47000</v>
      </c>
      <c r="N1591">
        <v>3000</v>
      </c>
    </row>
    <row r="1592" spans="1:14" ht="14.4">
      <c r="A1592">
        <v>13367</v>
      </c>
      <c r="B1592">
        <v>13368</v>
      </c>
      <c r="C1592">
        <v>4086</v>
      </c>
      <c r="D1592" t="s">
        <v>390</v>
      </c>
      <c r="E1592" t="s">
        <v>665</v>
      </c>
      <c r="F1592">
        <v>7748</v>
      </c>
      <c r="G1592" t="s">
        <v>392</v>
      </c>
      <c r="H1592" t="s">
        <v>38</v>
      </c>
      <c r="I1592">
        <v>143614</v>
      </c>
      <c r="J1592">
        <v>123514</v>
      </c>
      <c r="K1592">
        <v>20100</v>
      </c>
      <c r="L1592">
        <v>45500</v>
      </c>
      <c r="M1592">
        <v>45500</v>
      </c>
      <c r="N1592">
        <v>0</v>
      </c>
    </row>
    <row r="1593" spans="1:14" ht="14.4">
      <c r="A1593">
        <v>13367</v>
      </c>
      <c r="B1593">
        <v>13368</v>
      </c>
      <c r="C1593">
        <v>4086</v>
      </c>
      <c r="D1593" t="s">
        <v>390</v>
      </c>
      <c r="E1593" t="s">
        <v>666</v>
      </c>
      <c r="F1593">
        <v>7060</v>
      </c>
      <c r="G1593" t="s">
        <v>413</v>
      </c>
      <c r="H1593" t="s">
        <v>38</v>
      </c>
      <c r="I1593">
        <v>123891</v>
      </c>
      <c r="J1593">
        <v>118301</v>
      </c>
      <c r="K1593">
        <v>5590</v>
      </c>
      <c r="L1593">
        <v>59200</v>
      </c>
      <c r="M1593">
        <v>56200</v>
      </c>
      <c r="N1593">
        <v>3000</v>
      </c>
    </row>
    <row r="1594" spans="1:14" ht="14.4">
      <c r="A1594">
        <v>13367</v>
      </c>
      <c r="B1594">
        <v>13368</v>
      </c>
      <c r="C1594">
        <v>4086</v>
      </c>
      <c r="D1594" t="s">
        <v>390</v>
      </c>
      <c r="E1594" t="s">
        <v>666</v>
      </c>
      <c r="F1594">
        <v>7062</v>
      </c>
      <c r="G1594" t="s">
        <v>413</v>
      </c>
      <c r="H1594" t="s">
        <v>38</v>
      </c>
      <c r="I1594">
        <v>64913</v>
      </c>
      <c r="J1594">
        <v>46828</v>
      </c>
      <c r="K1594">
        <v>18085</v>
      </c>
      <c r="L1594">
        <v>14300</v>
      </c>
      <c r="M1594">
        <v>3900</v>
      </c>
      <c r="N1594">
        <v>10400</v>
      </c>
    </row>
    <row r="1595" spans="1:14" ht="14.4">
      <c r="A1595">
        <v>13367</v>
      </c>
      <c r="B1595">
        <v>13368</v>
      </c>
      <c r="C1595">
        <v>4086</v>
      </c>
      <c r="D1595" t="s">
        <v>390</v>
      </c>
      <c r="E1595" t="s">
        <v>666</v>
      </c>
      <c r="F1595">
        <v>7063</v>
      </c>
      <c r="G1595" t="s">
        <v>413</v>
      </c>
      <c r="H1595" t="s">
        <v>38</v>
      </c>
      <c r="I1595">
        <v>21710</v>
      </c>
      <c r="J1595">
        <v>21310</v>
      </c>
      <c r="K1595">
        <v>400</v>
      </c>
      <c r="L1595">
        <v>14000</v>
      </c>
      <c r="M1595">
        <v>14000</v>
      </c>
      <c r="N1595">
        <v>0</v>
      </c>
    </row>
    <row r="1596" spans="1:14" ht="14.4">
      <c r="A1596">
        <v>13367</v>
      </c>
      <c r="B1596">
        <v>13368</v>
      </c>
      <c r="C1596">
        <v>4086</v>
      </c>
      <c r="D1596" t="s">
        <v>390</v>
      </c>
      <c r="E1596" t="s">
        <v>1622</v>
      </c>
      <c r="F1596">
        <v>7060</v>
      </c>
      <c r="G1596" t="s">
        <v>413</v>
      </c>
      <c r="H1596" t="s">
        <v>38</v>
      </c>
      <c r="I1596">
        <v>7015</v>
      </c>
      <c r="J1596">
        <v>7015</v>
      </c>
      <c r="K1596">
        <v>0</v>
      </c>
      <c r="L1596">
        <v>0</v>
      </c>
      <c r="M1596">
        <v>0</v>
      </c>
      <c r="N1596">
        <v>0</v>
      </c>
    </row>
    <row r="1597" spans="1:14" ht="14.4">
      <c r="A1597">
        <v>13367</v>
      </c>
      <c r="B1597">
        <v>13368</v>
      </c>
      <c r="C1597">
        <v>4086</v>
      </c>
      <c r="D1597" t="s">
        <v>390</v>
      </c>
      <c r="E1597" t="s">
        <v>667</v>
      </c>
      <c r="F1597">
        <v>8260</v>
      </c>
      <c r="G1597" t="s">
        <v>404</v>
      </c>
      <c r="H1597" t="s">
        <v>38</v>
      </c>
      <c r="I1597">
        <v>1347502</v>
      </c>
      <c r="J1597">
        <v>1068821</v>
      </c>
      <c r="K1597">
        <v>278681</v>
      </c>
      <c r="L1597">
        <v>494700</v>
      </c>
      <c r="M1597">
        <v>359700</v>
      </c>
      <c r="N1597">
        <v>135000</v>
      </c>
    </row>
    <row r="1598" spans="1:14" ht="14.4">
      <c r="A1598">
        <v>13367</v>
      </c>
      <c r="B1598">
        <v>13368</v>
      </c>
      <c r="C1598">
        <v>4086</v>
      </c>
      <c r="D1598" t="s">
        <v>390</v>
      </c>
      <c r="E1598" t="s">
        <v>668</v>
      </c>
      <c r="F1598">
        <v>8225</v>
      </c>
      <c r="G1598" t="s">
        <v>394</v>
      </c>
      <c r="H1598" t="s">
        <v>38</v>
      </c>
      <c r="I1598">
        <v>324024</v>
      </c>
      <c r="J1598">
        <v>224910</v>
      </c>
      <c r="K1598">
        <v>99114</v>
      </c>
      <c r="L1598">
        <v>209600</v>
      </c>
      <c r="M1598">
        <v>147100</v>
      </c>
      <c r="N1598">
        <v>62500</v>
      </c>
    </row>
    <row r="1599" spans="1:14" ht="14.4">
      <c r="A1599">
        <v>13367</v>
      </c>
      <c r="B1599">
        <v>13368</v>
      </c>
      <c r="C1599">
        <v>4086</v>
      </c>
      <c r="D1599" t="s">
        <v>390</v>
      </c>
      <c r="E1599" t="s">
        <v>669</v>
      </c>
      <c r="F1599">
        <v>7648</v>
      </c>
      <c r="G1599" t="s">
        <v>76</v>
      </c>
      <c r="H1599" t="s">
        <v>38</v>
      </c>
      <c r="I1599">
        <v>22115</v>
      </c>
      <c r="J1599">
        <v>21475</v>
      </c>
      <c r="K1599">
        <v>640</v>
      </c>
      <c r="L1599">
        <v>4800</v>
      </c>
      <c r="M1599">
        <v>4600</v>
      </c>
      <c r="N1599">
        <v>200</v>
      </c>
    </row>
    <row r="1600" spans="1:14" ht="14.4">
      <c r="A1600">
        <v>13367</v>
      </c>
      <c r="B1600">
        <v>13368</v>
      </c>
      <c r="C1600">
        <v>4086</v>
      </c>
      <c r="D1600" t="s">
        <v>390</v>
      </c>
      <c r="E1600" t="s">
        <v>670</v>
      </c>
      <c r="F1600">
        <v>7110</v>
      </c>
      <c r="G1600" t="s">
        <v>428</v>
      </c>
      <c r="H1600" t="s">
        <v>38</v>
      </c>
      <c r="I1600">
        <v>179203</v>
      </c>
      <c r="J1600">
        <v>137038</v>
      </c>
      <c r="K1600">
        <v>42165</v>
      </c>
      <c r="L1600">
        <v>55800</v>
      </c>
      <c r="M1600">
        <v>51600</v>
      </c>
      <c r="N1600">
        <v>4200</v>
      </c>
    </row>
    <row r="1601" spans="1:14" ht="14.4">
      <c r="A1601">
        <v>13367</v>
      </c>
      <c r="B1601">
        <v>13368</v>
      </c>
      <c r="C1601">
        <v>4086</v>
      </c>
      <c r="D1601" t="s">
        <v>390</v>
      </c>
      <c r="E1601" t="s">
        <v>671</v>
      </c>
      <c r="F1601">
        <v>7438</v>
      </c>
      <c r="G1601" t="s">
        <v>441</v>
      </c>
      <c r="H1601" t="s">
        <v>38</v>
      </c>
      <c r="I1601">
        <v>130768</v>
      </c>
      <c r="J1601">
        <v>118918</v>
      </c>
      <c r="K1601">
        <v>11850</v>
      </c>
      <c r="L1601">
        <v>81900</v>
      </c>
      <c r="M1601">
        <v>80100</v>
      </c>
      <c r="N1601">
        <v>1800</v>
      </c>
    </row>
    <row r="1602" spans="1:14" ht="14.4">
      <c r="A1602">
        <v>13367</v>
      </c>
      <c r="B1602">
        <v>13368</v>
      </c>
      <c r="C1602">
        <v>4086</v>
      </c>
      <c r="D1602" t="s">
        <v>390</v>
      </c>
      <c r="E1602" t="s">
        <v>671</v>
      </c>
      <c r="F1602">
        <v>7438</v>
      </c>
      <c r="G1602" t="s">
        <v>429</v>
      </c>
      <c r="H1602" t="s">
        <v>38</v>
      </c>
      <c r="I1602">
        <v>12156</v>
      </c>
      <c r="J1602">
        <v>12156</v>
      </c>
      <c r="K1602">
        <v>0</v>
      </c>
      <c r="L1602">
        <v>0</v>
      </c>
      <c r="M1602">
        <v>0</v>
      </c>
      <c r="N1602">
        <v>0</v>
      </c>
    </row>
    <row r="1603" spans="1:14" ht="14.4">
      <c r="A1603">
        <v>13367</v>
      </c>
      <c r="B1603">
        <v>13368</v>
      </c>
      <c r="C1603">
        <v>4086</v>
      </c>
      <c r="D1603" t="s">
        <v>390</v>
      </c>
      <c r="E1603" t="s">
        <v>672</v>
      </c>
      <c r="F1603">
        <v>7755</v>
      </c>
      <c r="G1603" t="s">
        <v>392</v>
      </c>
      <c r="H1603" t="s">
        <v>38</v>
      </c>
      <c r="I1603">
        <v>125259</v>
      </c>
      <c r="J1603">
        <v>122584</v>
      </c>
      <c r="K1603">
        <v>2675</v>
      </c>
      <c r="L1603">
        <v>47400</v>
      </c>
      <c r="M1603">
        <v>47400</v>
      </c>
      <c r="N1603">
        <v>0</v>
      </c>
    </row>
    <row r="1604" spans="1:14" ht="14.4">
      <c r="A1604">
        <v>13367</v>
      </c>
      <c r="B1604">
        <v>13368</v>
      </c>
      <c r="C1604">
        <v>4086</v>
      </c>
      <c r="D1604" t="s">
        <v>390</v>
      </c>
      <c r="E1604" t="s">
        <v>1623</v>
      </c>
      <c r="F1604">
        <v>7436</v>
      </c>
      <c r="G1604" t="s">
        <v>76</v>
      </c>
      <c r="H1604" t="s">
        <v>38</v>
      </c>
      <c r="I1604">
        <v>127605</v>
      </c>
      <c r="J1604">
        <v>116705</v>
      </c>
      <c r="K1604">
        <v>10900</v>
      </c>
      <c r="L1604">
        <v>75300</v>
      </c>
      <c r="M1604">
        <v>67000</v>
      </c>
      <c r="N1604">
        <v>8300</v>
      </c>
    </row>
    <row r="1605" spans="1:14" ht="14.4">
      <c r="A1605">
        <v>13367</v>
      </c>
      <c r="B1605">
        <v>13368</v>
      </c>
      <c r="C1605">
        <v>4086</v>
      </c>
      <c r="D1605" t="s">
        <v>390</v>
      </c>
      <c r="E1605" t="s">
        <v>1624</v>
      </c>
      <c r="F1605">
        <v>8107</v>
      </c>
      <c r="G1605" t="s">
        <v>465</v>
      </c>
      <c r="H1605" t="s">
        <v>38</v>
      </c>
      <c r="I1605">
        <v>17370</v>
      </c>
      <c r="J1605">
        <v>15045</v>
      </c>
      <c r="K1605">
        <v>2325</v>
      </c>
      <c r="L1605">
        <v>0</v>
      </c>
      <c r="M1605">
        <v>0</v>
      </c>
      <c r="N1605">
        <v>0</v>
      </c>
    </row>
    <row r="1606" spans="1:14" ht="14.4">
      <c r="A1606">
        <v>13367</v>
      </c>
      <c r="B1606">
        <v>13368</v>
      </c>
      <c r="C1606">
        <v>4086</v>
      </c>
      <c r="D1606" t="s">
        <v>390</v>
      </c>
      <c r="E1606" t="s">
        <v>1625</v>
      </c>
      <c r="F1606">
        <v>8751</v>
      </c>
      <c r="G1606" t="s">
        <v>402</v>
      </c>
      <c r="H1606" t="s">
        <v>38</v>
      </c>
      <c r="I1606">
        <v>195750</v>
      </c>
      <c r="J1606">
        <v>126050</v>
      </c>
      <c r="K1606">
        <v>69700</v>
      </c>
      <c r="L1606">
        <v>0</v>
      </c>
      <c r="M1606">
        <v>0</v>
      </c>
      <c r="N1606">
        <v>0</v>
      </c>
    </row>
    <row r="1607" spans="1:14" ht="14.4">
      <c r="A1607">
        <v>13367</v>
      </c>
      <c r="B1607">
        <v>13368</v>
      </c>
      <c r="C1607">
        <v>4086</v>
      </c>
      <c r="D1607" t="s">
        <v>390</v>
      </c>
      <c r="E1607" t="s">
        <v>1625</v>
      </c>
      <c r="F1607">
        <v>8753</v>
      </c>
      <c r="G1607" t="s">
        <v>402</v>
      </c>
      <c r="H1607" t="s">
        <v>38</v>
      </c>
      <c r="I1607">
        <v>78031</v>
      </c>
      <c r="J1607">
        <v>49031</v>
      </c>
      <c r="K1607">
        <v>29000</v>
      </c>
      <c r="L1607">
        <v>0</v>
      </c>
      <c r="M1607">
        <v>0</v>
      </c>
      <c r="N1607">
        <v>0</v>
      </c>
    </row>
    <row r="1608" spans="1:14" ht="14.4">
      <c r="A1608">
        <v>13367</v>
      </c>
      <c r="B1608">
        <v>13368</v>
      </c>
      <c r="C1608">
        <v>4086</v>
      </c>
      <c r="D1608" t="s">
        <v>390</v>
      </c>
      <c r="E1608" t="s">
        <v>402</v>
      </c>
      <c r="F1608">
        <v>7712</v>
      </c>
      <c r="G1608" t="s">
        <v>392</v>
      </c>
      <c r="H1608" t="s">
        <v>38</v>
      </c>
      <c r="I1608">
        <v>477547</v>
      </c>
      <c r="J1608">
        <v>414859</v>
      </c>
      <c r="K1608">
        <v>62688</v>
      </c>
      <c r="L1608">
        <v>246600</v>
      </c>
      <c r="M1608">
        <v>198500</v>
      </c>
      <c r="N1608">
        <v>48100</v>
      </c>
    </row>
    <row r="1609" spans="1:14" ht="14.4">
      <c r="A1609">
        <v>13367</v>
      </c>
      <c r="B1609">
        <v>13368</v>
      </c>
      <c r="C1609">
        <v>4086</v>
      </c>
      <c r="D1609" t="s">
        <v>390</v>
      </c>
      <c r="E1609" t="s">
        <v>402</v>
      </c>
      <c r="F1609">
        <v>8226</v>
      </c>
      <c r="G1609" t="s">
        <v>404</v>
      </c>
      <c r="H1609" t="s">
        <v>38</v>
      </c>
      <c r="I1609">
        <v>18825</v>
      </c>
      <c r="J1609">
        <v>0</v>
      </c>
      <c r="K1609">
        <v>18825</v>
      </c>
      <c r="L1609">
        <v>0</v>
      </c>
      <c r="M1609">
        <v>0</v>
      </c>
      <c r="N1609">
        <v>0</v>
      </c>
    </row>
    <row r="1610" spans="1:14" ht="14.4">
      <c r="A1610">
        <v>13367</v>
      </c>
      <c r="B1610">
        <v>13368</v>
      </c>
      <c r="C1610">
        <v>4086</v>
      </c>
      <c r="D1610" t="s">
        <v>390</v>
      </c>
      <c r="E1610" t="s">
        <v>1626</v>
      </c>
      <c r="F1610">
        <v>8226</v>
      </c>
      <c r="G1610" t="s">
        <v>404</v>
      </c>
      <c r="H1610" t="s">
        <v>38</v>
      </c>
      <c r="I1610">
        <v>12750</v>
      </c>
      <c r="J1610">
        <v>0</v>
      </c>
      <c r="K1610">
        <v>12750</v>
      </c>
      <c r="L1610">
        <v>0</v>
      </c>
      <c r="M1610">
        <v>0</v>
      </c>
      <c r="N1610">
        <v>0</v>
      </c>
    </row>
    <row r="1611" spans="1:14" ht="14.4">
      <c r="A1611">
        <v>13367</v>
      </c>
      <c r="B1611">
        <v>13368</v>
      </c>
      <c r="C1611">
        <v>4086</v>
      </c>
      <c r="D1611" t="s">
        <v>390</v>
      </c>
      <c r="E1611" t="s">
        <v>264</v>
      </c>
      <c r="F1611">
        <v>8735</v>
      </c>
      <c r="G1611" t="s">
        <v>402</v>
      </c>
      <c r="H1611" t="s">
        <v>38</v>
      </c>
      <c r="I1611">
        <v>260145</v>
      </c>
      <c r="J1611">
        <v>175895</v>
      </c>
      <c r="K1611">
        <v>84250</v>
      </c>
      <c r="L1611">
        <v>42700</v>
      </c>
      <c r="M1611">
        <v>18800</v>
      </c>
      <c r="N1611">
        <v>23900</v>
      </c>
    </row>
    <row r="1612" spans="1:14" ht="14.4">
      <c r="A1612">
        <v>13367</v>
      </c>
      <c r="B1612">
        <v>13368</v>
      </c>
      <c r="C1612">
        <v>4086</v>
      </c>
      <c r="D1612" t="s">
        <v>390</v>
      </c>
      <c r="E1612" t="s">
        <v>673</v>
      </c>
      <c r="F1612">
        <v>8226</v>
      </c>
      <c r="G1612" t="s">
        <v>404</v>
      </c>
      <c r="H1612" t="s">
        <v>38</v>
      </c>
      <c r="I1612">
        <v>20616568</v>
      </c>
      <c r="J1612">
        <v>15234463</v>
      </c>
      <c r="K1612">
        <v>5382105</v>
      </c>
      <c r="L1612">
        <v>8983900</v>
      </c>
      <c r="M1612">
        <v>6376600</v>
      </c>
      <c r="N1612">
        <v>2571500</v>
      </c>
    </row>
    <row r="1613" spans="1:14" ht="14.4">
      <c r="A1613">
        <v>13367</v>
      </c>
      <c r="B1613">
        <v>13368</v>
      </c>
      <c r="C1613">
        <v>4086</v>
      </c>
      <c r="D1613" t="s">
        <v>390</v>
      </c>
      <c r="E1613" t="s">
        <v>673</v>
      </c>
      <c r="F1613">
        <v>9226</v>
      </c>
      <c r="G1613" t="s">
        <v>404</v>
      </c>
      <c r="H1613" t="s">
        <v>38</v>
      </c>
      <c r="I1613">
        <v>11000</v>
      </c>
      <c r="J1613">
        <v>0</v>
      </c>
      <c r="K1613">
        <v>11000</v>
      </c>
      <c r="L1613">
        <v>0</v>
      </c>
      <c r="M1613">
        <v>0</v>
      </c>
      <c r="N1613">
        <v>0</v>
      </c>
    </row>
    <row r="1614" spans="1:14" ht="14.4">
      <c r="A1614">
        <v>13367</v>
      </c>
      <c r="B1614">
        <v>13368</v>
      </c>
      <c r="C1614">
        <v>4086</v>
      </c>
      <c r="D1614" t="s">
        <v>390</v>
      </c>
      <c r="E1614" t="s">
        <v>674</v>
      </c>
      <c r="F1614">
        <v>8740</v>
      </c>
      <c r="G1614" t="s">
        <v>402</v>
      </c>
      <c r="H1614" t="s">
        <v>38</v>
      </c>
      <c r="I1614">
        <v>10038090</v>
      </c>
      <c r="J1614">
        <v>7112860</v>
      </c>
      <c r="K1614">
        <v>2925230</v>
      </c>
      <c r="L1614">
        <v>4018600</v>
      </c>
      <c r="M1614">
        <v>2628700</v>
      </c>
      <c r="N1614">
        <v>1389900</v>
      </c>
    </row>
    <row r="1615" spans="1:14" ht="14.4">
      <c r="A1615">
        <v>13367</v>
      </c>
      <c r="B1615">
        <v>13368</v>
      </c>
      <c r="C1615">
        <v>4086</v>
      </c>
      <c r="D1615" t="s">
        <v>390</v>
      </c>
      <c r="E1615" t="s">
        <v>674</v>
      </c>
      <c r="F1615">
        <v>8879</v>
      </c>
      <c r="G1615" t="s">
        <v>402</v>
      </c>
      <c r="H1615" t="s">
        <v>38</v>
      </c>
      <c r="I1615">
        <v>127901</v>
      </c>
      <c r="J1615">
        <v>85501</v>
      </c>
      <c r="K1615">
        <v>42400</v>
      </c>
      <c r="L1615">
        <v>62300</v>
      </c>
      <c r="M1615">
        <v>22300</v>
      </c>
      <c r="N1615">
        <v>40000</v>
      </c>
    </row>
    <row r="1616" spans="1:14" ht="14.4">
      <c r="A1616">
        <v>13367</v>
      </c>
      <c r="B1616">
        <v>13368</v>
      </c>
      <c r="C1616">
        <v>4086</v>
      </c>
      <c r="D1616" t="s">
        <v>390</v>
      </c>
      <c r="E1616" t="s">
        <v>675</v>
      </c>
      <c r="F1616">
        <v>7752</v>
      </c>
      <c r="G1616" t="s">
        <v>392</v>
      </c>
      <c r="H1616" t="s">
        <v>38</v>
      </c>
      <c r="I1616">
        <v>1850</v>
      </c>
      <c r="J1616">
        <v>0</v>
      </c>
      <c r="K1616">
        <v>1850</v>
      </c>
      <c r="L1616">
        <v>0</v>
      </c>
      <c r="M1616">
        <v>0</v>
      </c>
      <c r="N1616">
        <v>0</v>
      </c>
    </row>
    <row r="1617" spans="1:14" ht="14.4">
      <c r="A1617">
        <v>13367</v>
      </c>
      <c r="B1617">
        <v>13368</v>
      </c>
      <c r="C1617">
        <v>4086</v>
      </c>
      <c r="D1617" t="s">
        <v>390</v>
      </c>
      <c r="E1617" t="s">
        <v>675</v>
      </c>
      <c r="F1617">
        <v>7756</v>
      </c>
      <c r="G1617" t="s">
        <v>392</v>
      </c>
      <c r="H1617" t="s">
        <v>38</v>
      </c>
      <c r="I1617">
        <v>305161</v>
      </c>
      <c r="J1617">
        <v>209411</v>
      </c>
      <c r="K1617">
        <v>95750</v>
      </c>
      <c r="L1617">
        <v>96500</v>
      </c>
      <c r="M1617">
        <v>49700</v>
      </c>
      <c r="N1617">
        <v>46800</v>
      </c>
    </row>
    <row r="1618" spans="1:14" ht="14.4">
      <c r="A1618">
        <v>13367</v>
      </c>
      <c r="B1618">
        <v>13368</v>
      </c>
      <c r="C1618">
        <v>4086</v>
      </c>
      <c r="D1618" t="s">
        <v>390</v>
      </c>
      <c r="E1618" t="s">
        <v>1627</v>
      </c>
      <c r="F1618">
        <v>7757</v>
      </c>
      <c r="G1618" t="s">
        <v>392</v>
      </c>
      <c r="H1618" t="s">
        <v>38</v>
      </c>
      <c r="I1618">
        <v>441229</v>
      </c>
      <c r="J1618">
        <v>375529</v>
      </c>
      <c r="K1618">
        <v>65700</v>
      </c>
      <c r="L1618">
        <v>240000</v>
      </c>
      <c r="M1618">
        <v>200000</v>
      </c>
      <c r="N1618">
        <v>40000</v>
      </c>
    </row>
    <row r="1619" spans="1:14" ht="14.4">
      <c r="A1619">
        <v>13367</v>
      </c>
      <c r="B1619">
        <v>13368</v>
      </c>
      <c r="C1619">
        <v>4086</v>
      </c>
      <c r="D1619" t="s">
        <v>390</v>
      </c>
      <c r="E1619" t="s">
        <v>1628</v>
      </c>
      <c r="F1619">
        <v>7712</v>
      </c>
      <c r="G1619" t="s">
        <v>392</v>
      </c>
      <c r="H1619" t="s">
        <v>38</v>
      </c>
      <c r="I1619">
        <v>45484</v>
      </c>
      <c r="J1619">
        <v>45484</v>
      </c>
      <c r="K1619">
        <v>0</v>
      </c>
      <c r="L1619">
        <v>14000</v>
      </c>
      <c r="M1619">
        <v>14000</v>
      </c>
      <c r="N1619">
        <v>0</v>
      </c>
    </row>
    <row r="1620" spans="1:14" ht="14.4">
      <c r="A1620">
        <v>13367</v>
      </c>
      <c r="B1620">
        <v>13368</v>
      </c>
      <c r="C1620">
        <v>4086</v>
      </c>
      <c r="D1620" t="s">
        <v>390</v>
      </c>
      <c r="E1620" t="s">
        <v>676</v>
      </c>
      <c r="F1620">
        <v>8230</v>
      </c>
      <c r="G1620" t="s">
        <v>404</v>
      </c>
      <c r="H1620" t="s">
        <v>38</v>
      </c>
      <c r="I1620">
        <v>53338</v>
      </c>
      <c r="J1620">
        <v>53338</v>
      </c>
      <c r="K1620">
        <v>0</v>
      </c>
      <c r="L1620">
        <v>28100</v>
      </c>
      <c r="M1620">
        <v>28100</v>
      </c>
      <c r="N1620">
        <v>0</v>
      </c>
    </row>
    <row r="1621" spans="1:14" ht="14.4">
      <c r="A1621">
        <v>13367</v>
      </c>
      <c r="B1621">
        <v>13368</v>
      </c>
      <c r="C1621">
        <v>4086</v>
      </c>
      <c r="D1621" t="s">
        <v>390</v>
      </c>
      <c r="E1621" t="s">
        <v>1629</v>
      </c>
      <c r="F1621">
        <v>8740</v>
      </c>
      <c r="G1621" t="s">
        <v>402</v>
      </c>
      <c r="H1621" t="s">
        <v>38</v>
      </c>
      <c r="I1621">
        <v>19905</v>
      </c>
      <c r="J1621">
        <v>0</v>
      </c>
      <c r="K1621">
        <v>19905</v>
      </c>
      <c r="L1621">
        <v>0</v>
      </c>
      <c r="M1621">
        <v>0</v>
      </c>
      <c r="N1621">
        <v>0</v>
      </c>
    </row>
    <row r="1622" spans="1:14" ht="14.4">
      <c r="A1622">
        <v>13367</v>
      </c>
      <c r="B1622">
        <v>13368</v>
      </c>
      <c r="C1622">
        <v>4086</v>
      </c>
      <c r="D1622" t="s">
        <v>390</v>
      </c>
      <c r="E1622" t="s">
        <v>677</v>
      </c>
      <c r="F1622">
        <v>7757</v>
      </c>
      <c r="G1622" t="s">
        <v>392</v>
      </c>
      <c r="H1622" t="s">
        <v>38</v>
      </c>
      <c r="I1622">
        <v>32968724</v>
      </c>
      <c r="J1622">
        <v>24073834</v>
      </c>
      <c r="K1622">
        <v>8894890</v>
      </c>
      <c r="L1622">
        <v>15982900</v>
      </c>
      <c r="M1622">
        <v>11614400</v>
      </c>
      <c r="N1622">
        <v>4368500</v>
      </c>
    </row>
    <row r="1623" spans="1:14" ht="14.4">
      <c r="A1623">
        <v>13367</v>
      </c>
      <c r="B1623">
        <v>13368</v>
      </c>
      <c r="C1623">
        <v>4086</v>
      </c>
      <c r="D1623" t="s">
        <v>390</v>
      </c>
      <c r="E1623" t="s">
        <v>678</v>
      </c>
      <c r="F1623">
        <v>7747</v>
      </c>
      <c r="G1623" t="s">
        <v>406</v>
      </c>
      <c r="H1623" t="s">
        <v>38</v>
      </c>
      <c r="I1623">
        <v>30055</v>
      </c>
      <c r="J1623">
        <v>16055</v>
      </c>
      <c r="K1623">
        <v>14000</v>
      </c>
      <c r="L1623">
        <v>0</v>
      </c>
      <c r="M1623">
        <v>0</v>
      </c>
      <c r="N1623">
        <v>0</v>
      </c>
    </row>
    <row r="1624" spans="1:14" ht="14.4">
      <c r="A1624">
        <v>13367</v>
      </c>
      <c r="B1624">
        <v>13368</v>
      </c>
      <c r="C1624">
        <v>4086</v>
      </c>
      <c r="D1624" t="s">
        <v>390</v>
      </c>
      <c r="E1624" t="s">
        <v>678</v>
      </c>
      <c r="F1624">
        <v>8857</v>
      </c>
      <c r="G1624" t="s">
        <v>406</v>
      </c>
      <c r="H1624" t="s">
        <v>38</v>
      </c>
      <c r="I1624">
        <v>1189962</v>
      </c>
      <c r="J1624">
        <v>957160</v>
      </c>
      <c r="K1624">
        <v>232802</v>
      </c>
      <c r="L1624">
        <v>496000</v>
      </c>
      <c r="M1624">
        <v>377100</v>
      </c>
      <c r="N1624">
        <v>118900</v>
      </c>
    </row>
    <row r="1625" spans="1:14" ht="14.4">
      <c r="A1625">
        <v>13367</v>
      </c>
      <c r="B1625">
        <v>13368</v>
      </c>
      <c r="C1625">
        <v>4086</v>
      </c>
      <c r="D1625" t="s">
        <v>390</v>
      </c>
      <c r="E1625" t="s">
        <v>1630</v>
      </c>
      <c r="F1625">
        <v>7675</v>
      </c>
      <c r="G1625" t="s">
        <v>76</v>
      </c>
      <c r="H1625" t="s">
        <v>38</v>
      </c>
      <c r="I1625">
        <v>32031</v>
      </c>
      <c r="J1625">
        <v>32031</v>
      </c>
      <c r="K1625">
        <v>0</v>
      </c>
      <c r="L1625">
        <v>29100</v>
      </c>
      <c r="M1625">
        <v>29100</v>
      </c>
      <c r="N1625">
        <v>0</v>
      </c>
    </row>
    <row r="1626" spans="1:14" ht="14.4">
      <c r="A1626">
        <v>13367</v>
      </c>
      <c r="B1626">
        <v>13368</v>
      </c>
      <c r="C1626">
        <v>4086</v>
      </c>
      <c r="D1626" t="s">
        <v>390</v>
      </c>
      <c r="E1626" t="s">
        <v>1631</v>
      </c>
      <c r="F1626">
        <v>7649</v>
      </c>
      <c r="G1626" t="s">
        <v>76</v>
      </c>
      <c r="H1626" t="s">
        <v>38</v>
      </c>
      <c r="I1626">
        <v>19145</v>
      </c>
      <c r="J1626">
        <v>18620</v>
      </c>
      <c r="K1626">
        <v>525</v>
      </c>
      <c r="L1626">
        <v>13900</v>
      </c>
      <c r="M1626">
        <v>13400</v>
      </c>
      <c r="N1626">
        <v>500</v>
      </c>
    </row>
    <row r="1627" spans="1:14" ht="14.4">
      <c r="A1627">
        <v>13367</v>
      </c>
      <c r="B1627">
        <v>13368</v>
      </c>
      <c r="C1627">
        <v>4086</v>
      </c>
      <c r="D1627" t="s">
        <v>390</v>
      </c>
      <c r="E1627" t="s">
        <v>51</v>
      </c>
      <c r="F1627">
        <v>7050</v>
      </c>
      <c r="G1627" t="s">
        <v>428</v>
      </c>
      <c r="H1627" t="s">
        <v>38</v>
      </c>
      <c r="I1627">
        <v>191619</v>
      </c>
      <c r="J1627">
        <v>156619</v>
      </c>
      <c r="K1627">
        <v>35000</v>
      </c>
      <c r="L1627">
        <v>81200</v>
      </c>
      <c r="M1627">
        <v>66700</v>
      </c>
      <c r="N1627">
        <v>14500</v>
      </c>
    </row>
    <row r="1628" spans="1:14" ht="14.4">
      <c r="A1628">
        <v>13367</v>
      </c>
      <c r="B1628">
        <v>13368</v>
      </c>
      <c r="C1628">
        <v>4086</v>
      </c>
      <c r="D1628" t="s">
        <v>390</v>
      </c>
      <c r="E1628" t="s">
        <v>1632</v>
      </c>
      <c r="F1628">
        <v>8751</v>
      </c>
      <c r="G1628" t="s">
        <v>402</v>
      </c>
      <c r="H1628" t="s">
        <v>38</v>
      </c>
      <c r="I1628">
        <v>123582</v>
      </c>
      <c r="J1628">
        <v>96982</v>
      </c>
      <c r="K1628">
        <v>26600</v>
      </c>
      <c r="L1628">
        <v>94700</v>
      </c>
      <c r="M1628">
        <v>68100</v>
      </c>
      <c r="N1628">
        <v>26600</v>
      </c>
    </row>
    <row r="1629" spans="1:14" ht="14.4">
      <c r="A1629">
        <v>13367</v>
      </c>
      <c r="B1629">
        <v>13368</v>
      </c>
      <c r="C1629">
        <v>4086</v>
      </c>
      <c r="D1629" t="s">
        <v>390</v>
      </c>
      <c r="E1629" t="s">
        <v>680</v>
      </c>
      <c r="F1629">
        <v>7083</v>
      </c>
      <c r="G1629" t="s">
        <v>402</v>
      </c>
      <c r="H1629" t="s">
        <v>38</v>
      </c>
      <c r="I1629">
        <v>98939</v>
      </c>
      <c r="J1629">
        <v>62014</v>
      </c>
      <c r="K1629">
        <v>36925</v>
      </c>
      <c r="L1629">
        <v>0</v>
      </c>
      <c r="M1629">
        <v>0</v>
      </c>
      <c r="N1629">
        <v>0</v>
      </c>
    </row>
    <row r="1630" spans="1:14" ht="14.4">
      <c r="A1630">
        <v>13367</v>
      </c>
      <c r="B1630">
        <v>13368</v>
      </c>
      <c r="C1630">
        <v>4086</v>
      </c>
      <c r="D1630" t="s">
        <v>390</v>
      </c>
      <c r="E1630" t="s">
        <v>680</v>
      </c>
      <c r="F1630">
        <v>8735</v>
      </c>
      <c r="G1630" t="s">
        <v>402</v>
      </c>
      <c r="H1630" t="s">
        <v>38</v>
      </c>
      <c r="I1630">
        <v>91328</v>
      </c>
      <c r="J1630">
        <v>47528</v>
      </c>
      <c r="K1630">
        <v>43800</v>
      </c>
      <c r="L1630">
        <v>0</v>
      </c>
      <c r="M1630">
        <v>0</v>
      </c>
      <c r="N1630">
        <v>0</v>
      </c>
    </row>
    <row r="1631" spans="1:14" ht="14.4">
      <c r="A1631">
        <v>13367</v>
      </c>
      <c r="B1631">
        <v>13368</v>
      </c>
      <c r="C1631">
        <v>4086</v>
      </c>
      <c r="D1631" t="s">
        <v>390</v>
      </c>
      <c r="E1631" t="s">
        <v>680</v>
      </c>
      <c r="F1631">
        <v>8751</v>
      </c>
      <c r="G1631" t="s">
        <v>76</v>
      </c>
      <c r="H1631" t="s">
        <v>38</v>
      </c>
      <c r="I1631">
        <v>88169</v>
      </c>
      <c r="J1631">
        <v>67769</v>
      </c>
      <c r="K1631">
        <v>20400</v>
      </c>
      <c r="L1631">
        <v>0</v>
      </c>
      <c r="M1631">
        <v>0</v>
      </c>
      <c r="N1631">
        <v>0</v>
      </c>
    </row>
    <row r="1632" spans="1:14" ht="14.4">
      <c r="A1632">
        <v>13367</v>
      </c>
      <c r="B1632">
        <v>13368</v>
      </c>
      <c r="C1632">
        <v>4086</v>
      </c>
      <c r="D1632" t="s">
        <v>390</v>
      </c>
      <c r="E1632" t="s">
        <v>680</v>
      </c>
      <c r="F1632">
        <v>8751</v>
      </c>
      <c r="G1632" t="s">
        <v>402</v>
      </c>
      <c r="H1632" t="s">
        <v>38</v>
      </c>
      <c r="I1632">
        <v>25178610</v>
      </c>
      <c r="J1632">
        <v>19107961</v>
      </c>
      <c r="K1632">
        <v>6070649</v>
      </c>
      <c r="L1632">
        <v>8944600</v>
      </c>
      <c r="M1632">
        <v>6409000</v>
      </c>
      <c r="N1632">
        <v>2535600</v>
      </c>
    </row>
    <row r="1633" spans="1:14" ht="14.4">
      <c r="A1633">
        <v>13367</v>
      </c>
      <c r="B1633">
        <v>13368</v>
      </c>
      <c r="C1633">
        <v>4086</v>
      </c>
      <c r="D1633" t="s">
        <v>390</v>
      </c>
      <c r="E1633" t="s">
        <v>680</v>
      </c>
      <c r="F1633">
        <v>8751</v>
      </c>
      <c r="G1633" t="s">
        <v>413</v>
      </c>
      <c r="H1633" t="s">
        <v>38</v>
      </c>
      <c r="I1633">
        <v>2660</v>
      </c>
      <c r="J1633">
        <v>0</v>
      </c>
      <c r="K1633">
        <v>2660</v>
      </c>
      <c r="L1633">
        <v>0</v>
      </c>
      <c r="M1633">
        <v>0</v>
      </c>
      <c r="N1633">
        <v>0</v>
      </c>
    </row>
    <row r="1634" spans="1:14" ht="14.4">
      <c r="A1634">
        <v>13367</v>
      </c>
      <c r="B1634">
        <v>13368</v>
      </c>
      <c r="C1634">
        <v>4086</v>
      </c>
      <c r="D1634" t="s">
        <v>390</v>
      </c>
      <c r="E1634" t="s">
        <v>680</v>
      </c>
      <c r="F1634">
        <v>8752</v>
      </c>
      <c r="G1634" t="s">
        <v>402</v>
      </c>
      <c r="H1634" t="s">
        <v>38</v>
      </c>
      <c r="I1634">
        <v>151322</v>
      </c>
      <c r="J1634">
        <v>91822</v>
      </c>
      <c r="K1634">
        <v>59500</v>
      </c>
      <c r="L1634">
        <v>0</v>
      </c>
      <c r="M1634">
        <v>0</v>
      </c>
      <c r="N1634">
        <v>0</v>
      </c>
    </row>
    <row r="1635" spans="1:14" ht="14.4">
      <c r="A1635">
        <v>13367</v>
      </c>
      <c r="B1635">
        <v>13368</v>
      </c>
      <c r="C1635">
        <v>4086</v>
      </c>
      <c r="D1635" t="s">
        <v>390</v>
      </c>
      <c r="E1635" t="s">
        <v>680</v>
      </c>
      <c r="F1635">
        <v>8753</v>
      </c>
      <c r="G1635" t="s">
        <v>402</v>
      </c>
      <c r="H1635" t="s">
        <v>38</v>
      </c>
      <c r="I1635">
        <v>580251</v>
      </c>
      <c r="J1635">
        <v>465601</v>
      </c>
      <c r="K1635">
        <v>114650</v>
      </c>
      <c r="L1635">
        <v>0</v>
      </c>
      <c r="M1635">
        <v>0</v>
      </c>
      <c r="N1635">
        <v>0</v>
      </c>
    </row>
    <row r="1636" spans="1:14" ht="14.4">
      <c r="A1636">
        <v>13367</v>
      </c>
      <c r="B1636">
        <v>13368</v>
      </c>
      <c r="C1636">
        <v>4086</v>
      </c>
      <c r="D1636" t="s">
        <v>390</v>
      </c>
      <c r="E1636" t="s">
        <v>680</v>
      </c>
      <c r="F1636">
        <v>8901</v>
      </c>
      <c r="G1636" t="s">
        <v>402</v>
      </c>
      <c r="H1636" t="s">
        <v>38</v>
      </c>
      <c r="I1636">
        <v>41825</v>
      </c>
      <c r="J1636">
        <v>17325</v>
      </c>
      <c r="K1636">
        <v>24500</v>
      </c>
      <c r="L1636">
        <v>0</v>
      </c>
      <c r="M1636">
        <v>0</v>
      </c>
      <c r="N1636">
        <v>0</v>
      </c>
    </row>
    <row r="1637" spans="1:14" ht="14.4">
      <c r="A1637">
        <v>13367</v>
      </c>
      <c r="B1637">
        <v>13368</v>
      </c>
      <c r="C1637">
        <v>4086</v>
      </c>
      <c r="D1637" t="s">
        <v>390</v>
      </c>
      <c r="E1637" t="s">
        <v>1633</v>
      </c>
      <c r="F1637">
        <v>8751</v>
      </c>
      <c r="G1637" t="s">
        <v>402</v>
      </c>
      <c r="H1637" t="s">
        <v>38</v>
      </c>
      <c r="I1637">
        <v>119693</v>
      </c>
      <c r="J1637">
        <v>78383</v>
      </c>
      <c r="K1637">
        <v>41310</v>
      </c>
      <c r="L1637">
        <v>0</v>
      </c>
      <c r="M1637">
        <v>0</v>
      </c>
      <c r="N1637">
        <v>0</v>
      </c>
    </row>
    <row r="1638" spans="1:14" ht="14.4">
      <c r="A1638">
        <v>13367</v>
      </c>
      <c r="B1638">
        <v>13368</v>
      </c>
      <c r="C1638">
        <v>4086</v>
      </c>
      <c r="D1638" t="s">
        <v>390</v>
      </c>
      <c r="E1638" t="s">
        <v>1634</v>
      </c>
      <c r="F1638">
        <v>8751</v>
      </c>
      <c r="G1638" t="s">
        <v>402</v>
      </c>
      <c r="H1638" t="s">
        <v>38</v>
      </c>
      <c r="I1638">
        <v>10766</v>
      </c>
      <c r="J1638">
        <v>2766</v>
      </c>
      <c r="K1638">
        <v>8000</v>
      </c>
      <c r="L1638">
        <v>8000</v>
      </c>
      <c r="M1638">
        <v>0</v>
      </c>
      <c r="N1638">
        <v>8000</v>
      </c>
    </row>
    <row r="1639" spans="1:14" ht="14.4">
      <c r="A1639">
        <v>13367</v>
      </c>
      <c r="B1639">
        <v>13368</v>
      </c>
      <c r="C1639">
        <v>4086</v>
      </c>
      <c r="D1639" t="s">
        <v>390</v>
      </c>
      <c r="E1639" t="s">
        <v>1635</v>
      </c>
      <c r="F1639">
        <v>8751</v>
      </c>
      <c r="G1639" t="s">
        <v>402</v>
      </c>
      <c r="H1639" t="s">
        <v>38</v>
      </c>
      <c r="I1639">
        <v>5650</v>
      </c>
      <c r="J1639">
        <v>0</v>
      </c>
      <c r="K1639">
        <v>5650</v>
      </c>
      <c r="L1639">
        <v>0</v>
      </c>
      <c r="M1639">
        <v>0</v>
      </c>
      <c r="N1639">
        <v>0</v>
      </c>
    </row>
    <row r="1640" spans="1:14" ht="14.4">
      <c r="A1640">
        <v>13367</v>
      </c>
      <c r="B1640">
        <v>13368</v>
      </c>
      <c r="C1640">
        <v>4086</v>
      </c>
      <c r="D1640" t="s">
        <v>390</v>
      </c>
      <c r="E1640" t="s">
        <v>1636</v>
      </c>
      <c r="F1640">
        <v>7863</v>
      </c>
      <c r="G1640" t="s">
        <v>398</v>
      </c>
      <c r="H1640" t="s">
        <v>38</v>
      </c>
      <c r="I1640">
        <v>305764</v>
      </c>
      <c r="J1640">
        <v>304464</v>
      </c>
      <c r="K1640">
        <v>1300</v>
      </c>
      <c r="L1640">
        <v>201300</v>
      </c>
      <c r="M1640">
        <v>200000</v>
      </c>
      <c r="N1640">
        <v>1300</v>
      </c>
    </row>
    <row r="1641" spans="1:14" ht="14.4">
      <c r="A1641">
        <v>13367</v>
      </c>
      <c r="B1641">
        <v>13368</v>
      </c>
      <c r="C1641">
        <v>4086</v>
      </c>
      <c r="D1641" t="s">
        <v>390</v>
      </c>
      <c r="E1641" t="s">
        <v>1637</v>
      </c>
      <c r="F1641">
        <v>7650</v>
      </c>
      <c r="G1641" t="s">
        <v>402</v>
      </c>
      <c r="H1641" t="s">
        <v>38</v>
      </c>
      <c r="I1641">
        <v>53779</v>
      </c>
      <c r="J1641">
        <v>42549</v>
      </c>
      <c r="K1641">
        <v>11230</v>
      </c>
      <c r="L1641">
        <v>0</v>
      </c>
      <c r="M1641">
        <v>0</v>
      </c>
      <c r="N1641">
        <v>0</v>
      </c>
    </row>
    <row r="1642" spans="1:14" ht="14.4">
      <c r="A1642">
        <v>13367</v>
      </c>
      <c r="B1642">
        <v>13368</v>
      </c>
      <c r="C1642">
        <v>4086</v>
      </c>
      <c r="D1642" t="s">
        <v>390</v>
      </c>
      <c r="E1642" t="s">
        <v>682</v>
      </c>
      <c r="F1642">
        <v>7652</v>
      </c>
      <c r="G1642" t="s">
        <v>76</v>
      </c>
      <c r="H1642" t="s">
        <v>38</v>
      </c>
      <c r="I1642">
        <v>66751</v>
      </c>
      <c r="J1642">
        <v>66251</v>
      </c>
      <c r="K1642">
        <v>500</v>
      </c>
      <c r="L1642">
        <v>46800</v>
      </c>
      <c r="M1642">
        <v>46300</v>
      </c>
      <c r="N1642">
        <v>500</v>
      </c>
    </row>
    <row r="1643" spans="1:14" ht="14.4">
      <c r="A1643">
        <v>13367</v>
      </c>
      <c r="B1643">
        <v>13368</v>
      </c>
      <c r="C1643">
        <v>4086</v>
      </c>
      <c r="D1643" t="s">
        <v>390</v>
      </c>
      <c r="E1643" t="s">
        <v>978</v>
      </c>
      <c r="F1643">
        <v>7656</v>
      </c>
      <c r="G1643" t="s">
        <v>76</v>
      </c>
      <c r="H1643" t="s">
        <v>38</v>
      </c>
      <c r="I1643">
        <v>158733</v>
      </c>
      <c r="J1643">
        <v>130568</v>
      </c>
      <c r="K1643">
        <v>28165</v>
      </c>
      <c r="L1643">
        <v>63400</v>
      </c>
      <c r="M1643">
        <v>38900</v>
      </c>
      <c r="N1643">
        <v>24500</v>
      </c>
    </row>
    <row r="1644" spans="1:14" ht="14.4">
      <c r="A1644">
        <v>13367</v>
      </c>
      <c r="B1644">
        <v>13368</v>
      </c>
      <c r="C1644">
        <v>4086</v>
      </c>
      <c r="D1644" t="s">
        <v>390</v>
      </c>
      <c r="E1644" t="s">
        <v>683</v>
      </c>
      <c r="F1644">
        <v>8859</v>
      </c>
      <c r="G1644" t="s">
        <v>406</v>
      </c>
      <c r="H1644" t="s">
        <v>38</v>
      </c>
      <c r="I1644">
        <v>240309</v>
      </c>
      <c r="J1644">
        <v>178943</v>
      </c>
      <c r="K1644">
        <v>61366</v>
      </c>
      <c r="L1644">
        <v>175800</v>
      </c>
      <c r="M1644">
        <v>146400</v>
      </c>
      <c r="N1644">
        <v>29400</v>
      </c>
    </row>
    <row r="1645" spans="1:14" ht="14.4">
      <c r="A1645">
        <v>13367</v>
      </c>
      <c r="B1645">
        <v>13368</v>
      </c>
      <c r="C1645">
        <v>4086</v>
      </c>
      <c r="D1645" t="s">
        <v>390</v>
      </c>
      <c r="E1645" t="s">
        <v>684</v>
      </c>
      <c r="F1645">
        <v>7054</v>
      </c>
      <c r="G1645" t="s">
        <v>441</v>
      </c>
      <c r="H1645" t="s">
        <v>38</v>
      </c>
      <c r="I1645">
        <v>45594</v>
      </c>
      <c r="J1645">
        <v>43719</v>
      </c>
      <c r="K1645">
        <v>1875</v>
      </c>
      <c r="L1645">
        <v>13900</v>
      </c>
      <c r="M1645">
        <v>12500</v>
      </c>
      <c r="N1645">
        <v>1400</v>
      </c>
    </row>
    <row r="1646" spans="1:14" ht="14.4">
      <c r="A1646">
        <v>13367</v>
      </c>
      <c r="B1646">
        <v>13368</v>
      </c>
      <c r="C1646">
        <v>4086</v>
      </c>
      <c r="D1646" t="s">
        <v>390</v>
      </c>
      <c r="E1646" t="s">
        <v>1638</v>
      </c>
      <c r="F1646">
        <v>7954</v>
      </c>
      <c r="G1646" t="s">
        <v>441</v>
      </c>
      <c r="H1646" t="s">
        <v>38</v>
      </c>
      <c r="I1646">
        <v>48877</v>
      </c>
      <c r="J1646">
        <v>36357</v>
      </c>
      <c r="K1646">
        <v>12520</v>
      </c>
      <c r="L1646">
        <v>0</v>
      </c>
      <c r="M1646">
        <v>0</v>
      </c>
      <c r="N1646">
        <v>0</v>
      </c>
    </row>
    <row r="1647" spans="1:14" ht="14.4">
      <c r="A1647">
        <v>13367</v>
      </c>
      <c r="B1647">
        <v>13368</v>
      </c>
      <c r="C1647">
        <v>4086</v>
      </c>
      <c r="D1647" t="s">
        <v>390</v>
      </c>
      <c r="E1647" t="s">
        <v>429</v>
      </c>
      <c r="F1647">
        <v>7055</v>
      </c>
      <c r="G1647" t="s">
        <v>429</v>
      </c>
      <c r="H1647" t="s">
        <v>38</v>
      </c>
      <c r="I1647">
        <v>213723</v>
      </c>
      <c r="J1647">
        <v>147648</v>
      </c>
      <c r="K1647">
        <v>66075</v>
      </c>
      <c r="L1647">
        <v>102100</v>
      </c>
      <c r="M1647">
        <v>87800</v>
      </c>
      <c r="N1647">
        <v>14300</v>
      </c>
    </row>
    <row r="1648" spans="1:14" ht="14.4">
      <c r="A1648">
        <v>13367</v>
      </c>
      <c r="B1648">
        <v>13368</v>
      </c>
      <c r="C1648">
        <v>4086</v>
      </c>
      <c r="D1648" t="s">
        <v>390</v>
      </c>
      <c r="E1648" t="s">
        <v>685</v>
      </c>
      <c r="F1648">
        <v>7501</v>
      </c>
      <c r="G1648" t="s">
        <v>429</v>
      </c>
      <c r="H1648" t="s">
        <v>38</v>
      </c>
      <c r="I1648">
        <v>79176</v>
      </c>
      <c r="J1648">
        <v>51426</v>
      </c>
      <c r="K1648">
        <v>27750</v>
      </c>
      <c r="L1648">
        <v>27600</v>
      </c>
      <c r="M1648">
        <v>19500</v>
      </c>
      <c r="N1648">
        <v>8100</v>
      </c>
    </row>
    <row r="1649" spans="1:14" ht="14.4">
      <c r="A1649">
        <v>13367</v>
      </c>
      <c r="B1649">
        <v>13368</v>
      </c>
      <c r="C1649">
        <v>4086</v>
      </c>
      <c r="D1649" t="s">
        <v>390</v>
      </c>
      <c r="E1649" t="s">
        <v>685</v>
      </c>
      <c r="F1649">
        <v>7502</v>
      </c>
      <c r="G1649" t="s">
        <v>429</v>
      </c>
      <c r="H1649" t="s">
        <v>38</v>
      </c>
      <c r="I1649">
        <v>91328</v>
      </c>
      <c r="J1649">
        <v>90828</v>
      </c>
      <c r="K1649">
        <v>500</v>
      </c>
      <c r="L1649">
        <v>32400</v>
      </c>
      <c r="M1649">
        <v>31900</v>
      </c>
      <c r="N1649">
        <v>500</v>
      </c>
    </row>
    <row r="1650" spans="1:14" ht="14.4">
      <c r="A1650">
        <v>13367</v>
      </c>
      <c r="B1650">
        <v>13368</v>
      </c>
      <c r="C1650">
        <v>4086</v>
      </c>
      <c r="D1650" t="s">
        <v>390</v>
      </c>
      <c r="E1650" t="s">
        <v>685</v>
      </c>
      <c r="F1650">
        <v>7503</v>
      </c>
      <c r="G1650" t="s">
        <v>429</v>
      </c>
      <c r="H1650" t="s">
        <v>38</v>
      </c>
      <c r="I1650">
        <v>4550</v>
      </c>
      <c r="J1650">
        <v>0</v>
      </c>
      <c r="K1650">
        <v>4550</v>
      </c>
      <c r="L1650">
        <v>0</v>
      </c>
      <c r="M1650">
        <v>0</v>
      </c>
      <c r="N1650">
        <v>0</v>
      </c>
    </row>
    <row r="1651" spans="1:14" ht="14.4">
      <c r="A1651">
        <v>13367</v>
      </c>
      <c r="B1651">
        <v>13368</v>
      </c>
      <c r="C1651">
        <v>4086</v>
      </c>
      <c r="D1651" t="s">
        <v>390</v>
      </c>
      <c r="E1651" t="s">
        <v>685</v>
      </c>
      <c r="F1651">
        <v>7513</v>
      </c>
      <c r="G1651" t="s">
        <v>429</v>
      </c>
      <c r="H1651" t="s">
        <v>38</v>
      </c>
      <c r="I1651">
        <v>58425</v>
      </c>
      <c r="J1651">
        <v>0</v>
      </c>
      <c r="K1651">
        <v>58425</v>
      </c>
      <c r="L1651">
        <v>14000</v>
      </c>
      <c r="M1651">
        <v>0</v>
      </c>
      <c r="N1651">
        <v>14000</v>
      </c>
    </row>
    <row r="1652" spans="1:14" ht="14.4">
      <c r="A1652">
        <v>13367</v>
      </c>
      <c r="B1652">
        <v>13368</v>
      </c>
      <c r="C1652">
        <v>4086</v>
      </c>
      <c r="D1652" t="s">
        <v>390</v>
      </c>
      <c r="E1652" t="s">
        <v>685</v>
      </c>
      <c r="F1652">
        <v>7514</v>
      </c>
      <c r="G1652" t="s">
        <v>429</v>
      </c>
      <c r="H1652" t="s">
        <v>38</v>
      </c>
      <c r="I1652">
        <v>16697</v>
      </c>
      <c r="J1652">
        <v>16697</v>
      </c>
      <c r="K1652">
        <v>0</v>
      </c>
      <c r="L1652">
        <v>14000</v>
      </c>
      <c r="M1652">
        <v>14000</v>
      </c>
      <c r="N1652">
        <v>0</v>
      </c>
    </row>
    <row r="1653" spans="1:14" ht="14.4">
      <c r="A1653">
        <v>13367</v>
      </c>
      <c r="B1653">
        <v>13368</v>
      </c>
      <c r="C1653">
        <v>4086</v>
      </c>
      <c r="D1653" t="s">
        <v>390</v>
      </c>
      <c r="E1653" t="s">
        <v>685</v>
      </c>
      <c r="F1653">
        <v>7522</v>
      </c>
      <c r="G1653" t="s">
        <v>37</v>
      </c>
      <c r="H1653" t="s">
        <v>38</v>
      </c>
      <c r="I1653">
        <v>4700</v>
      </c>
      <c r="J1653">
        <v>0</v>
      </c>
      <c r="K1653">
        <v>4700</v>
      </c>
      <c r="L1653">
        <v>0</v>
      </c>
      <c r="M1653">
        <v>0</v>
      </c>
      <c r="N1653">
        <v>0</v>
      </c>
    </row>
    <row r="1654" spans="1:14" ht="14.4">
      <c r="A1654">
        <v>13367</v>
      </c>
      <c r="B1654">
        <v>13368</v>
      </c>
      <c r="C1654">
        <v>4086</v>
      </c>
      <c r="D1654" t="s">
        <v>390</v>
      </c>
      <c r="E1654" t="s">
        <v>685</v>
      </c>
      <c r="F1654">
        <v>7522</v>
      </c>
      <c r="G1654" t="s">
        <v>429</v>
      </c>
      <c r="H1654" t="s">
        <v>38</v>
      </c>
      <c r="I1654">
        <v>109895</v>
      </c>
      <c r="J1654">
        <v>102275</v>
      </c>
      <c r="K1654">
        <v>7620</v>
      </c>
      <c r="L1654">
        <v>39000</v>
      </c>
      <c r="M1654">
        <v>39000</v>
      </c>
      <c r="N1654">
        <v>0</v>
      </c>
    </row>
    <row r="1655" spans="1:14" ht="14.4">
      <c r="A1655">
        <v>13367</v>
      </c>
      <c r="B1655">
        <v>13368</v>
      </c>
      <c r="C1655">
        <v>4086</v>
      </c>
      <c r="D1655" t="s">
        <v>390</v>
      </c>
      <c r="E1655" t="s">
        <v>685</v>
      </c>
      <c r="F1655">
        <v>7524</v>
      </c>
      <c r="G1655" t="s">
        <v>429</v>
      </c>
      <c r="H1655" t="s">
        <v>38</v>
      </c>
      <c r="I1655">
        <v>219150</v>
      </c>
      <c r="J1655">
        <v>179050</v>
      </c>
      <c r="K1655">
        <v>40100</v>
      </c>
      <c r="L1655">
        <v>12000</v>
      </c>
      <c r="M1655">
        <v>10200</v>
      </c>
      <c r="N1655">
        <v>1800</v>
      </c>
    </row>
    <row r="1656" spans="1:14" ht="14.4">
      <c r="A1656">
        <v>13367</v>
      </c>
      <c r="B1656">
        <v>13368</v>
      </c>
      <c r="C1656">
        <v>4086</v>
      </c>
      <c r="D1656" t="s">
        <v>390</v>
      </c>
      <c r="E1656" t="s">
        <v>686</v>
      </c>
      <c r="F1656">
        <v>8008</v>
      </c>
      <c r="G1656" t="s">
        <v>402</v>
      </c>
      <c r="H1656" t="s">
        <v>38</v>
      </c>
      <c r="I1656">
        <v>287271</v>
      </c>
      <c r="J1656">
        <v>221791</v>
      </c>
      <c r="K1656">
        <v>65480</v>
      </c>
      <c r="L1656">
        <v>164000</v>
      </c>
      <c r="M1656">
        <v>124000</v>
      </c>
      <c r="N1656">
        <v>40000</v>
      </c>
    </row>
    <row r="1657" spans="1:14" ht="14.4">
      <c r="A1657">
        <v>13367</v>
      </c>
      <c r="B1657">
        <v>13368</v>
      </c>
      <c r="C1657">
        <v>4086</v>
      </c>
      <c r="D1657" t="s">
        <v>390</v>
      </c>
      <c r="E1657" t="s">
        <v>1639</v>
      </c>
      <c r="F1657">
        <v>7977</v>
      </c>
      <c r="G1657" t="s">
        <v>413</v>
      </c>
      <c r="H1657" t="s">
        <v>38</v>
      </c>
      <c r="I1657">
        <v>87432</v>
      </c>
      <c r="J1657">
        <v>71432</v>
      </c>
      <c r="K1657">
        <v>16000</v>
      </c>
      <c r="L1657">
        <v>50800</v>
      </c>
      <c r="M1657">
        <v>50800</v>
      </c>
      <c r="N1657">
        <v>0</v>
      </c>
    </row>
    <row r="1658" spans="1:14" ht="14.4">
      <c r="A1658">
        <v>13367</v>
      </c>
      <c r="B1658">
        <v>13368</v>
      </c>
      <c r="C1658">
        <v>4086</v>
      </c>
      <c r="D1658" t="s">
        <v>390</v>
      </c>
      <c r="E1658" t="s">
        <v>688</v>
      </c>
      <c r="F1658">
        <v>8751</v>
      </c>
      <c r="G1658" t="s">
        <v>402</v>
      </c>
      <c r="H1658" t="s">
        <v>38</v>
      </c>
      <c r="I1658">
        <v>1100768</v>
      </c>
      <c r="J1658">
        <v>812638</v>
      </c>
      <c r="K1658">
        <v>288130</v>
      </c>
      <c r="L1658">
        <v>346500</v>
      </c>
      <c r="M1658">
        <v>217900</v>
      </c>
      <c r="N1658">
        <v>128600</v>
      </c>
    </row>
    <row r="1659" spans="1:14" ht="14.4">
      <c r="A1659">
        <v>13367</v>
      </c>
      <c r="B1659">
        <v>13368</v>
      </c>
      <c r="C1659">
        <v>4086</v>
      </c>
      <c r="D1659" t="s">
        <v>390</v>
      </c>
      <c r="E1659" t="s">
        <v>1640</v>
      </c>
      <c r="F1659">
        <v>8068</v>
      </c>
      <c r="G1659" t="s">
        <v>443</v>
      </c>
      <c r="H1659" t="s">
        <v>38</v>
      </c>
      <c r="I1659">
        <v>24379</v>
      </c>
      <c r="J1659">
        <v>22439</v>
      </c>
      <c r="K1659">
        <v>1940</v>
      </c>
      <c r="L1659">
        <v>22200</v>
      </c>
      <c r="M1659">
        <v>20300</v>
      </c>
      <c r="N1659">
        <v>1900</v>
      </c>
    </row>
    <row r="1660" spans="1:14" ht="14.4">
      <c r="A1660">
        <v>13367</v>
      </c>
      <c r="B1660">
        <v>13368</v>
      </c>
      <c r="C1660">
        <v>4086</v>
      </c>
      <c r="D1660" t="s">
        <v>390</v>
      </c>
      <c r="E1660" t="s">
        <v>689</v>
      </c>
      <c r="F1660">
        <v>8534</v>
      </c>
      <c r="G1660" t="s">
        <v>496</v>
      </c>
      <c r="H1660" t="s">
        <v>38</v>
      </c>
      <c r="I1660">
        <v>47190</v>
      </c>
      <c r="J1660">
        <v>42312</v>
      </c>
      <c r="K1660">
        <v>4878</v>
      </c>
      <c r="L1660">
        <v>15400</v>
      </c>
      <c r="M1660">
        <v>15000</v>
      </c>
      <c r="N1660">
        <v>400</v>
      </c>
    </row>
    <row r="1661" spans="1:14" ht="14.4">
      <c r="A1661">
        <v>13367</v>
      </c>
      <c r="B1661">
        <v>13368</v>
      </c>
      <c r="C1661">
        <v>4086</v>
      </c>
      <c r="D1661" t="s">
        <v>390</v>
      </c>
      <c r="E1661" t="s">
        <v>690</v>
      </c>
      <c r="F1661">
        <v>8069</v>
      </c>
      <c r="G1661" t="s">
        <v>691</v>
      </c>
      <c r="H1661" t="s">
        <v>38</v>
      </c>
      <c r="I1661">
        <v>553463</v>
      </c>
      <c r="J1661">
        <v>404353</v>
      </c>
      <c r="K1661">
        <v>149110</v>
      </c>
      <c r="L1661">
        <v>314400</v>
      </c>
      <c r="M1661">
        <v>227400</v>
      </c>
      <c r="N1661">
        <v>87000</v>
      </c>
    </row>
    <row r="1662" spans="1:14" ht="14.4">
      <c r="A1662">
        <v>13367</v>
      </c>
      <c r="B1662">
        <v>13368</v>
      </c>
      <c r="C1662">
        <v>4086</v>
      </c>
      <c r="D1662" t="s">
        <v>390</v>
      </c>
      <c r="E1662" t="s">
        <v>1641</v>
      </c>
      <c r="F1662">
        <v>8109</v>
      </c>
      <c r="G1662" t="s">
        <v>465</v>
      </c>
      <c r="H1662" t="s">
        <v>38</v>
      </c>
      <c r="I1662">
        <v>54703</v>
      </c>
      <c r="J1662">
        <v>51128</v>
      </c>
      <c r="K1662">
        <v>3575</v>
      </c>
      <c r="L1662">
        <v>26500</v>
      </c>
      <c r="M1662">
        <v>23200</v>
      </c>
      <c r="N1662">
        <v>3300</v>
      </c>
    </row>
    <row r="1663" spans="1:14" ht="14.4">
      <c r="A1663">
        <v>13367</v>
      </c>
      <c r="B1663">
        <v>13368</v>
      </c>
      <c r="C1663">
        <v>4086</v>
      </c>
      <c r="D1663" t="s">
        <v>390</v>
      </c>
      <c r="E1663" t="s">
        <v>1641</v>
      </c>
      <c r="F1663">
        <v>8110</v>
      </c>
      <c r="G1663" t="s">
        <v>465</v>
      </c>
      <c r="H1663" t="s">
        <v>38</v>
      </c>
      <c r="I1663">
        <v>50332</v>
      </c>
      <c r="J1663">
        <v>39057</v>
      </c>
      <c r="K1663">
        <v>11275</v>
      </c>
      <c r="L1663">
        <v>45000</v>
      </c>
      <c r="M1663">
        <v>33800</v>
      </c>
      <c r="N1663">
        <v>11200</v>
      </c>
    </row>
    <row r="1664" spans="1:14" ht="14.4">
      <c r="A1664">
        <v>13367</v>
      </c>
      <c r="B1664">
        <v>13368</v>
      </c>
      <c r="C1664">
        <v>4086</v>
      </c>
      <c r="D1664" t="s">
        <v>390</v>
      </c>
      <c r="E1664" t="s">
        <v>1642</v>
      </c>
      <c r="F1664">
        <v>8069</v>
      </c>
      <c r="G1664" t="s">
        <v>691</v>
      </c>
      <c r="H1664" t="s">
        <v>38</v>
      </c>
      <c r="I1664">
        <v>15250</v>
      </c>
      <c r="J1664">
        <v>0</v>
      </c>
      <c r="K1664">
        <v>15250</v>
      </c>
      <c r="L1664">
        <v>0</v>
      </c>
      <c r="M1664">
        <v>0</v>
      </c>
      <c r="N1664">
        <v>0</v>
      </c>
    </row>
    <row r="1665" spans="1:14" ht="14.4">
      <c r="A1665">
        <v>13367</v>
      </c>
      <c r="B1665">
        <v>13368</v>
      </c>
      <c r="C1665">
        <v>4086</v>
      </c>
      <c r="D1665" t="s">
        <v>390</v>
      </c>
      <c r="E1665" t="s">
        <v>692</v>
      </c>
      <c r="F1665">
        <v>8070</v>
      </c>
      <c r="G1665" t="s">
        <v>691</v>
      </c>
      <c r="H1665" t="s">
        <v>38</v>
      </c>
      <c r="I1665">
        <v>261454</v>
      </c>
      <c r="J1665">
        <v>203073</v>
      </c>
      <c r="K1665">
        <v>58381</v>
      </c>
      <c r="L1665">
        <v>51000</v>
      </c>
      <c r="M1665">
        <v>12500</v>
      </c>
      <c r="N1665">
        <v>38500</v>
      </c>
    </row>
    <row r="1666" spans="1:14" ht="14.4">
      <c r="A1666">
        <v>13367</v>
      </c>
      <c r="B1666">
        <v>13368</v>
      </c>
      <c r="C1666">
        <v>4086</v>
      </c>
      <c r="D1666" t="s">
        <v>390</v>
      </c>
      <c r="E1666" t="s">
        <v>1643</v>
      </c>
      <c r="F1666">
        <v>7440</v>
      </c>
      <c r="G1666" t="s">
        <v>441</v>
      </c>
      <c r="H1666" t="s">
        <v>38</v>
      </c>
      <c r="I1666">
        <v>12563</v>
      </c>
      <c r="J1666">
        <v>12563</v>
      </c>
      <c r="K1666">
        <v>0</v>
      </c>
      <c r="L1666">
        <v>0</v>
      </c>
      <c r="M1666">
        <v>0</v>
      </c>
      <c r="N1666">
        <v>0</v>
      </c>
    </row>
    <row r="1667" spans="1:14" ht="14.4">
      <c r="A1667">
        <v>13367</v>
      </c>
      <c r="B1667">
        <v>13368</v>
      </c>
      <c r="C1667">
        <v>4086</v>
      </c>
      <c r="D1667" t="s">
        <v>390</v>
      </c>
      <c r="E1667" t="s">
        <v>1644</v>
      </c>
      <c r="F1667">
        <v>8535</v>
      </c>
      <c r="G1667" t="s">
        <v>392</v>
      </c>
      <c r="H1667" t="s">
        <v>38</v>
      </c>
      <c r="I1667">
        <v>41866</v>
      </c>
      <c r="J1667">
        <v>38966</v>
      </c>
      <c r="K1667">
        <v>2900</v>
      </c>
      <c r="L1667">
        <v>28200</v>
      </c>
      <c r="M1667">
        <v>25300</v>
      </c>
      <c r="N1667">
        <v>2900</v>
      </c>
    </row>
    <row r="1668" spans="1:14" ht="14.4">
      <c r="A1668">
        <v>13367</v>
      </c>
      <c r="B1668">
        <v>13368</v>
      </c>
      <c r="C1668">
        <v>4086</v>
      </c>
      <c r="D1668" t="s">
        <v>390</v>
      </c>
      <c r="E1668" t="s">
        <v>693</v>
      </c>
      <c r="F1668">
        <v>8861</v>
      </c>
      <c r="G1668" t="s">
        <v>406</v>
      </c>
      <c r="H1668" t="s">
        <v>38</v>
      </c>
      <c r="I1668">
        <v>691169</v>
      </c>
      <c r="J1668">
        <v>501409</v>
      </c>
      <c r="K1668">
        <v>189760</v>
      </c>
      <c r="L1668">
        <v>339000</v>
      </c>
      <c r="M1668">
        <v>227500</v>
      </c>
      <c r="N1668">
        <v>111500</v>
      </c>
    </row>
    <row r="1669" spans="1:14" ht="14.4">
      <c r="A1669">
        <v>13367</v>
      </c>
      <c r="B1669">
        <v>13368</v>
      </c>
      <c r="C1669">
        <v>4086</v>
      </c>
      <c r="D1669" t="s">
        <v>390</v>
      </c>
      <c r="E1669" t="s">
        <v>1645</v>
      </c>
      <c r="F1669">
        <v>8270</v>
      </c>
      <c r="G1669" t="s">
        <v>404</v>
      </c>
      <c r="H1669" t="s">
        <v>38</v>
      </c>
      <c r="I1669">
        <v>27611</v>
      </c>
      <c r="J1669">
        <v>27611</v>
      </c>
      <c r="K1669">
        <v>0</v>
      </c>
      <c r="L1669">
        <v>26500</v>
      </c>
      <c r="M1669">
        <v>26500</v>
      </c>
      <c r="N1669">
        <v>0</v>
      </c>
    </row>
    <row r="1670" spans="1:14" ht="14.4">
      <c r="A1670">
        <v>13367</v>
      </c>
      <c r="B1670">
        <v>13368</v>
      </c>
      <c r="C1670">
        <v>4086</v>
      </c>
      <c r="D1670" t="s">
        <v>390</v>
      </c>
      <c r="E1670" t="s">
        <v>694</v>
      </c>
      <c r="F1670">
        <v>8865</v>
      </c>
      <c r="G1670" t="s">
        <v>398</v>
      </c>
      <c r="H1670" t="s">
        <v>38</v>
      </c>
      <c r="I1670">
        <v>221327</v>
      </c>
      <c r="J1670">
        <v>197052</v>
      </c>
      <c r="K1670">
        <v>24275</v>
      </c>
      <c r="L1670">
        <v>100200</v>
      </c>
      <c r="M1670">
        <v>77000</v>
      </c>
      <c r="N1670">
        <v>23200</v>
      </c>
    </row>
    <row r="1671" spans="1:14" ht="14.4">
      <c r="A1671">
        <v>13367</v>
      </c>
      <c r="B1671">
        <v>13368</v>
      </c>
      <c r="C1671">
        <v>4086</v>
      </c>
      <c r="D1671" t="s">
        <v>390</v>
      </c>
      <c r="E1671" t="s">
        <v>695</v>
      </c>
      <c r="F1671">
        <v>8741</v>
      </c>
      <c r="G1671" t="s">
        <v>402</v>
      </c>
      <c r="H1671" t="s">
        <v>38</v>
      </c>
      <c r="I1671">
        <v>1489220</v>
      </c>
      <c r="J1671">
        <v>1071055</v>
      </c>
      <c r="K1671">
        <v>418165</v>
      </c>
      <c r="L1671">
        <v>651100</v>
      </c>
      <c r="M1671">
        <v>474100</v>
      </c>
      <c r="N1671">
        <v>177000</v>
      </c>
    </row>
    <row r="1672" spans="1:14" ht="14.4">
      <c r="A1672">
        <v>13367</v>
      </c>
      <c r="B1672">
        <v>13368</v>
      </c>
      <c r="C1672">
        <v>4086</v>
      </c>
      <c r="D1672" t="s">
        <v>390</v>
      </c>
      <c r="E1672" t="s">
        <v>1646</v>
      </c>
      <c r="F1672">
        <v>7058</v>
      </c>
      <c r="G1672" t="s">
        <v>441</v>
      </c>
      <c r="H1672" t="s">
        <v>38</v>
      </c>
      <c r="I1672">
        <v>29845</v>
      </c>
      <c r="J1672">
        <v>29845</v>
      </c>
      <c r="K1672">
        <v>0</v>
      </c>
      <c r="L1672">
        <v>27100</v>
      </c>
      <c r="M1672">
        <v>27100</v>
      </c>
      <c r="N1672">
        <v>0</v>
      </c>
    </row>
    <row r="1673" spans="1:14" ht="14.4">
      <c r="A1673">
        <v>13367</v>
      </c>
      <c r="B1673">
        <v>13368</v>
      </c>
      <c r="C1673">
        <v>4086</v>
      </c>
      <c r="D1673" t="s">
        <v>390</v>
      </c>
      <c r="E1673" t="s">
        <v>696</v>
      </c>
      <c r="F1673">
        <v>8854</v>
      </c>
      <c r="G1673" t="s">
        <v>406</v>
      </c>
      <c r="H1673" t="s">
        <v>38</v>
      </c>
      <c r="I1673">
        <v>749021</v>
      </c>
      <c r="J1673">
        <v>679772</v>
      </c>
      <c r="K1673">
        <v>69249</v>
      </c>
      <c r="L1673">
        <v>309800</v>
      </c>
      <c r="M1673">
        <v>275800</v>
      </c>
      <c r="N1673">
        <v>34000</v>
      </c>
    </row>
    <row r="1674" spans="1:14" ht="14.4">
      <c r="A1674">
        <v>13367</v>
      </c>
      <c r="B1674">
        <v>13368</v>
      </c>
      <c r="C1674">
        <v>4086</v>
      </c>
      <c r="D1674" t="s">
        <v>390</v>
      </c>
      <c r="E1674" t="s">
        <v>697</v>
      </c>
      <c r="F1674">
        <v>8826</v>
      </c>
      <c r="G1674" t="s">
        <v>464</v>
      </c>
      <c r="H1674" t="s">
        <v>38</v>
      </c>
      <c r="I1674">
        <v>82735</v>
      </c>
      <c r="J1674">
        <v>72735</v>
      </c>
      <c r="K1674">
        <v>10000</v>
      </c>
      <c r="L1674">
        <v>0</v>
      </c>
      <c r="M1674">
        <v>0</v>
      </c>
      <c r="N1674">
        <v>0</v>
      </c>
    </row>
    <row r="1675" spans="1:14" ht="14.4">
      <c r="A1675">
        <v>13367</v>
      </c>
      <c r="B1675">
        <v>13368</v>
      </c>
      <c r="C1675">
        <v>4086</v>
      </c>
      <c r="D1675" t="s">
        <v>390</v>
      </c>
      <c r="E1675" t="s">
        <v>698</v>
      </c>
      <c r="F1675">
        <v>7060</v>
      </c>
      <c r="G1675" t="s">
        <v>435</v>
      </c>
      <c r="H1675" t="s">
        <v>38</v>
      </c>
      <c r="I1675">
        <v>627811</v>
      </c>
      <c r="J1675">
        <v>602031</v>
      </c>
      <c r="K1675">
        <v>25780</v>
      </c>
      <c r="L1675">
        <v>150000</v>
      </c>
      <c r="M1675">
        <v>149100</v>
      </c>
      <c r="N1675">
        <v>900</v>
      </c>
    </row>
    <row r="1676" spans="1:14" ht="14.4">
      <c r="A1676">
        <v>13367</v>
      </c>
      <c r="B1676">
        <v>13368</v>
      </c>
      <c r="C1676">
        <v>4086</v>
      </c>
      <c r="D1676" t="s">
        <v>390</v>
      </c>
      <c r="E1676" t="s">
        <v>698</v>
      </c>
      <c r="F1676">
        <v>7062</v>
      </c>
      <c r="G1676" t="s">
        <v>37</v>
      </c>
      <c r="H1676" t="s">
        <v>38</v>
      </c>
      <c r="I1676">
        <v>3000</v>
      </c>
      <c r="J1676">
        <v>0</v>
      </c>
      <c r="K1676">
        <v>3000</v>
      </c>
      <c r="L1676">
        <v>0</v>
      </c>
      <c r="M1676">
        <v>0</v>
      </c>
      <c r="N1676">
        <v>0</v>
      </c>
    </row>
    <row r="1677" spans="1:14" ht="14.4">
      <c r="A1677">
        <v>13367</v>
      </c>
      <c r="B1677">
        <v>13368</v>
      </c>
      <c r="C1677">
        <v>4086</v>
      </c>
      <c r="D1677" t="s">
        <v>390</v>
      </c>
      <c r="E1677" t="s">
        <v>698</v>
      </c>
      <c r="F1677">
        <v>7062</v>
      </c>
      <c r="G1677" t="s">
        <v>435</v>
      </c>
      <c r="H1677" t="s">
        <v>38</v>
      </c>
      <c r="I1677">
        <v>317447</v>
      </c>
      <c r="J1677">
        <v>301969</v>
      </c>
      <c r="K1677">
        <v>15478</v>
      </c>
      <c r="L1677">
        <v>142400</v>
      </c>
      <c r="M1677">
        <v>136900</v>
      </c>
      <c r="N1677">
        <v>5500</v>
      </c>
    </row>
    <row r="1678" spans="1:14" ht="14.4">
      <c r="A1678">
        <v>13367</v>
      </c>
      <c r="B1678">
        <v>13368</v>
      </c>
      <c r="C1678">
        <v>4086</v>
      </c>
      <c r="D1678" t="s">
        <v>390</v>
      </c>
      <c r="E1678" t="s">
        <v>698</v>
      </c>
      <c r="F1678">
        <v>7063</v>
      </c>
      <c r="G1678" t="s">
        <v>435</v>
      </c>
      <c r="H1678" t="s">
        <v>38</v>
      </c>
      <c r="I1678">
        <v>79357</v>
      </c>
      <c r="J1678">
        <v>79007</v>
      </c>
      <c r="K1678">
        <v>350</v>
      </c>
      <c r="L1678">
        <v>34000</v>
      </c>
      <c r="M1678">
        <v>33600</v>
      </c>
      <c r="N1678">
        <v>400</v>
      </c>
    </row>
    <row r="1679" spans="1:14" ht="14.4">
      <c r="A1679">
        <v>13367</v>
      </c>
      <c r="B1679">
        <v>13368</v>
      </c>
      <c r="C1679">
        <v>4086</v>
      </c>
      <c r="D1679" t="s">
        <v>390</v>
      </c>
      <c r="E1679" t="s">
        <v>1647</v>
      </c>
      <c r="F1679">
        <v>8536</v>
      </c>
      <c r="G1679" t="s">
        <v>406</v>
      </c>
      <c r="H1679" t="s">
        <v>38</v>
      </c>
      <c r="I1679">
        <v>25131</v>
      </c>
      <c r="J1679">
        <v>21431</v>
      </c>
      <c r="K1679">
        <v>3700</v>
      </c>
      <c r="L1679">
        <v>17700</v>
      </c>
      <c r="M1679">
        <v>14000</v>
      </c>
      <c r="N1679">
        <v>3700</v>
      </c>
    </row>
    <row r="1680" spans="1:14" ht="14.4">
      <c r="A1680">
        <v>13367</v>
      </c>
      <c r="B1680">
        <v>13368</v>
      </c>
      <c r="C1680">
        <v>4086</v>
      </c>
      <c r="D1680" t="s">
        <v>390</v>
      </c>
      <c r="E1680" t="s">
        <v>282</v>
      </c>
      <c r="F1680">
        <v>8232</v>
      </c>
      <c r="G1680" t="s">
        <v>394</v>
      </c>
      <c r="H1680" t="s">
        <v>38</v>
      </c>
      <c r="I1680">
        <v>4676235</v>
      </c>
      <c r="J1680">
        <v>3529711</v>
      </c>
      <c r="K1680">
        <v>1146524</v>
      </c>
      <c r="L1680">
        <v>1456700</v>
      </c>
      <c r="M1680">
        <v>991500</v>
      </c>
      <c r="N1680">
        <v>465200</v>
      </c>
    </row>
    <row r="1681" spans="1:14" ht="14.4">
      <c r="A1681">
        <v>13367</v>
      </c>
      <c r="B1681">
        <v>13368</v>
      </c>
      <c r="C1681">
        <v>4086</v>
      </c>
      <c r="D1681" t="s">
        <v>390</v>
      </c>
      <c r="E1681" t="s">
        <v>1648</v>
      </c>
      <c r="F1681">
        <v>8742</v>
      </c>
      <c r="G1681" t="s">
        <v>402</v>
      </c>
      <c r="H1681" t="s">
        <v>38</v>
      </c>
      <c r="I1681">
        <v>56453</v>
      </c>
      <c r="J1681">
        <v>56453</v>
      </c>
      <c r="K1681">
        <v>0</v>
      </c>
      <c r="L1681">
        <v>18200</v>
      </c>
      <c r="M1681">
        <v>18200</v>
      </c>
      <c r="N1681">
        <v>0</v>
      </c>
    </row>
    <row r="1682" spans="1:14" ht="14.4">
      <c r="A1682">
        <v>13367</v>
      </c>
      <c r="B1682">
        <v>13368</v>
      </c>
      <c r="C1682">
        <v>4086</v>
      </c>
      <c r="D1682" t="s">
        <v>390</v>
      </c>
      <c r="E1682" t="s">
        <v>1649</v>
      </c>
      <c r="F1682">
        <v>8742</v>
      </c>
      <c r="G1682" t="s">
        <v>402</v>
      </c>
      <c r="H1682" t="s">
        <v>38</v>
      </c>
      <c r="I1682">
        <v>131351</v>
      </c>
      <c r="J1682">
        <v>96951</v>
      </c>
      <c r="K1682">
        <v>34400</v>
      </c>
      <c r="L1682">
        <v>77600</v>
      </c>
      <c r="M1682">
        <v>43200</v>
      </c>
      <c r="N1682">
        <v>34400</v>
      </c>
    </row>
    <row r="1683" spans="1:14" ht="14.4">
      <c r="A1683">
        <v>13367</v>
      </c>
      <c r="B1683">
        <v>13368</v>
      </c>
      <c r="C1683">
        <v>4086</v>
      </c>
      <c r="D1683" t="s">
        <v>390</v>
      </c>
      <c r="E1683" t="s">
        <v>1650</v>
      </c>
      <c r="F1683">
        <v>8742</v>
      </c>
      <c r="G1683" t="s">
        <v>402</v>
      </c>
      <c r="H1683" t="s">
        <v>38</v>
      </c>
      <c r="I1683">
        <v>382676</v>
      </c>
      <c r="J1683">
        <v>326326</v>
      </c>
      <c r="K1683">
        <v>56350</v>
      </c>
      <c r="L1683">
        <v>240000</v>
      </c>
      <c r="M1683">
        <v>200000</v>
      </c>
      <c r="N1683">
        <v>40000</v>
      </c>
    </row>
    <row r="1684" spans="1:14" ht="14.4">
      <c r="A1684">
        <v>13367</v>
      </c>
      <c r="B1684">
        <v>13368</v>
      </c>
      <c r="C1684">
        <v>4086</v>
      </c>
      <c r="D1684" t="s">
        <v>390</v>
      </c>
      <c r="E1684" t="s">
        <v>701</v>
      </c>
      <c r="F1684">
        <v>8724</v>
      </c>
      <c r="G1684" t="s">
        <v>402</v>
      </c>
      <c r="H1684" t="s">
        <v>38</v>
      </c>
      <c r="I1684">
        <v>108821</v>
      </c>
      <c r="J1684">
        <v>77471</v>
      </c>
      <c r="K1684">
        <v>31350</v>
      </c>
      <c r="L1684">
        <v>0</v>
      </c>
      <c r="M1684">
        <v>0</v>
      </c>
      <c r="N1684">
        <v>0</v>
      </c>
    </row>
    <row r="1685" spans="1:14" ht="14.4">
      <c r="A1685">
        <v>13367</v>
      </c>
      <c r="B1685">
        <v>13368</v>
      </c>
      <c r="C1685">
        <v>4086</v>
      </c>
      <c r="D1685" t="s">
        <v>390</v>
      </c>
      <c r="E1685" t="s">
        <v>701</v>
      </c>
      <c r="F1685">
        <v>8742</v>
      </c>
      <c r="G1685" t="s">
        <v>402</v>
      </c>
      <c r="H1685" t="s">
        <v>38</v>
      </c>
      <c r="I1685">
        <v>19039787</v>
      </c>
      <c r="J1685">
        <v>13401134</v>
      </c>
      <c r="K1685">
        <v>5638653</v>
      </c>
      <c r="L1685">
        <v>7405800</v>
      </c>
      <c r="M1685">
        <v>5064600</v>
      </c>
      <c r="N1685">
        <v>2341200</v>
      </c>
    </row>
    <row r="1686" spans="1:14" ht="14.4">
      <c r="A1686">
        <v>13367</v>
      </c>
      <c r="B1686">
        <v>13368</v>
      </c>
      <c r="C1686">
        <v>4086</v>
      </c>
      <c r="D1686" t="s">
        <v>390</v>
      </c>
      <c r="E1686" t="s">
        <v>1651</v>
      </c>
      <c r="F1686">
        <v>8742</v>
      </c>
      <c r="G1686" t="s">
        <v>402</v>
      </c>
      <c r="H1686" t="s">
        <v>38</v>
      </c>
      <c r="I1686">
        <v>109116</v>
      </c>
      <c r="J1686">
        <v>66741</v>
      </c>
      <c r="K1686">
        <v>42375</v>
      </c>
      <c r="L1686">
        <v>30400</v>
      </c>
      <c r="M1686">
        <v>1600</v>
      </c>
      <c r="N1686">
        <v>28800</v>
      </c>
    </row>
    <row r="1687" spans="1:14" ht="14.4">
      <c r="A1687">
        <v>13367</v>
      </c>
      <c r="B1687">
        <v>13368</v>
      </c>
      <c r="C1687">
        <v>4086</v>
      </c>
      <c r="D1687" t="s">
        <v>390</v>
      </c>
      <c r="E1687" t="s">
        <v>1652</v>
      </c>
      <c r="F1687">
        <v>8742</v>
      </c>
      <c r="G1687" t="s">
        <v>402</v>
      </c>
      <c r="H1687" t="s">
        <v>38</v>
      </c>
      <c r="I1687">
        <v>346804</v>
      </c>
      <c r="J1687">
        <v>243839</v>
      </c>
      <c r="K1687">
        <v>102965</v>
      </c>
      <c r="L1687">
        <v>248400</v>
      </c>
      <c r="M1687">
        <v>168400</v>
      </c>
      <c r="N1687">
        <v>80000</v>
      </c>
    </row>
    <row r="1688" spans="1:14" ht="14.4">
      <c r="A1688">
        <v>13367</v>
      </c>
      <c r="B1688">
        <v>13368</v>
      </c>
      <c r="C1688">
        <v>4086</v>
      </c>
      <c r="D1688" t="s">
        <v>390</v>
      </c>
      <c r="E1688" t="s">
        <v>702</v>
      </c>
      <c r="F1688">
        <v>7842</v>
      </c>
      <c r="G1688" t="s">
        <v>402</v>
      </c>
      <c r="H1688" t="s">
        <v>38</v>
      </c>
      <c r="I1688">
        <v>279927</v>
      </c>
      <c r="J1688">
        <v>186377</v>
      </c>
      <c r="K1688">
        <v>93550</v>
      </c>
      <c r="L1688">
        <v>40000</v>
      </c>
      <c r="M1688">
        <v>0</v>
      </c>
      <c r="N1688">
        <v>40000</v>
      </c>
    </row>
    <row r="1689" spans="1:14" ht="14.4">
      <c r="A1689">
        <v>13367</v>
      </c>
      <c r="B1689">
        <v>13368</v>
      </c>
      <c r="C1689">
        <v>4086</v>
      </c>
      <c r="D1689" t="s">
        <v>390</v>
      </c>
      <c r="E1689" t="s">
        <v>702</v>
      </c>
      <c r="F1689">
        <v>8060</v>
      </c>
      <c r="G1689" t="s">
        <v>402</v>
      </c>
      <c r="H1689" t="s">
        <v>38</v>
      </c>
      <c r="I1689">
        <v>42979</v>
      </c>
      <c r="J1689">
        <v>7679</v>
      </c>
      <c r="K1689">
        <v>35300</v>
      </c>
      <c r="L1689">
        <v>35300</v>
      </c>
      <c r="M1689">
        <v>0</v>
      </c>
      <c r="N1689">
        <v>35300</v>
      </c>
    </row>
    <row r="1690" spans="1:14" ht="14.4">
      <c r="A1690">
        <v>13367</v>
      </c>
      <c r="B1690">
        <v>13368</v>
      </c>
      <c r="C1690">
        <v>4086</v>
      </c>
      <c r="D1690" t="s">
        <v>390</v>
      </c>
      <c r="E1690" t="s">
        <v>702</v>
      </c>
      <c r="F1690">
        <v>8742</v>
      </c>
      <c r="G1690" t="s">
        <v>496</v>
      </c>
      <c r="H1690" t="s">
        <v>38</v>
      </c>
      <c r="I1690">
        <v>62866</v>
      </c>
      <c r="J1690">
        <v>62866</v>
      </c>
      <c r="K1690">
        <v>0</v>
      </c>
      <c r="L1690">
        <v>62900</v>
      </c>
      <c r="M1690">
        <v>62900</v>
      </c>
      <c r="N1690">
        <v>0</v>
      </c>
    </row>
    <row r="1691" spans="1:14" ht="14.4">
      <c r="A1691">
        <v>13367</v>
      </c>
      <c r="B1691">
        <v>13368</v>
      </c>
      <c r="C1691">
        <v>4086</v>
      </c>
      <c r="D1691" t="s">
        <v>390</v>
      </c>
      <c r="E1691" t="s">
        <v>702</v>
      </c>
      <c r="F1691">
        <v>8742</v>
      </c>
      <c r="G1691" t="s">
        <v>392</v>
      </c>
      <c r="H1691" t="s">
        <v>38</v>
      </c>
      <c r="I1691">
        <v>230974</v>
      </c>
      <c r="J1691">
        <v>214999</v>
      </c>
      <c r="K1691">
        <v>15975</v>
      </c>
      <c r="L1691">
        <v>200000</v>
      </c>
      <c r="M1691">
        <v>200000</v>
      </c>
      <c r="N1691">
        <v>0</v>
      </c>
    </row>
    <row r="1692" spans="1:14" ht="14.4">
      <c r="A1692">
        <v>13367</v>
      </c>
      <c r="B1692">
        <v>13368</v>
      </c>
      <c r="C1692">
        <v>4086</v>
      </c>
      <c r="D1692" t="s">
        <v>390</v>
      </c>
      <c r="E1692" t="s">
        <v>702</v>
      </c>
      <c r="F1692">
        <v>8742</v>
      </c>
      <c r="G1692" t="s">
        <v>402</v>
      </c>
      <c r="H1692" t="s">
        <v>38</v>
      </c>
      <c r="I1692">
        <v>24339914</v>
      </c>
      <c r="J1692">
        <v>17336663</v>
      </c>
      <c r="K1692">
        <v>7003251</v>
      </c>
      <c r="L1692">
        <v>9892600</v>
      </c>
      <c r="M1692">
        <v>6364900</v>
      </c>
      <c r="N1692">
        <v>3527700</v>
      </c>
    </row>
    <row r="1693" spans="1:14" ht="14.4">
      <c r="A1693">
        <v>13367</v>
      </c>
      <c r="B1693">
        <v>13368</v>
      </c>
      <c r="C1693">
        <v>4086</v>
      </c>
      <c r="D1693" t="s">
        <v>390</v>
      </c>
      <c r="E1693" t="s">
        <v>703</v>
      </c>
      <c r="F1693">
        <v>8742</v>
      </c>
      <c r="G1693" t="s">
        <v>402</v>
      </c>
      <c r="H1693" t="s">
        <v>38</v>
      </c>
      <c r="I1693">
        <v>14057896</v>
      </c>
      <c r="J1693">
        <v>10295072</v>
      </c>
      <c r="K1693">
        <v>3762824</v>
      </c>
      <c r="L1693">
        <v>5529300</v>
      </c>
      <c r="M1693">
        <v>3962500</v>
      </c>
      <c r="N1693">
        <v>1566800</v>
      </c>
    </row>
    <row r="1694" spans="1:14" ht="14.4">
      <c r="A1694">
        <v>13367</v>
      </c>
      <c r="B1694">
        <v>13368</v>
      </c>
      <c r="C1694">
        <v>4086</v>
      </c>
      <c r="D1694" t="s">
        <v>390</v>
      </c>
      <c r="E1694" t="s">
        <v>1653</v>
      </c>
      <c r="F1694">
        <v>8742</v>
      </c>
      <c r="G1694" t="s">
        <v>402</v>
      </c>
      <c r="H1694" t="s">
        <v>38</v>
      </c>
      <c r="I1694">
        <v>179471</v>
      </c>
      <c r="J1694">
        <v>124541</v>
      </c>
      <c r="K1694">
        <v>54930</v>
      </c>
      <c r="L1694">
        <v>129300</v>
      </c>
      <c r="M1694">
        <v>107700</v>
      </c>
      <c r="N1694">
        <v>21600</v>
      </c>
    </row>
    <row r="1695" spans="1:14" ht="14.4">
      <c r="A1695">
        <v>13367</v>
      </c>
      <c r="B1695">
        <v>13368</v>
      </c>
      <c r="C1695">
        <v>4086</v>
      </c>
      <c r="D1695" t="s">
        <v>390</v>
      </c>
      <c r="E1695" t="s">
        <v>1654</v>
      </c>
      <c r="F1695">
        <v>8742</v>
      </c>
      <c r="G1695" t="s">
        <v>402</v>
      </c>
      <c r="H1695" t="s">
        <v>38</v>
      </c>
      <c r="I1695">
        <v>77586</v>
      </c>
      <c r="J1695">
        <v>64086</v>
      </c>
      <c r="K1695">
        <v>13500</v>
      </c>
      <c r="L1695">
        <v>0</v>
      </c>
      <c r="M1695">
        <v>0</v>
      </c>
      <c r="N1695">
        <v>0</v>
      </c>
    </row>
    <row r="1696" spans="1:14" ht="14.4">
      <c r="A1696">
        <v>13367</v>
      </c>
      <c r="B1696">
        <v>13368</v>
      </c>
      <c r="C1696">
        <v>4086</v>
      </c>
      <c r="D1696" t="s">
        <v>390</v>
      </c>
      <c r="E1696" t="s">
        <v>1655</v>
      </c>
      <c r="F1696">
        <v>8742</v>
      </c>
      <c r="G1696" t="s">
        <v>402</v>
      </c>
      <c r="H1696" t="s">
        <v>38</v>
      </c>
      <c r="I1696">
        <v>635972</v>
      </c>
      <c r="J1696">
        <v>513497</v>
      </c>
      <c r="K1696">
        <v>122475</v>
      </c>
      <c r="L1696">
        <v>0</v>
      </c>
      <c r="M1696">
        <v>0</v>
      </c>
      <c r="N1696">
        <v>0</v>
      </c>
    </row>
    <row r="1697" spans="1:14" ht="14.4">
      <c r="A1697">
        <v>13367</v>
      </c>
      <c r="B1697">
        <v>13368</v>
      </c>
      <c r="C1697">
        <v>4086</v>
      </c>
      <c r="D1697" t="s">
        <v>390</v>
      </c>
      <c r="E1697" t="s">
        <v>1656</v>
      </c>
      <c r="F1697">
        <v>7442</v>
      </c>
      <c r="G1697" t="s">
        <v>429</v>
      </c>
      <c r="H1697" t="s">
        <v>38</v>
      </c>
      <c r="I1697">
        <v>67564</v>
      </c>
      <c r="J1697">
        <v>62964</v>
      </c>
      <c r="K1697">
        <v>4600</v>
      </c>
      <c r="L1697">
        <v>31300</v>
      </c>
      <c r="M1697">
        <v>31300</v>
      </c>
      <c r="N1697">
        <v>0</v>
      </c>
    </row>
    <row r="1698" spans="1:14" ht="14.4">
      <c r="A1698">
        <v>13367</v>
      </c>
      <c r="B1698">
        <v>13368</v>
      </c>
      <c r="C1698">
        <v>4086</v>
      </c>
      <c r="D1698" t="s">
        <v>390</v>
      </c>
      <c r="E1698" t="s">
        <v>1657</v>
      </c>
      <c r="F1698">
        <v>7444</v>
      </c>
      <c r="G1698" t="s">
        <v>441</v>
      </c>
      <c r="H1698" t="s">
        <v>38</v>
      </c>
      <c r="I1698">
        <v>7407</v>
      </c>
      <c r="J1698">
        <v>6907</v>
      </c>
      <c r="K1698">
        <v>500</v>
      </c>
      <c r="L1698">
        <v>0</v>
      </c>
      <c r="M1698">
        <v>0</v>
      </c>
      <c r="N1698">
        <v>0</v>
      </c>
    </row>
    <row r="1699" spans="1:14" ht="14.4">
      <c r="A1699">
        <v>13367</v>
      </c>
      <c r="B1699">
        <v>13368</v>
      </c>
      <c r="C1699">
        <v>4086</v>
      </c>
      <c r="D1699" t="s">
        <v>390</v>
      </c>
      <c r="E1699" t="s">
        <v>704</v>
      </c>
      <c r="F1699">
        <v>7748</v>
      </c>
      <c r="G1699" t="s">
        <v>392</v>
      </c>
      <c r="H1699" t="s">
        <v>38</v>
      </c>
      <c r="I1699">
        <v>23155</v>
      </c>
      <c r="J1699">
        <v>20905</v>
      </c>
      <c r="K1699">
        <v>2250</v>
      </c>
      <c r="L1699">
        <v>7300</v>
      </c>
      <c r="M1699">
        <v>5000</v>
      </c>
      <c r="N1699">
        <v>2300</v>
      </c>
    </row>
    <row r="1700" spans="1:14" ht="14.4">
      <c r="A1700">
        <v>13367</v>
      </c>
      <c r="B1700">
        <v>13368</v>
      </c>
      <c r="C1700">
        <v>4086</v>
      </c>
      <c r="D1700" t="s">
        <v>390</v>
      </c>
      <c r="E1700" t="s">
        <v>704</v>
      </c>
      <c r="F1700">
        <v>7758</v>
      </c>
      <c r="G1700" t="s">
        <v>406</v>
      </c>
      <c r="H1700" t="s">
        <v>38</v>
      </c>
      <c r="I1700">
        <v>70741</v>
      </c>
      <c r="J1700">
        <v>54141</v>
      </c>
      <c r="K1700">
        <v>16600</v>
      </c>
      <c r="L1700">
        <v>35600</v>
      </c>
      <c r="M1700">
        <v>19000</v>
      </c>
      <c r="N1700">
        <v>16600</v>
      </c>
    </row>
    <row r="1701" spans="1:14" ht="14.4">
      <c r="A1701">
        <v>13367</v>
      </c>
      <c r="B1701">
        <v>13368</v>
      </c>
      <c r="C1701">
        <v>4086</v>
      </c>
      <c r="D1701" t="s">
        <v>390</v>
      </c>
      <c r="E1701" t="s">
        <v>704</v>
      </c>
      <c r="F1701">
        <v>7758</v>
      </c>
      <c r="G1701" t="s">
        <v>392</v>
      </c>
      <c r="H1701" t="s">
        <v>38</v>
      </c>
      <c r="I1701">
        <v>22840085</v>
      </c>
      <c r="J1701">
        <v>16281995</v>
      </c>
      <c r="K1701">
        <v>6558090</v>
      </c>
      <c r="L1701">
        <v>10557400</v>
      </c>
      <c r="M1701">
        <v>6699100</v>
      </c>
      <c r="N1701">
        <v>3849800</v>
      </c>
    </row>
    <row r="1702" spans="1:14" ht="14.4">
      <c r="A1702">
        <v>13367</v>
      </c>
      <c r="B1702">
        <v>13368</v>
      </c>
      <c r="C1702">
        <v>4086</v>
      </c>
      <c r="D1702" t="s">
        <v>390</v>
      </c>
      <c r="E1702" t="s">
        <v>704</v>
      </c>
      <c r="F1702">
        <v>7758</v>
      </c>
      <c r="G1702" t="s">
        <v>441</v>
      </c>
      <c r="H1702" t="s">
        <v>38</v>
      </c>
      <c r="I1702">
        <v>114507</v>
      </c>
      <c r="J1702">
        <v>99845</v>
      </c>
      <c r="K1702">
        <v>14662</v>
      </c>
      <c r="L1702">
        <v>0</v>
      </c>
      <c r="M1702">
        <v>0</v>
      </c>
      <c r="N1702">
        <v>0</v>
      </c>
    </row>
    <row r="1703" spans="1:14" ht="14.4">
      <c r="A1703">
        <v>13367</v>
      </c>
      <c r="B1703">
        <v>13368</v>
      </c>
      <c r="C1703">
        <v>4086</v>
      </c>
      <c r="D1703" t="s">
        <v>390</v>
      </c>
      <c r="E1703" t="s">
        <v>705</v>
      </c>
      <c r="F1703">
        <v>7114</v>
      </c>
      <c r="G1703" t="s">
        <v>428</v>
      </c>
      <c r="H1703" t="s">
        <v>38</v>
      </c>
      <c r="I1703">
        <v>4500</v>
      </c>
      <c r="J1703">
        <v>0</v>
      </c>
      <c r="K1703">
        <v>4500</v>
      </c>
      <c r="L1703">
        <v>4500</v>
      </c>
      <c r="M1703">
        <v>0</v>
      </c>
      <c r="N1703">
        <v>4500</v>
      </c>
    </row>
    <row r="1704" spans="1:14" ht="14.4">
      <c r="A1704">
        <v>13367</v>
      </c>
      <c r="B1704">
        <v>13368</v>
      </c>
      <c r="C1704">
        <v>4086</v>
      </c>
      <c r="D1704" t="s">
        <v>390</v>
      </c>
      <c r="E1704" t="s">
        <v>706</v>
      </c>
      <c r="F1704">
        <v>8349</v>
      </c>
      <c r="G1704" t="s">
        <v>452</v>
      </c>
      <c r="H1704" t="s">
        <v>38</v>
      </c>
      <c r="I1704">
        <v>81146</v>
      </c>
      <c r="J1704">
        <v>56096</v>
      </c>
      <c r="K1704">
        <v>25050</v>
      </c>
      <c r="L1704">
        <v>6200</v>
      </c>
      <c r="M1704">
        <v>3800</v>
      </c>
      <c r="N1704">
        <v>2400</v>
      </c>
    </row>
    <row r="1705" spans="1:14" ht="14.4">
      <c r="A1705">
        <v>13367</v>
      </c>
      <c r="B1705">
        <v>13368</v>
      </c>
      <c r="C1705">
        <v>4086</v>
      </c>
      <c r="D1705" t="s">
        <v>390</v>
      </c>
      <c r="E1705" t="s">
        <v>707</v>
      </c>
      <c r="F1705">
        <v>7064</v>
      </c>
      <c r="G1705" t="s">
        <v>406</v>
      </c>
      <c r="H1705" t="s">
        <v>38</v>
      </c>
      <c r="I1705">
        <v>664897</v>
      </c>
      <c r="J1705">
        <v>443647</v>
      </c>
      <c r="K1705">
        <v>221250</v>
      </c>
      <c r="L1705">
        <v>232300</v>
      </c>
      <c r="M1705">
        <v>144500</v>
      </c>
      <c r="N1705">
        <v>87800</v>
      </c>
    </row>
    <row r="1706" spans="1:14" ht="14.4">
      <c r="A1706">
        <v>13367</v>
      </c>
      <c r="B1706">
        <v>13368</v>
      </c>
      <c r="C1706">
        <v>4086</v>
      </c>
      <c r="D1706" t="s">
        <v>390</v>
      </c>
      <c r="E1706" t="s">
        <v>708</v>
      </c>
      <c r="F1706">
        <v>8241</v>
      </c>
      <c r="G1706" t="s">
        <v>394</v>
      </c>
      <c r="H1706" t="s">
        <v>38</v>
      </c>
      <c r="I1706">
        <v>798493</v>
      </c>
      <c r="J1706">
        <v>674768</v>
      </c>
      <c r="K1706">
        <v>123725</v>
      </c>
      <c r="L1706">
        <v>286500</v>
      </c>
      <c r="M1706">
        <v>226500</v>
      </c>
      <c r="N1706">
        <v>60000</v>
      </c>
    </row>
    <row r="1707" spans="1:14" ht="14.4">
      <c r="A1707">
        <v>13367</v>
      </c>
      <c r="B1707">
        <v>13368</v>
      </c>
      <c r="C1707">
        <v>4086</v>
      </c>
      <c r="D1707" t="s">
        <v>390</v>
      </c>
      <c r="E1707" t="s">
        <v>1658</v>
      </c>
      <c r="F1707">
        <v>7064</v>
      </c>
      <c r="G1707" t="s">
        <v>406</v>
      </c>
      <c r="H1707" t="s">
        <v>38</v>
      </c>
      <c r="I1707">
        <v>40466</v>
      </c>
      <c r="J1707">
        <v>32331</v>
      </c>
      <c r="K1707">
        <v>8135</v>
      </c>
      <c r="L1707">
        <v>0</v>
      </c>
      <c r="M1707">
        <v>0</v>
      </c>
      <c r="N1707">
        <v>0</v>
      </c>
    </row>
    <row r="1708" spans="1:14" ht="14.4">
      <c r="A1708">
        <v>13367</v>
      </c>
      <c r="B1708">
        <v>13368</v>
      </c>
      <c r="C1708">
        <v>4086</v>
      </c>
      <c r="D1708" t="s">
        <v>390</v>
      </c>
      <c r="E1708" t="s">
        <v>1659</v>
      </c>
      <c r="F1708">
        <v>8742</v>
      </c>
      <c r="G1708" t="s">
        <v>402</v>
      </c>
      <c r="H1708" t="s">
        <v>38</v>
      </c>
      <c r="I1708">
        <v>10300</v>
      </c>
      <c r="J1708">
        <v>0</v>
      </c>
      <c r="K1708">
        <v>10300</v>
      </c>
      <c r="L1708">
        <v>10300</v>
      </c>
      <c r="M1708">
        <v>0</v>
      </c>
      <c r="N1708">
        <v>10300</v>
      </c>
    </row>
    <row r="1709" spans="1:14" ht="14.4">
      <c r="A1709">
        <v>13367</v>
      </c>
      <c r="B1709">
        <v>13368</v>
      </c>
      <c r="C1709">
        <v>4086</v>
      </c>
      <c r="D1709" t="s">
        <v>390</v>
      </c>
      <c r="E1709" t="s">
        <v>709</v>
      </c>
      <c r="F1709">
        <v>8540</v>
      </c>
      <c r="G1709" t="s">
        <v>496</v>
      </c>
      <c r="H1709" t="s">
        <v>38</v>
      </c>
      <c r="I1709">
        <v>205948</v>
      </c>
      <c r="J1709">
        <v>175353</v>
      </c>
      <c r="K1709">
        <v>30595</v>
      </c>
      <c r="L1709">
        <v>82200</v>
      </c>
      <c r="M1709">
        <v>61200</v>
      </c>
      <c r="N1709">
        <v>21000</v>
      </c>
    </row>
    <row r="1710" spans="1:14" ht="14.4">
      <c r="A1710">
        <v>13367</v>
      </c>
      <c r="B1710">
        <v>13368</v>
      </c>
      <c r="C1710">
        <v>4086</v>
      </c>
      <c r="D1710" t="s">
        <v>390</v>
      </c>
      <c r="E1710" t="s">
        <v>1660</v>
      </c>
      <c r="F1710">
        <v>8550</v>
      </c>
      <c r="G1710" t="s">
        <v>496</v>
      </c>
      <c r="H1710" t="s">
        <v>38</v>
      </c>
      <c r="I1710">
        <v>244622</v>
      </c>
      <c r="J1710">
        <v>236897</v>
      </c>
      <c r="K1710">
        <v>7725</v>
      </c>
      <c r="L1710">
        <v>135200</v>
      </c>
      <c r="M1710">
        <v>127500</v>
      </c>
      <c r="N1710">
        <v>7700</v>
      </c>
    </row>
    <row r="1711" spans="1:14" ht="14.4">
      <c r="A1711">
        <v>13367</v>
      </c>
      <c r="B1711">
        <v>13368</v>
      </c>
      <c r="C1711">
        <v>4086</v>
      </c>
      <c r="D1711" t="s">
        <v>390</v>
      </c>
      <c r="E1711" t="s">
        <v>1661</v>
      </c>
      <c r="F1711">
        <v>7508</v>
      </c>
      <c r="G1711" t="s">
        <v>429</v>
      </c>
      <c r="H1711" t="s">
        <v>38</v>
      </c>
      <c r="I1711">
        <v>97578</v>
      </c>
      <c r="J1711">
        <v>87178</v>
      </c>
      <c r="K1711">
        <v>10400</v>
      </c>
      <c r="L1711">
        <v>0</v>
      </c>
      <c r="M1711">
        <v>0</v>
      </c>
      <c r="N1711">
        <v>0</v>
      </c>
    </row>
    <row r="1712" spans="1:14" ht="14.4">
      <c r="A1712">
        <v>13367</v>
      </c>
      <c r="B1712">
        <v>13368</v>
      </c>
      <c r="C1712">
        <v>4086</v>
      </c>
      <c r="D1712" t="s">
        <v>390</v>
      </c>
      <c r="E1712" t="s">
        <v>710</v>
      </c>
      <c r="F1712">
        <v>8742</v>
      </c>
      <c r="G1712" t="s">
        <v>402</v>
      </c>
      <c r="H1712" t="s">
        <v>38</v>
      </c>
      <c r="I1712">
        <v>87019</v>
      </c>
      <c r="J1712">
        <v>72769</v>
      </c>
      <c r="K1712">
        <v>14250</v>
      </c>
      <c r="L1712">
        <v>0</v>
      </c>
      <c r="M1712">
        <v>0</v>
      </c>
      <c r="N1712">
        <v>0</v>
      </c>
    </row>
    <row r="1713" spans="1:14" ht="14.4">
      <c r="A1713">
        <v>13367</v>
      </c>
      <c r="B1713">
        <v>13368</v>
      </c>
      <c r="C1713">
        <v>4086</v>
      </c>
      <c r="D1713" t="s">
        <v>390</v>
      </c>
      <c r="E1713" t="s">
        <v>711</v>
      </c>
      <c r="F1713">
        <v>8742</v>
      </c>
      <c r="G1713" t="s">
        <v>402</v>
      </c>
      <c r="H1713" t="s">
        <v>38</v>
      </c>
      <c r="I1713">
        <v>2441616</v>
      </c>
      <c r="J1713">
        <v>1727956</v>
      </c>
      <c r="K1713">
        <v>713660</v>
      </c>
      <c r="L1713">
        <v>889100</v>
      </c>
      <c r="M1713">
        <v>599800</v>
      </c>
      <c r="N1713">
        <v>289300</v>
      </c>
    </row>
    <row r="1714" spans="1:14" ht="14.4">
      <c r="A1714">
        <v>13367</v>
      </c>
      <c r="B1714">
        <v>13368</v>
      </c>
      <c r="C1714">
        <v>4086</v>
      </c>
      <c r="D1714" t="s">
        <v>390</v>
      </c>
      <c r="E1714" t="s">
        <v>1662</v>
      </c>
      <c r="F1714">
        <v>8742</v>
      </c>
      <c r="G1714" t="s">
        <v>402</v>
      </c>
      <c r="H1714" t="s">
        <v>38</v>
      </c>
      <c r="I1714">
        <v>62277</v>
      </c>
      <c r="J1714">
        <v>48277</v>
      </c>
      <c r="K1714">
        <v>14000</v>
      </c>
      <c r="L1714">
        <v>42500</v>
      </c>
      <c r="M1714">
        <v>29100</v>
      </c>
      <c r="N1714">
        <v>13400</v>
      </c>
    </row>
    <row r="1715" spans="1:14" ht="14.4">
      <c r="A1715">
        <v>13367</v>
      </c>
      <c r="B1715">
        <v>13368</v>
      </c>
      <c r="C1715">
        <v>4086</v>
      </c>
      <c r="D1715" t="s">
        <v>390</v>
      </c>
      <c r="E1715" t="s">
        <v>712</v>
      </c>
      <c r="F1715">
        <v>8742</v>
      </c>
      <c r="G1715" t="s">
        <v>402</v>
      </c>
      <c r="H1715" t="s">
        <v>38</v>
      </c>
      <c r="I1715">
        <v>2682594</v>
      </c>
      <c r="J1715">
        <v>1943178</v>
      </c>
      <c r="K1715">
        <v>739416</v>
      </c>
      <c r="L1715">
        <v>1058000</v>
      </c>
      <c r="M1715">
        <v>721500</v>
      </c>
      <c r="N1715">
        <v>336500</v>
      </c>
    </row>
    <row r="1716" spans="1:14" ht="14.4">
      <c r="A1716">
        <v>13367</v>
      </c>
      <c r="B1716">
        <v>13368</v>
      </c>
      <c r="C1716">
        <v>4086</v>
      </c>
      <c r="D1716" t="s">
        <v>390</v>
      </c>
      <c r="E1716" t="s">
        <v>1663</v>
      </c>
      <c r="F1716">
        <v>8742</v>
      </c>
      <c r="G1716" t="s">
        <v>402</v>
      </c>
      <c r="H1716" t="s">
        <v>38</v>
      </c>
      <c r="I1716">
        <v>152886</v>
      </c>
      <c r="J1716">
        <v>114536</v>
      </c>
      <c r="K1716">
        <v>38350</v>
      </c>
      <c r="L1716">
        <v>0</v>
      </c>
      <c r="M1716">
        <v>0</v>
      </c>
      <c r="N1716">
        <v>0</v>
      </c>
    </row>
    <row r="1717" spans="1:14" ht="14.4">
      <c r="A1717">
        <v>13367</v>
      </c>
      <c r="B1717">
        <v>13368</v>
      </c>
      <c r="C1717">
        <v>4086</v>
      </c>
      <c r="D1717" t="s">
        <v>390</v>
      </c>
      <c r="E1717" t="s">
        <v>714</v>
      </c>
      <c r="F1717">
        <v>8742</v>
      </c>
      <c r="G1717" t="s">
        <v>402</v>
      </c>
      <c r="H1717" t="s">
        <v>38</v>
      </c>
      <c r="I1717">
        <v>119231</v>
      </c>
      <c r="J1717">
        <v>78501</v>
      </c>
      <c r="K1717">
        <v>40730</v>
      </c>
      <c r="L1717">
        <v>33600</v>
      </c>
      <c r="M1717">
        <v>17800</v>
      </c>
      <c r="N1717">
        <v>15800</v>
      </c>
    </row>
    <row r="1718" spans="1:14" ht="14.4">
      <c r="A1718">
        <v>13367</v>
      </c>
      <c r="B1718">
        <v>13368</v>
      </c>
      <c r="C1718">
        <v>4086</v>
      </c>
      <c r="D1718" t="s">
        <v>390</v>
      </c>
      <c r="E1718" t="s">
        <v>1664</v>
      </c>
      <c r="F1718">
        <v>8472</v>
      </c>
      <c r="G1718" t="s">
        <v>402</v>
      </c>
      <c r="H1718" t="s">
        <v>38</v>
      </c>
      <c r="I1718">
        <v>31649</v>
      </c>
      <c r="J1718">
        <v>31649</v>
      </c>
      <c r="K1718">
        <v>0</v>
      </c>
      <c r="L1718">
        <v>0</v>
      </c>
      <c r="M1718">
        <v>0</v>
      </c>
      <c r="N1718">
        <v>0</v>
      </c>
    </row>
    <row r="1719" spans="1:14" ht="14.4">
      <c r="A1719">
        <v>13367</v>
      </c>
      <c r="B1719">
        <v>13368</v>
      </c>
      <c r="C1719">
        <v>4086</v>
      </c>
      <c r="D1719" t="s">
        <v>390</v>
      </c>
      <c r="E1719" t="s">
        <v>1664</v>
      </c>
      <c r="F1719">
        <v>8742</v>
      </c>
      <c r="G1719" t="s">
        <v>402</v>
      </c>
      <c r="H1719" t="s">
        <v>38</v>
      </c>
      <c r="I1719">
        <v>118427</v>
      </c>
      <c r="J1719">
        <v>72577</v>
      </c>
      <c r="K1719">
        <v>45850</v>
      </c>
      <c r="L1719">
        <v>0</v>
      </c>
      <c r="M1719">
        <v>0</v>
      </c>
      <c r="N1719">
        <v>0</v>
      </c>
    </row>
    <row r="1720" spans="1:14" ht="14.4">
      <c r="A1720">
        <v>13367</v>
      </c>
      <c r="B1720">
        <v>13368</v>
      </c>
      <c r="C1720">
        <v>4086</v>
      </c>
      <c r="D1720" t="s">
        <v>390</v>
      </c>
      <c r="E1720" t="s">
        <v>1665</v>
      </c>
      <c r="F1720">
        <v>8742</v>
      </c>
      <c r="G1720" t="s">
        <v>402</v>
      </c>
      <c r="H1720" t="s">
        <v>38</v>
      </c>
      <c r="I1720">
        <v>19997</v>
      </c>
      <c r="J1720">
        <v>17297</v>
      </c>
      <c r="K1720">
        <v>2700</v>
      </c>
      <c r="L1720">
        <v>0</v>
      </c>
      <c r="M1720">
        <v>0</v>
      </c>
      <c r="N1720">
        <v>0</v>
      </c>
    </row>
    <row r="1721" spans="1:14" ht="14.4">
      <c r="A1721">
        <v>13367</v>
      </c>
      <c r="B1721">
        <v>13368</v>
      </c>
      <c r="C1721">
        <v>4086</v>
      </c>
      <c r="D1721" t="s">
        <v>390</v>
      </c>
      <c r="E1721" t="s">
        <v>715</v>
      </c>
      <c r="F1721">
        <v>8742</v>
      </c>
      <c r="G1721" t="s">
        <v>402</v>
      </c>
      <c r="H1721" t="s">
        <v>38</v>
      </c>
      <c r="I1721">
        <v>201118</v>
      </c>
      <c r="J1721">
        <v>142623</v>
      </c>
      <c r="K1721">
        <v>58495</v>
      </c>
      <c r="L1721">
        <v>22700</v>
      </c>
      <c r="M1721">
        <v>0</v>
      </c>
      <c r="N1721">
        <v>22700</v>
      </c>
    </row>
    <row r="1722" spans="1:14" ht="14.4">
      <c r="A1722">
        <v>13367</v>
      </c>
      <c r="B1722">
        <v>13368</v>
      </c>
      <c r="C1722">
        <v>4086</v>
      </c>
      <c r="D1722" t="s">
        <v>390</v>
      </c>
      <c r="E1722" t="s">
        <v>1666</v>
      </c>
      <c r="F1722">
        <v>8742</v>
      </c>
      <c r="G1722" t="s">
        <v>402</v>
      </c>
      <c r="H1722" t="s">
        <v>38</v>
      </c>
      <c r="I1722">
        <v>177561</v>
      </c>
      <c r="J1722">
        <v>132511</v>
      </c>
      <c r="K1722">
        <v>45050</v>
      </c>
      <c r="L1722">
        <v>0</v>
      </c>
      <c r="M1722">
        <v>0</v>
      </c>
      <c r="N1722">
        <v>0</v>
      </c>
    </row>
    <row r="1723" spans="1:14" ht="14.4">
      <c r="A1723">
        <v>13367</v>
      </c>
      <c r="B1723">
        <v>13368</v>
      </c>
      <c r="C1723">
        <v>4086</v>
      </c>
      <c r="D1723" t="s">
        <v>390</v>
      </c>
      <c r="E1723" t="s">
        <v>716</v>
      </c>
      <c r="F1723">
        <v>7065</v>
      </c>
      <c r="G1723" t="s">
        <v>413</v>
      </c>
      <c r="H1723" t="s">
        <v>38</v>
      </c>
      <c r="I1723">
        <v>9650</v>
      </c>
      <c r="J1723">
        <v>0</v>
      </c>
      <c r="K1723">
        <v>9650</v>
      </c>
      <c r="L1723">
        <v>0</v>
      </c>
      <c r="M1723">
        <v>0</v>
      </c>
      <c r="N1723">
        <v>0</v>
      </c>
    </row>
    <row r="1724" spans="1:14" ht="14.4">
      <c r="A1724">
        <v>13367</v>
      </c>
      <c r="B1724">
        <v>13368</v>
      </c>
      <c r="C1724">
        <v>4086</v>
      </c>
      <c r="D1724" t="s">
        <v>390</v>
      </c>
      <c r="E1724" t="s">
        <v>716</v>
      </c>
      <c r="F1724">
        <v>7065</v>
      </c>
      <c r="G1724" t="s">
        <v>435</v>
      </c>
      <c r="H1724" t="s">
        <v>38</v>
      </c>
      <c r="I1724">
        <v>1019782</v>
      </c>
      <c r="J1724">
        <v>704032</v>
      </c>
      <c r="K1724">
        <v>315750</v>
      </c>
      <c r="L1724">
        <v>424200</v>
      </c>
      <c r="M1724">
        <v>276900</v>
      </c>
      <c r="N1724">
        <v>147300</v>
      </c>
    </row>
    <row r="1725" spans="1:14" ht="14.4">
      <c r="A1725">
        <v>13367</v>
      </c>
      <c r="B1725">
        <v>13368</v>
      </c>
      <c r="C1725">
        <v>4086</v>
      </c>
      <c r="D1725" t="s">
        <v>390</v>
      </c>
      <c r="E1725" t="s">
        <v>1667</v>
      </c>
      <c r="F1725">
        <v>7446</v>
      </c>
      <c r="G1725" t="s">
        <v>76</v>
      </c>
      <c r="H1725" t="s">
        <v>38</v>
      </c>
      <c r="I1725">
        <v>36360</v>
      </c>
      <c r="J1725">
        <v>36360</v>
      </c>
      <c r="K1725">
        <v>0</v>
      </c>
      <c r="L1725">
        <v>21100</v>
      </c>
      <c r="M1725">
        <v>21100</v>
      </c>
      <c r="N1725">
        <v>0</v>
      </c>
    </row>
    <row r="1726" spans="1:14" ht="14.4">
      <c r="A1726">
        <v>13367</v>
      </c>
      <c r="B1726">
        <v>13368</v>
      </c>
      <c r="C1726">
        <v>4086</v>
      </c>
      <c r="D1726" t="s">
        <v>390</v>
      </c>
      <c r="E1726" t="s">
        <v>717</v>
      </c>
      <c r="F1726">
        <v>7869</v>
      </c>
      <c r="G1726" t="s">
        <v>441</v>
      </c>
      <c r="H1726" t="s">
        <v>38</v>
      </c>
      <c r="I1726">
        <v>477572</v>
      </c>
      <c r="J1726">
        <v>430247</v>
      </c>
      <c r="K1726">
        <v>47325</v>
      </c>
      <c r="L1726">
        <v>312300</v>
      </c>
      <c r="M1726">
        <v>268100</v>
      </c>
      <c r="N1726">
        <v>44200</v>
      </c>
    </row>
    <row r="1727" spans="1:14" ht="14.4">
      <c r="A1727">
        <v>13367</v>
      </c>
      <c r="B1727">
        <v>13368</v>
      </c>
      <c r="C1727">
        <v>4086</v>
      </c>
      <c r="D1727" t="s">
        <v>390</v>
      </c>
      <c r="E1727" t="s">
        <v>718</v>
      </c>
      <c r="F1727">
        <v>8869</v>
      </c>
      <c r="G1727" t="s">
        <v>413</v>
      </c>
      <c r="H1727" t="s">
        <v>38</v>
      </c>
      <c r="I1727">
        <v>104337</v>
      </c>
      <c r="J1727">
        <v>96957</v>
      </c>
      <c r="K1727">
        <v>7380</v>
      </c>
      <c r="L1727">
        <v>81500</v>
      </c>
      <c r="M1727">
        <v>77000</v>
      </c>
      <c r="N1727">
        <v>4500</v>
      </c>
    </row>
    <row r="1728" spans="1:14" ht="14.4">
      <c r="A1728">
        <v>13367</v>
      </c>
      <c r="B1728">
        <v>13368</v>
      </c>
      <c r="C1728">
        <v>4086</v>
      </c>
      <c r="D1728" t="s">
        <v>390</v>
      </c>
      <c r="E1728" t="s">
        <v>719</v>
      </c>
      <c r="F1728">
        <v>7701</v>
      </c>
      <c r="G1728" t="s">
        <v>392</v>
      </c>
      <c r="H1728" t="s">
        <v>38</v>
      </c>
      <c r="I1728">
        <v>606263</v>
      </c>
      <c r="J1728">
        <v>514818</v>
      </c>
      <c r="K1728">
        <v>91445</v>
      </c>
      <c r="L1728">
        <v>249000</v>
      </c>
      <c r="M1728">
        <v>212400</v>
      </c>
      <c r="N1728">
        <v>36600</v>
      </c>
    </row>
    <row r="1729" spans="1:14" ht="14.4">
      <c r="A1729">
        <v>13367</v>
      </c>
      <c r="B1729">
        <v>13368</v>
      </c>
      <c r="C1729">
        <v>4086</v>
      </c>
      <c r="D1729" t="s">
        <v>390</v>
      </c>
      <c r="E1729" t="s">
        <v>1668</v>
      </c>
      <c r="F1729">
        <v>8210</v>
      </c>
      <c r="G1729" t="s">
        <v>404</v>
      </c>
      <c r="H1729" t="s">
        <v>38</v>
      </c>
      <c r="I1729">
        <v>101444</v>
      </c>
      <c r="J1729">
        <v>95944</v>
      </c>
      <c r="K1729">
        <v>5500</v>
      </c>
      <c r="L1729">
        <v>0</v>
      </c>
      <c r="M1729">
        <v>0</v>
      </c>
      <c r="N1729">
        <v>0</v>
      </c>
    </row>
    <row r="1730" spans="1:14" ht="14.4">
      <c r="A1730">
        <v>13367</v>
      </c>
      <c r="B1730">
        <v>13368</v>
      </c>
      <c r="C1730">
        <v>4086</v>
      </c>
      <c r="D1730" t="s">
        <v>390</v>
      </c>
      <c r="E1730" t="s">
        <v>1669</v>
      </c>
      <c r="F1730">
        <v>7660</v>
      </c>
      <c r="G1730" t="s">
        <v>76</v>
      </c>
      <c r="H1730" t="s">
        <v>38</v>
      </c>
      <c r="I1730">
        <v>42162</v>
      </c>
      <c r="J1730">
        <v>36322</v>
      </c>
      <c r="K1730">
        <v>5840</v>
      </c>
      <c r="L1730">
        <v>0</v>
      </c>
      <c r="M1730">
        <v>0</v>
      </c>
      <c r="N1730">
        <v>0</v>
      </c>
    </row>
    <row r="1731" spans="1:14" ht="14.4">
      <c r="A1731">
        <v>13367</v>
      </c>
      <c r="B1731">
        <v>13368</v>
      </c>
      <c r="C1731">
        <v>4086</v>
      </c>
      <c r="D1731" t="s">
        <v>390</v>
      </c>
      <c r="E1731" t="s">
        <v>1670</v>
      </c>
      <c r="F1731">
        <v>7657</v>
      </c>
      <c r="G1731" t="s">
        <v>76</v>
      </c>
      <c r="H1731" t="s">
        <v>38</v>
      </c>
      <c r="I1731">
        <v>17147</v>
      </c>
      <c r="J1731">
        <v>12622</v>
      </c>
      <c r="K1731">
        <v>4525</v>
      </c>
      <c r="L1731">
        <v>0</v>
      </c>
      <c r="M1731">
        <v>0</v>
      </c>
      <c r="N1731">
        <v>0</v>
      </c>
    </row>
    <row r="1732" spans="1:14" ht="14.4">
      <c r="A1732">
        <v>13367</v>
      </c>
      <c r="B1732">
        <v>13368</v>
      </c>
      <c r="C1732">
        <v>4086</v>
      </c>
      <c r="D1732" t="s">
        <v>390</v>
      </c>
      <c r="E1732" t="s">
        <v>720</v>
      </c>
      <c r="F1732">
        <v>7660</v>
      </c>
      <c r="G1732" t="s">
        <v>76</v>
      </c>
      <c r="H1732" t="s">
        <v>38</v>
      </c>
      <c r="I1732">
        <v>870911</v>
      </c>
      <c r="J1732">
        <v>511601</v>
      </c>
      <c r="K1732">
        <v>359310</v>
      </c>
      <c r="L1732">
        <v>408900</v>
      </c>
      <c r="M1732">
        <v>224100</v>
      </c>
      <c r="N1732">
        <v>184800</v>
      </c>
    </row>
    <row r="1733" spans="1:14" ht="14.4">
      <c r="A1733">
        <v>13367</v>
      </c>
      <c r="B1733">
        <v>13368</v>
      </c>
      <c r="C1733">
        <v>4086</v>
      </c>
      <c r="D1733" t="s">
        <v>390</v>
      </c>
      <c r="E1733" t="s">
        <v>299</v>
      </c>
      <c r="F1733">
        <v>7450</v>
      </c>
      <c r="G1733" t="s">
        <v>76</v>
      </c>
      <c r="H1733" t="s">
        <v>38</v>
      </c>
      <c r="I1733">
        <v>355359</v>
      </c>
      <c r="J1733">
        <v>268734</v>
      </c>
      <c r="K1733">
        <v>86625</v>
      </c>
      <c r="L1733">
        <v>85100</v>
      </c>
      <c r="M1733">
        <v>70700</v>
      </c>
      <c r="N1733">
        <v>14400</v>
      </c>
    </row>
    <row r="1734" spans="1:14" ht="14.4">
      <c r="A1734">
        <v>13367</v>
      </c>
      <c r="B1734">
        <v>13368</v>
      </c>
      <c r="C1734">
        <v>4086</v>
      </c>
      <c r="D1734" t="s">
        <v>390</v>
      </c>
      <c r="E1734" t="s">
        <v>1671</v>
      </c>
      <c r="F1734">
        <v>8551</v>
      </c>
      <c r="G1734" t="s">
        <v>464</v>
      </c>
      <c r="H1734" t="s">
        <v>38</v>
      </c>
      <c r="I1734">
        <v>153823</v>
      </c>
      <c r="J1734">
        <v>124248</v>
      </c>
      <c r="K1734">
        <v>29575</v>
      </c>
      <c r="L1734">
        <v>0</v>
      </c>
      <c r="M1734">
        <v>0</v>
      </c>
      <c r="N1734">
        <v>0</v>
      </c>
    </row>
    <row r="1735" spans="1:14" ht="14.4">
      <c r="A1735">
        <v>13367</v>
      </c>
      <c r="B1735">
        <v>13368</v>
      </c>
      <c r="C1735">
        <v>4086</v>
      </c>
      <c r="D1735" t="s">
        <v>390</v>
      </c>
      <c r="E1735" t="s">
        <v>722</v>
      </c>
      <c r="F1735">
        <v>8242</v>
      </c>
      <c r="G1735" t="s">
        <v>404</v>
      </c>
      <c r="H1735" t="s">
        <v>38</v>
      </c>
      <c r="I1735">
        <v>101264</v>
      </c>
      <c r="J1735">
        <v>99100</v>
      </c>
      <c r="K1735">
        <v>2164</v>
      </c>
      <c r="L1735">
        <v>79300</v>
      </c>
      <c r="M1735">
        <v>77100</v>
      </c>
      <c r="N1735">
        <v>2200</v>
      </c>
    </row>
    <row r="1736" spans="1:14" ht="14.4">
      <c r="A1736">
        <v>13367</v>
      </c>
      <c r="B1736">
        <v>13368</v>
      </c>
      <c r="C1736">
        <v>4086</v>
      </c>
      <c r="D1736" t="s">
        <v>390</v>
      </c>
      <c r="E1736" t="s">
        <v>1672</v>
      </c>
      <c r="F1736">
        <v>7661</v>
      </c>
      <c r="G1736" t="s">
        <v>76</v>
      </c>
      <c r="H1736" t="s">
        <v>38</v>
      </c>
      <c r="I1736">
        <v>159975</v>
      </c>
      <c r="J1736">
        <v>132608</v>
      </c>
      <c r="K1736">
        <v>27367</v>
      </c>
      <c r="L1736">
        <v>25600</v>
      </c>
      <c r="M1736">
        <v>6500</v>
      </c>
      <c r="N1736">
        <v>19100</v>
      </c>
    </row>
    <row r="1737" spans="1:14" ht="14.4">
      <c r="A1737">
        <v>13367</v>
      </c>
      <c r="B1737">
        <v>13368</v>
      </c>
      <c r="C1737">
        <v>4086</v>
      </c>
      <c r="D1737" t="s">
        <v>390</v>
      </c>
      <c r="E1737" t="s">
        <v>1673</v>
      </c>
      <c r="F1737">
        <v>7675</v>
      </c>
      <c r="G1737" t="s">
        <v>76</v>
      </c>
      <c r="H1737" t="s">
        <v>38</v>
      </c>
      <c r="I1737">
        <v>29763</v>
      </c>
      <c r="J1737">
        <v>29763</v>
      </c>
      <c r="K1737">
        <v>0</v>
      </c>
      <c r="L1737">
        <v>10900</v>
      </c>
      <c r="M1737">
        <v>10900</v>
      </c>
      <c r="N1737">
        <v>0</v>
      </c>
    </row>
    <row r="1738" spans="1:14" ht="14.4">
      <c r="A1738">
        <v>13367</v>
      </c>
      <c r="B1738">
        <v>13368</v>
      </c>
      <c r="C1738">
        <v>4086</v>
      </c>
      <c r="D1738" t="s">
        <v>390</v>
      </c>
      <c r="E1738" t="s">
        <v>986</v>
      </c>
      <c r="F1738">
        <v>8075</v>
      </c>
      <c r="G1738" t="s">
        <v>443</v>
      </c>
      <c r="H1738" t="s">
        <v>38</v>
      </c>
      <c r="I1738">
        <v>114796</v>
      </c>
      <c r="J1738">
        <v>85141</v>
      </c>
      <c r="K1738">
        <v>29655</v>
      </c>
      <c r="L1738">
        <v>43000</v>
      </c>
      <c r="M1738">
        <v>37200</v>
      </c>
      <c r="N1738">
        <v>5800</v>
      </c>
    </row>
    <row r="1739" spans="1:14" ht="14.4">
      <c r="A1739">
        <v>13367</v>
      </c>
      <c r="B1739">
        <v>13368</v>
      </c>
      <c r="C1739">
        <v>4086</v>
      </c>
      <c r="D1739" t="s">
        <v>390</v>
      </c>
      <c r="E1739" t="s">
        <v>723</v>
      </c>
      <c r="F1739">
        <v>8691</v>
      </c>
      <c r="G1739" t="s">
        <v>496</v>
      </c>
      <c r="H1739" t="s">
        <v>38</v>
      </c>
      <c r="I1739">
        <v>119268</v>
      </c>
      <c r="J1739">
        <v>114760</v>
      </c>
      <c r="K1739">
        <v>4508</v>
      </c>
      <c r="L1739">
        <v>14000</v>
      </c>
      <c r="M1739">
        <v>14000</v>
      </c>
      <c r="N1739">
        <v>0</v>
      </c>
    </row>
    <row r="1740" spans="1:14" ht="14.4">
      <c r="A1740">
        <v>13367</v>
      </c>
      <c r="B1740">
        <v>13368</v>
      </c>
      <c r="C1740">
        <v>4086</v>
      </c>
      <c r="D1740" t="s">
        <v>390</v>
      </c>
      <c r="E1740" t="s">
        <v>724</v>
      </c>
      <c r="F1740">
        <v>7662</v>
      </c>
      <c r="G1740" t="s">
        <v>76</v>
      </c>
      <c r="H1740" t="s">
        <v>38</v>
      </c>
      <c r="I1740">
        <v>49222</v>
      </c>
      <c r="J1740">
        <v>48722</v>
      </c>
      <c r="K1740">
        <v>500</v>
      </c>
      <c r="L1740">
        <v>24100</v>
      </c>
      <c r="M1740">
        <v>24100</v>
      </c>
      <c r="N1740">
        <v>0</v>
      </c>
    </row>
    <row r="1741" spans="1:14" ht="14.4">
      <c r="A1741">
        <v>13367</v>
      </c>
      <c r="B1741">
        <v>13368</v>
      </c>
      <c r="C1741">
        <v>4086</v>
      </c>
      <c r="D1741" t="s">
        <v>390</v>
      </c>
      <c r="E1741" t="s">
        <v>303</v>
      </c>
      <c r="F1741">
        <v>7866</v>
      </c>
      <c r="G1741" t="s">
        <v>441</v>
      </c>
      <c r="H1741" t="s">
        <v>38</v>
      </c>
      <c r="I1741">
        <v>197841</v>
      </c>
      <c r="J1741">
        <v>183724</v>
      </c>
      <c r="K1741">
        <v>14117</v>
      </c>
      <c r="L1741">
        <v>155400</v>
      </c>
      <c r="M1741">
        <v>152000</v>
      </c>
      <c r="N1741">
        <v>3400</v>
      </c>
    </row>
    <row r="1742" spans="1:14" ht="14.4">
      <c r="A1742">
        <v>13367</v>
      </c>
      <c r="B1742">
        <v>13368</v>
      </c>
      <c r="C1742">
        <v>4086</v>
      </c>
      <c r="D1742" t="s">
        <v>390</v>
      </c>
      <c r="E1742" t="s">
        <v>1674</v>
      </c>
      <c r="F1742">
        <v>8553</v>
      </c>
      <c r="G1742" t="s">
        <v>413</v>
      </c>
      <c r="H1742" t="s">
        <v>38</v>
      </c>
      <c r="I1742">
        <v>5843</v>
      </c>
      <c r="J1742">
        <v>5543</v>
      </c>
      <c r="K1742">
        <v>300</v>
      </c>
      <c r="L1742">
        <v>0</v>
      </c>
      <c r="M1742">
        <v>0</v>
      </c>
      <c r="N1742">
        <v>0</v>
      </c>
    </row>
    <row r="1743" spans="1:14" ht="14.4">
      <c r="A1743">
        <v>13367</v>
      </c>
      <c r="B1743">
        <v>13368</v>
      </c>
      <c r="C1743">
        <v>4086</v>
      </c>
      <c r="D1743" t="s">
        <v>390</v>
      </c>
      <c r="E1743" t="s">
        <v>313</v>
      </c>
      <c r="F1743">
        <v>8555</v>
      </c>
      <c r="G1743" t="s">
        <v>392</v>
      </c>
      <c r="H1743" t="s">
        <v>38</v>
      </c>
      <c r="I1743">
        <v>66229</v>
      </c>
      <c r="J1743">
        <v>61429</v>
      </c>
      <c r="K1743">
        <v>4800</v>
      </c>
      <c r="L1743">
        <v>12200</v>
      </c>
      <c r="M1743">
        <v>12200</v>
      </c>
      <c r="N1743">
        <v>0</v>
      </c>
    </row>
    <row r="1744" spans="1:14" ht="14.4">
      <c r="A1744">
        <v>13367</v>
      </c>
      <c r="B1744">
        <v>13368</v>
      </c>
      <c r="C1744">
        <v>4086</v>
      </c>
      <c r="D1744" t="s">
        <v>390</v>
      </c>
      <c r="E1744" t="s">
        <v>725</v>
      </c>
      <c r="F1744">
        <v>7068</v>
      </c>
      <c r="G1744" t="s">
        <v>428</v>
      </c>
      <c r="H1744" t="s">
        <v>38</v>
      </c>
      <c r="I1744">
        <v>152310</v>
      </c>
      <c r="J1744">
        <v>147110</v>
      </c>
      <c r="K1744">
        <v>5200</v>
      </c>
      <c r="L1744">
        <v>138400</v>
      </c>
      <c r="M1744">
        <v>133200</v>
      </c>
      <c r="N1744">
        <v>5200</v>
      </c>
    </row>
    <row r="1745" spans="1:14" ht="14.4">
      <c r="A1745">
        <v>13367</v>
      </c>
      <c r="B1745">
        <v>13368</v>
      </c>
      <c r="C1745">
        <v>4086</v>
      </c>
      <c r="D1745" t="s">
        <v>390</v>
      </c>
      <c r="E1745" t="s">
        <v>1675</v>
      </c>
      <c r="F1745">
        <v>7203</v>
      </c>
      <c r="G1745" t="s">
        <v>435</v>
      </c>
      <c r="H1745" t="s">
        <v>38</v>
      </c>
      <c r="I1745">
        <v>43774</v>
      </c>
      <c r="J1745">
        <v>40274</v>
      </c>
      <c r="K1745">
        <v>3500</v>
      </c>
      <c r="L1745">
        <v>0</v>
      </c>
      <c r="M1745">
        <v>0</v>
      </c>
      <c r="N1745">
        <v>0</v>
      </c>
    </row>
    <row r="1746" spans="1:14" ht="14.4">
      <c r="A1746">
        <v>13367</v>
      </c>
      <c r="B1746">
        <v>13368</v>
      </c>
      <c r="C1746">
        <v>4086</v>
      </c>
      <c r="D1746" t="s">
        <v>390</v>
      </c>
      <c r="E1746" t="s">
        <v>726</v>
      </c>
      <c r="F1746">
        <v>7203</v>
      </c>
      <c r="G1746" t="s">
        <v>435</v>
      </c>
      <c r="H1746" t="s">
        <v>38</v>
      </c>
      <c r="I1746">
        <v>309419</v>
      </c>
      <c r="J1746">
        <v>291869</v>
      </c>
      <c r="K1746">
        <v>17550</v>
      </c>
      <c r="L1746">
        <v>122300</v>
      </c>
      <c r="M1746">
        <v>111700</v>
      </c>
      <c r="N1746">
        <v>10600</v>
      </c>
    </row>
    <row r="1747" spans="1:14" ht="14.4">
      <c r="A1747">
        <v>13367</v>
      </c>
      <c r="B1747">
        <v>13368</v>
      </c>
      <c r="C1747">
        <v>4086</v>
      </c>
      <c r="D1747" t="s">
        <v>390</v>
      </c>
      <c r="E1747" t="s">
        <v>727</v>
      </c>
      <c r="F1747">
        <v>7204</v>
      </c>
      <c r="G1747" t="s">
        <v>37</v>
      </c>
      <c r="H1747" t="s">
        <v>38</v>
      </c>
      <c r="I1747">
        <v>13600</v>
      </c>
      <c r="J1747">
        <v>0</v>
      </c>
      <c r="K1747">
        <v>13600</v>
      </c>
      <c r="L1747">
        <v>0</v>
      </c>
      <c r="M1747">
        <v>0</v>
      </c>
      <c r="N1747">
        <v>0</v>
      </c>
    </row>
    <row r="1748" spans="1:14" ht="14.4">
      <c r="A1748">
        <v>13367</v>
      </c>
      <c r="B1748">
        <v>13368</v>
      </c>
      <c r="C1748">
        <v>4086</v>
      </c>
      <c r="D1748" t="s">
        <v>390</v>
      </c>
      <c r="E1748" t="s">
        <v>727</v>
      </c>
      <c r="F1748">
        <v>7204</v>
      </c>
      <c r="G1748" t="s">
        <v>435</v>
      </c>
      <c r="H1748" t="s">
        <v>38</v>
      </c>
      <c r="I1748">
        <v>139960</v>
      </c>
      <c r="J1748">
        <v>120585</v>
      </c>
      <c r="K1748">
        <v>19375</v>
      </c>
      <c r="L1748">
        <v>86500</v>
      </c>
      <c r="M1748">
        <v>77600</v>
      </c>
      <c r="N1748">
        <v>8900</v>
      </c>
    </row>
    <row r="1749" spans="1:14" ht="14.4">
      <c r="A1749">
        <v>13367</v>
      </c>
      <c r="B1749">
        <v>13368</v>
      </c>
      <c r="C1749">
        <v>4086</v>
      </c>
      <c r="D1749" t="s">
        <v>390</v>
      </c>
      <c r="E1749" t="s">
        <v>728</v>
      </c>
      <c r="F1749">
        <v>7760</v>
      </c>
      <c r="G1749" t="s">
        <v>392</v>
      </c>
      <c r="H1749" t="s">
        <v>38</v>
      </c>
      <c r="I1749">
        <v>27212369</v>
      </c>
      <c r="J1749">
        <v>21446183</v>
      </c>
      <c r="K1749">
        <v>5766186</v>
      </c>
      <c r="L1749">
        <v>12002600</v>
      </c>
      <c r="M1749">
        <v>8935400</v>
      </c>
      <c r="N1749">
        <v>2677000</v>
      </c>
    </row>
    <row r="1750" spans="1:14" ht="14.4">
      <c r="A1750">
        <v>13367</v>
      </c>
      <c r="B1750">
        <v>13368</v>
      </c>
      <c r="C1750">
        <v>4086</v>
      </c>
      <c r="D1750" t="s">
        <v>390</v>
      </c>
      <c r="E1750" t="s">
        <v>729</v>
      </c>
      <c r="F1750">
        <v>7070</v>
      </c>
      <c r="G1750" t="s">
        <v>76</v>
      </c>
      <c r="H1750" t="s">
        <v>38</v>
      </c>
      <c r="I1750">
        <v>1224574</v>
      </c>
      <c r="J1750">
        <v>992709</v>
      </c>
      <c r="K1750">
        <v>231865</v>
      </c>
      <c r="L1750">
        <v>192300</v>
      </c>
      <c r="M1750">
        <v>159900</v>
      </c>
      <c r="N1750">
        <v>32400</v>
      </c>
    </row>
    <row r="1751" spans="1:14" ht="14.4">
      <c r="A1751">
        <v>13367</v>
      </c>
      <c r="B1751">
        <v>13368</v>
      </c>
      <c r="C1751">
        <v>4086</v>
      </c>
      <c r="D1751" t="s">
        <v>390</v>
      </c>
      <c r="E1751" t="s">
        <v>731</v>
      </c>
      <c r="F1751">
        <v>8752</v>
      </c>
      <c r="G1751" t="s">
        <v>402</v>
      </c>
      <c r="H1751" t="s">
        <v>38</v>
      </c>
      <c r="I1751">
        <v>22267</v>
      </c>
      <c r="J1751">
        <v>12342</v>
      </c>
      <c r="K1751">
        <v>9925</v>
      </c>
      <c r="L1751">
        <v>0</v>
      </c>
      <c r="M1751">
        <v>0</v>
      </c>
      <c r="N1751">
        <v>0</v>
      </c>
    </row>
    <row r="1752" spans="1:14" ht="14.4">
      <c r="A1752">
        <v>13367</v>
      </c>
      <c r="B1752">
        <v>13368</v>
      </c>
      <c r="C1752">
        <v>4086</v>
      </c>
      <c r="D1752" t="s">
        <v>390</v>
      </c>
      <c r="E1752" t="s">
        <v>1676</v>
      </c>
      <c r="F1752">
        <v>8738</v>
      </c>
      <c r="G1752" t="s">
        <v>402</v>
      </c>
      <c r="H1752" t="s">
        <v>38</v>
      </c>
      <c r="I1752">
        <v>11275</v>
      </c>
      <c r="J1752">
        <v>0</v>
      </c>
      <c r="K1752">
        <v>11275</v>
      </c>
      <c r="L1752">
        <v>0</v>
      </c>
      <c r="M1752">
        <v>0</v>
      </c>
      <c r="N1752">
        <v>0</v>
      </c>
    </row>
    <row r="1753" spans="1:14" ht="14.4">
      <c r="A1753">
        <v>13367</v>
      </c>
      <c r="B1753">
        <v>13368</v>
      </c>
      <c r="C1753">
        <v>4086</v>
      </c>
      <c r="D1753" t="s">
        <v>390</v>
      </c>
      <c r="E1753" t="s">
        <v>734</v>
      </c>
      <c r="F1753">
        <v>8752</v>
      </c>
      <c r="G1753" t="s">
        <v>402</v>
      </c>
      <c r="H1753" t="s">
        <v>38</v>
      </c>
      <c r="I1753">
        <v>150989</v>
      </c>
      <c r="J1753">
        <v>102689</v>
      </c>
      <c r="K1753">
        <v>48300</v>
      </c>
      <c r="L1753">
        <v>0</v>
      </c>
      <c r="M1753">
        <v>0</v>
      </c>
      <c r="N1753">
        <v>0</v>
      </c>
    </row>
    <row r="1754" spans="1:14" ht="14.4">
      <c r="A1754">
        <v>13367</v>
      </c>
      <c r="B1754">
        <v>13368</v>
      </c>
      <c r="C1754">
        <v>4086</v>
      </c>
      <c r="D1754" t="s">
        <v>390</v>
      </c>
      <c r="E1754" t="s">
        <v>735</v>
      </c>
      <c r="F1754">
        <v>7663</v>
      </c>
      <c r="G1754" t="s">
        <v>76</v>
      </c>
      <c r="H1754" t="s">
        <v>38</v>
      </c>
      <c r="I1754">
        <v>13577</v>
      </c>
      <c r="J1754">
        <v>2667</v>
      </c>
      <c r="K1754">
        <v>10910</v>
      </c>
      <c r="L1754">
        <v>0</v>
      </c>
      <c r="M1754">
        <v>0</v>
      </c>
      <c r="N1754">
        <v>0</v>
      </c>
    </row>
    <row r="1755" spans="1:14" ht="14.4">
      <c r="A1755">
        <v>13367</v>
      </c>
      <c r="B1755">
        <v>13368</v>
      </c>
      <c r="C1755">
        <v>4086</v>
      </c>
      <c r="D1755" t="s">
        <v>390</v>
      </c>
      <c r="E1755" t="s">
        <v>1677</v>
      </c>
      <c r="F1755">
        <v>7458</v>
      </c>
      <c r="G1755" t="s">
        <v>76</v>
      </c>
      <c r="H1755" t="s">
        <v>38</v>
      </c>
      <c r="I1755">
        <v>31922</v>
      </c>
      <c r="J1755">
        <v>31922</v>
      </c>
      <c r="K1755">
        <v>0</v>
      </c>
      <c r="L1755">
        <v>0</v>
      </c>
      <c r="M1755">
        <v>0</v>
      </c>
      <c r="N1755">
        <v>0</v>
      </c>
    </row>
    <row r="1756" spans="1:14" ht="14.4">
      <c r="A1756">
        <v>13367</v>
      </c>
      <c r="B1756">
        <v>13368</v>
      </c>
      <c r="C1756">
        <v>4086</v>
      </c>
      <c r="D1756" t="s">
        <v>390</v>
      </c>
      <c r="E1756" t="s">
        <v>691</v>
      </c>
      <c r="F1756">
        <v>8079</v>
      </c>
      <c r="G1756" t="s">
        <v>691</v>
      </c>
      <c r="H1756" t="s">
        <v>38</v>
      </c>
      <c r="I1756">
        <v>167196</v>
      </c>
      <c r="J1756">
        <v>157646</v>
      </c>
      <c r="K1756">
        <v>9550</v>
      </c>
      <c r="L1756">
        <v>138000</v>
      </c>
      <c r="M1756">
        <v>134000</v>
      </c>
      <c r="N1756">
        <v>4000</v>
      </c>
    </row>
    <row r="1757" spans="1:14" ht="14.4">
      <c r="A1757">
        <v>13367</v>
      </c>
      <c r="B1757">
        <v>13368</v>
      </c>
      <c r="C1757">
        <v>4086</v>
      </c>
      <c r="D1757" t="s">
        <v>390</v>
      </c>
      <c r="E1757" t="s">
        <v>1678</v>
      </c>
      <c r="F1757">
        <v>7826</v>
      </c>
      <c r="G1757" t="s">
        <v>462</v>
      </c>
      <c r="H1757" t="s">
        <v>38</v>
      </c>
      <c r="I1757">
        <v>11172</v>
      </c>
      <c r="J1757">
        <v>11172</v>
      </c>
      <c r="K1757">
        <v>0</v>
      </c>
      <c r="L1757">
        <v>0</v>
      </c>
      <c r="M1757">
        <v>0</v>
      </c>
      <c r="N1757">
        <v>0</v>
      </c>
    </row>
    <row r="1758" spans="1:14" ht="14.4">
      <c r="A1758">
        <v>13367</v>
      </c>
      <c r="B1758">
        <v>13368</v>
      </c>
      <c r="C1758">
        <v>4086</v>
      </c>
      <c r="D1758" t="s">
        <v>390</v>
      </c>
      <c r="E1758" t="s">
        <v>1678</v>
      </c>
      <c r="F1758">
        <v>7851</v>
      </c>
      <c r="G1758" t="s">
        <v>462</v>
      </c>
      <c r="H1758" t="s">
        <v>38</v>
      </c>
      <c r="I1758">
        <v>24286</v>
      </c>
      <c r="J1758">
        <v>23586</v>
      </c>
      <c r="K1758">
        <v>700</v>
      </c>
      <c r="L1758">
        <v>14800</v>
      </c>
      <c r="M1758">
        <v>14600</v>
      </c>
      <c r="N1758">
        <v>200</v>
      </c>
    </row>
    <row r="1759" spans="1:14" ht="14.4">
      <c r="A1759">
        <v>13367</v>
      </c>
      <c r="B1759">
        <v>13368</v>
      </c>
      <c r="C1759">
        <v>4086</v>
      </c>
      <c r="D1759" t="s">
        <v>390</v>
      </c>
      <c r="E1759" t="s">
        <v>1679</v>
      </c>
      <c r="F1759">
        <v>8872</v>
      </c>
      <c r="G1759" t="s">
        <v>406</v>
      </c>
      <c r="H1759" t="s">
        <v>38</v>
      </c>
      <c r="I1759">
        <v>101972</v>
      </c>
      <c r="J1759">
        <v>60847</v>
      </c>
      <c r="K1759">
        <v>41125</v>
      </c>
      <c r="L1759">
        <v>97800</v>
      </c>
      <c r="M1759">
        <v>57800</v>
      </c>
      <c r="N1759">
        <v>40000</v>
      </c>
    </row>
    <row r="1760" spans="1:14" ht="14.4">
      <c r="A1760">
        <v>13367</v>
      </c>
      <c r="B1760">
        <v>13368</v>
      </c>
      <c r="C1760">
        <v>4086</v>
      </c>
      <c r="D1760" t="s">
        <v>390</v>
      </c>
      <c r="E1760" t="s">
        <v>738</v>
      </c>
      <c r="F1760">
        <v>8872</v>
      </c>
      <c r="G1760" t="s">
        <v>406</v>
      </c>
      <c r="H1760" t="s">
        <v>38</v>
      </c>
      <c r="I1760">
        <v>18599542</v>
      </c>
      <c r="J1760">
        <v>12918612</v>
      </c>
      <c r="K1760">
        <v>5680930</v>
      </c>
      <c r="L1760">
        <v>8741600</v>
      </c>
      <c r="M1760">
        <v>6134900</v>
      </c>
      <c r="N1760">
        <v>2606700</v>
      </c>
    </row>
    <row r="1761" spans="1:14" ht="14.4">
      <c r="A1761">
        <v>13367</v>
      </c>
      <c r="B1761">
        <v>13368</v>
      </c>
      <c r="C1761">
        <v>4086</v>
      </c>
      <c r="D1761" t="s">
        <v>390</v>
      </c>
      <c r="E1761" t="s">
        <v>739</v>
      </c>
      <c r="F1761">
        <v>7076</v>
      </c>
      <c r="G1761" t="s">
        <v>435</v>
      </c>
      <c r="H1761" t="s">
        <v>38</v>
      </c>
      <c r="I1761">
        <v>413583</v>
      </c>
      <c r="J1761">
        <v>409208</v>
      </c>
      <c r="K1761">
        <v>4375</v>
      </c>
      <c r="L1761">
        <v>158200</v>
      </c>
      <c r="M1761">
        <v>154200</v>
      </c>
      <c r="N1761">
        <v>4000</v>
      </c>
    </row>
    <row r="1762" spans="1:14" ht="14.4">
      <c r="A1762">
        <v>13367</v>
      </c>
      <c r="B1762">
        <v>13368</v>
      </c>
      <c r="C1762">
        <v>4086</v>
      </c>
      <c r="D1762" t="s">
        <v>390</v>
      </c>
      <c r="E1762" t="s">
        <v>1680</v>
      </c>
      <c r="F1762">
        <v>7760</v>
      </c>
      <c r="G1762" t="s">
        <v>392</v>
      </c>
      <c r="H1762" t="s">
        <v>38</v>
      </c>
      <c r="I1762">
        <v>214844</v>
      </c>
      <c r="J1762">
        <v>172694</v>
      </c>
      <c r="K1762">
        <v>42150</v>
      </c>
      <c r="L1762">
        <v>0</v>
      </c>
      <c r="M1762">
        <v>0</v>
      </c>
      <c r="N1762">
        <v>0</v>
      </c>
    </row>
    <row r="1763" spans="1:14" ht="14.4">
      <c r="A1763">
        <v>13367</v>
      </c>
      <c r="B1763">
        <v>13368</v>
      </c>
      <c r="C1763">
        <v>4086</v>
      </c>
      <c r="D1763" t="s">
        <v>390</v>
      </c>
      <c r="E1763" t="s">
        <v>740</v>
      </c>
      <c r="F1763">
        <v>7716</v>
      </c>
      <c r="G1763" t="s">
        <v>392</v>
      </c>
      <c r="H1763" t="s">
        <v>38</v>
      </c>
      <c r="I1763">
        <v>41718</v>
      </c>
      <c r="J1763">
        <v>15268</v>
      </c>
      <c r="K1763">
        <v>26450</v>
      </c>
      <c r="L1763">
        <v>0</v>
      </c>
      <c r="M1763">
        <v>0</v>
      </c>
      <c r="N1763">
        <v>0</v>
      </c>
    </row>
    <row r="1764" spans="1:14" ht="14.4">
      <c r="A1764">
        <v>13367</v>
      </c>
      <c r="B1764">
        <v>13368</v>
      </c>
      <c r="C1764">
        <v>4086</v>
      </c>
      <c r="D1764" t="s">
        <v>390</v>
      </c>
      <c r="E1764" t="s">
        <v>740</v>
      </c>
      <c r="F1764">
        <v>7748</v>
      </c>
      <c r="G1764" t="s">
        <v>392</v>
      </c>
      <c r="H1764" t="s">
        <v>38</v>
      </c>
      <c r="I1764">
        <v>170606</v>
      </c>
      <c r="J1764">
        <v>134056</v>
      </c>
      <c r="K1764">
        <v>36550</v>
      </c>
      <c r="L1764">
        <v>107600</v>
      </c>
      <c r="M1764">
        <v>71000</v>
      </c>
      <c r="N1764">
        <v>36600</v>
      </c>
    </row>
    <row r="1765" spans="1:14" ht="14.4">
      <c r="A1765">
        <v>13367</v>
      </c>
      <c r="B1765">
        <v>13368</v>
      </c>
      <c r="C1765">
        <v>4086</v>
      </c>
      <c r="D1765" t="s">
        <v>390</v>
      </c>
      <c r="E1765" t="s">
        <v>740</v>
      </c>
      <c r="F1765">
        <v>7760</v>
      </c>
      <c r="G1765" t="s">
        <v>76</v>
      </c>
      <c r="H1765" t="s">
        <v>38</v>
      </c>
      <c r="I1765">
        <v>42541</v>
      </c>
      <c r="J1765">
        <v>42541</v>
      </c>
      <c r="K1765">
        <v>0</v>
      </c>
      <c r="L1765">
        <v>42600</v>
      </c>
      <c r="M1765">
        <v>42600</v>
      </c>
      <c r="N1765">
        <v>0</v>
      </c>
    </row>
    <row r="1766" spans="1:14" ht="14.4">
      <c r="A1766">
        <v>13367</v>
      </c>
      <c r="B1766">
        <v>13368</v>
      </c>
      <c r="C1766">
        <v>4086</v>
      </c>
      <c r="D1766" t="s">
        <v>390</v>
      </c>
      <c r="E1766" t="s">
        <v>740</v>
      </c>
      <c r="F1766">
        <v>7760</v>
      </c>
      <c r="G1766" t="s">
        <v>392</v>
      </c>
      <c r="H1766" t="s">
        <v>38</v>
      </c>
      <c r="I1766">
        <v>18577162</v>
      </c>
      <c r="J1766">
        <v>12699169</v>
      </c>
      <c r="K1766">
        <v>5877993</v>
      </c>
      <c r="L1766">
        <v>7085000</v>
      </c>
      <c r="M1766">
        <v>4547600</v>
      </c>
      <c r="N1766">
        <v>2537400</v>
      </c>
    </row>
    <row r="1767" spans="1:14" ht="14.4">
      <c r="A1767">
        <v>13367</v>
      </c>
      <c r="B1767">
        <v>13368</v>
      </c>
      <c r="C1767">
        <v>4086</v>
      </c>
      <c r="D1767" t="s">
        <v>390</v>
      </c>
      <c r="E1767" t="s">
        <v>740</v>
      </c>
      <c r="F1767">
        <v>7760</v>
      </c>
      <c r="G1767" t="s">
        <v>402</v>
      </c>
      <c r="H1767" t="s">
        <v>38</v>
      </c>
      <c r="I1767">
        <v>40693</v>
      </c>
      <c r="J1767">
        <v>12643</v>
      </c>
      <c r="K1767">
        <v>28050</v>
      </c>
      <c r="L1767">
        <v>0</v>
      </c>
      <c r="M1767">
        <v>0</v>
      </c>
      <c r="N1767">
        <v>0</v>
      </c>
    </row>
    <row r="1768" spans="1:14" ht="14.4">
      <c r="A1768">
        <v>13367</v>
      </c>
      <c r="B1768">
        <v>13368</v>
      </c>
      <c r="C1768">
        <v>4086</v>
      </c>
      <c r="D1768" t="s">
        <v>390</v>
      </c>
      <c r="E1768" t="s">
        <v>741</v>
      </c>
      <c r="F1768">
        <v>8750</v>
      </c>
      <c r="G1768" t="s">
        <v>392</v>
      </c>
      <c r="H1768" t="s">
        <v>38</v>
      </c>
      <c r="I1768">
        <v>794379</v>
      </c>
      <c r="J1768">
        <v>680418</v>
      </c>
      <c r="K1768">
        <v>113961</v>
      </c>
      <c r="L1768">
        <v>486600</v>
      </c>
      <c r="M1768">
        <v>410600</v>
      </c>
      <c r="N1768">
        <v>76000</v>
      </c>
    </row>
    <row r="1769" spans="1:14" ht="14.4">
      <c r="A1769">
        <v>13367</v>
      </c>
      <c r="B1769">
        <v>13368</v>
      </c>
      <c r="C1769">
        <v>4086</v>
      </c>
      <c r="D1769" t="s">
        <v>390</v>
      </c>
      <c r="E1769" t="s">
        <v>743</v>
      </c>
      <c r="F1769">
        <v>8243</v>
      </c>
      <c r="G1769" t="s">
        <v>394</v>
      </c>
      <c r="H1769" t="s">
        <v>38</v>
      </c>
      <c r="I1769">
        <v>25975</v>
      </c>
      <c r="J1769">
        <v>22275</v>
      </c>
      <c r="K1769">
        <v>3700</v>
      </c>
      <c r="L1769">
        <v>17700</v>
      </c>
      <c r="M1769">
        <v>14000</v>
      </c>
      <c r="N1769">
        <v>3700</v>
      </c>
    </row>
    <row r="1770" spans="1:14" ht="14.4">
      <c r="A1770">
        <v>13367</v>
      </c>
      <c r="B1770">
        <v>13368</v>
      </c>
      <c r="C1770">
        <v>4086</v>
      </c>
      <c r="D1770" t="s">
        <v>390</v>
      </c>
      <c r="E1770" t="s">
        <v>743</v>
      </c>
      <c r="F1770">
        <v>8243</v>
      </c>
      <c r="G1770" t="s">
        <v>404</v>
      </c>
      <c r="H1770" t="s">
        <v>38</v>
      </c>
      <c r="I1770">
        <v>1711013</v>
      </c>
      <c r="J1770">
        <v>1207002</v>
      </c>
      <c r="K1770">
        <v>504011</v>
      </c>
      <c r="L1770">
        <v>536500</v>
      </c>
      <c r="M1770">
        <v>251900</v>
      </c>
      <c r="N1770">
        <v>284600</v>
      </c>
    </row>
    <row r="1771" spans="1:14" ht="14.4">
      <c r="A1771">
        <v>13367</v>
      </c>
      <c r="B1771">
        <v>13368</v>
      </c>
      <c r="C1771">
        <v>4086</v>
      </c>
      <c r="D1771" t="s">
        <v>390</v>
      </c>
      <c r="E1771" t="s">
        <v>743</v>
      </c>
      <c r="F1771">
        <v>8243</v>
      </c>
      <c r="G1771" t="s">
        <v>402</v>
      </c>
      <c r="H1771" t="s">
        <v>38</v>
      </c>
      <c r="I1771">
        <v>108054</v>
      </c>
      <c r="J1771">
        <v>72854</v>
      </c>
      <c r="K1771">
        <v>35200</v>
      </c>
      <c r="L1771">
        <v>0</v>
      </c>
      <c r="M1771">
        <v>0</v>
      </c>
      <c r="N1771">
        <v>0</v>
      </c>
    </row>
    <row r="1772" spans="1:14" ht="14.4">
      <c r="A1772">
        <v>13367</v>
      </c>
      <c r="B1772">
        <v>13368</v>
      </c>
      <c r="C1772">
        <v>4086</v>
      </c>
      <c r="D1772" t="s">
        <v>390</v>
      </c>
      <c r="E1772" t="s">
        <v>1681</v>
      </c>
      <c r="F1772">
        <v>8751</v>
      </c>
      <c r="G1772" t="s">
        <v>402</v>
      </c>
      <c r="H1772" t="s">
        <v>38</v>
      </c>
      <c r="I1772">
        <v>76173</v>
      </c>
      <c r="J1772">
        <v>0</v>
      </c>
      <c r="K1772">
        <v>76173</v>
      </c>
      <c r="L1772">
        <v>28200</v>
      </c>
      <c r="M1772">
        <v>0</v>
      </c>
      <c r="N1772">
        <v>28200</v>
      </c>
    </row>
    <row r="1773" spans="1:14" ht="14.4">
      <c r="A1773">
        <v>13367</v>
      </c>
      <c r="B1773">
        <v>13368</v>
      </c>
      <c r="C1773">
        <v>4086</v>
      </c>
      <c r="D1773" t="s">
        <v>390</v>
      </c>
      <c r="E1773" t="s">
        <v>745</v>
      </c>
      <c r="F1773">
        <v>7724</v>
      </c>
      <c r="G1773" t="s">
        <v>392</v>
      </c>
      <c r="H1773" t="s">
        <v>38</v>
      </c>
      <c r="I1773">
        <v>36077</v>
      </c>
      <c r="J1773">
        <v>36077</v>
      </c>
      <c r="K1773">
        <v>0</v>
      </c>
      <c r="L1773">
        <v>0</v>
      </c>
      <c r="M1773">
        <v>0</v>
      </c>
      <c r="N1773">
        <v>0</v>
      </c>
    </row>
    <row r="1774" spans="1:14" ht="14.4">
      <c r="A1774">
        <v>13367</v>
      </c>
      <c r="B1774">
        <v>13368</v>
      </c>
      <c r="C1774">
        <v>4086</v>
      </c>
      <c r="D1774" t="s">
        <v>390</v>
      </c>
      <c r="E1774" t="s">
        <v>745</v>
      </c>
      <c r="F1774">
        <v>7738</v>
      </c>
      <c r="G1774" t="s">
        <v>392</v>
      </c>
      <c r="H1774" t="s">
        <v>38</v>
      </c>
      <c r="I1774">
        <v>40565</v>
      </c>
      <c r="J1774">
        <v>0</v>
      </c>
      <c r="K1774">
        <v>40565</v>
      </c>
      <c r="L1774">
        <v>40000</v>
      </c>
      <c r="M1774">
        <v>0</v>
      </c>
      <c r="N1774">
        <v>40000</v>
      </c>
    </row>
    <row r="1775" spans="1:14" ht="14.4">
      <c r="A1775">
        <v>13367</v>
      </c>
      <c r="B1775">
        <v>13368</v>
      </c>
      <c r="C1775">
        <v>4086</v>
      </c>
      <c r="D1775" t="s">
        <v>390</v>
      </c>
      <c r="E1775" t="s">
        <v>745</v>
      </c>
      <c r="F1775">
        <v>7760</v>
      </c>
      <c r="G1775" t="s">
        <v>392</v>
      </c>
      <c r="H1775" t="s">
        <v>38</v>
      </c>
      <c r="I1775">
        <v>894688</v>
      </c>
      <c r="J1775">
        <v>572073</v>
      </c>
      <c r="K1775">
        <v>322615</v>
      </c>
      <c r="L1775">
        <v>410300</v>
      </c>
      <c r="M1775">
        <v>204500</v>
      </c>
      <c r="N1775">
        <v>205800</v>
      </c>
    </row>
    <row r="1776" spans="1:14" ht="14.4">
      <c r="A1776">
        <v>13367</v>
      </c>
      <c r="B1776">
        <v>13368</v>
      </c>
      <c r="C1776">
        <v>4086</v>
      </c>
      <c r="D1776" t="s">
        <v>390</v>
      </c>
      <c r="E1776" t="s">
        <v>746</v>
      </c>
      <c r="F1776">
        <v>8751</v>
      </c>
      <c r="G1776" t="s">
        <v>402</v>
      </c>
      <c r="H1776" t="s">
        <v>38</v>
      </c>
      <c r="I1776">
        <v>303885</v>
      </c>
      <c r="J1776">
        <v>224735</v>
      </c>
      <c r="K1776">
        <v>79150</v>
      </c>
      <c r="L1776">
        <v>136300</v>
      </c>
      <c r="M1776">
        <v>96300</v>
      </c>
      <c r="N1776">
        <v>40000</v>
      </c>
    </row>
    <row r="1777" spans="1:14" ht="14.4">
      <c r="A1777">
        <v>13367</v>
      </c>
      <c r="B1777">
        <v>13368</v>
      </c>
      <c r="C1777">
        <v>4086</v>
      </c>
      <c r="D1777" t="s">
        <v>390</v>
      </c>
      <c r="E1777" t="s">
        <v>746</v>
      </c>
      <c r="F1777">
        <v>8752</v>
      </c>
      <c r="G1777" t="s">
        <v>402</v>
      </c>
      <c r="H1777" t="s">
        <v>38</v>
      </c>
      <c r="I1777">
        <v>376429</v>
      </c>
      <c r="J1777">
        <v>296879</v>
      </c>
      <c r="K1777">
        <v>79550</v>
      </c>
      <c r="L1777">
        <v>126000</v>
      </c>
      <c r="M1777">
        <v>97300</v>
      </c>
      <c r="N1777">
        <v>28700</v>
      </c>
    </row>
    <row r="1778" spans="1:14" ht="14.4">
      <c r="A1778">
        <v>13367</v>
      </c>
      <c r="B1778">
        <v>13368</v>
      </c>
      <c r="C1778">
        <v>4086</v>
      </c>
      <c r="D1778" t="s">
        <v>390</v>
      </c>
      <c r="E1778" t="s">
        <v>1682</v>
      </c>
      <c r="F1778">
        <v>8751</v>
      </c>
      <c r="G1778" t="s">
        <v>402</v>
      </c>
      <c r="H1778" t="s">
        <v>38</v>
      </c>
      <c r="I1778">
        <v>10975</v>
      </c>
      <c r="J1778">
        <v>0</v>
      </c>
      <c r="K1778">
        <v>10975</v>
      </c>
      <c r="L1778">
        <v>11000</v>
      </c>
      <c r="M1778">
        <v>0</v>
      </c>
      <c r="N1778">
        <v>11000</v>
      </c>
    </row>
    <row r="1779" spans="1:14" ht="14.4">
      <c r="A1779">
        <v>13367</v>
      </c>
      <c r="B1779">
        <v>13368</v>
      </c>
      <c r="C1779">
        <v>4086</v>
      </c>
      <c r="D1779" t="s">
        <v>390</v>
      </c>
      <c r="E1779" t="s">
        <v>1683</v>
      </c>
      <c r="F1779">
        <v>8751</v>
      </c>
      <c r="G1779" t="s">
        <v>402</v>
      </c>
      <c r="H1779" t="s">
        <v>38</v>
      </c>
      <c r="I1779">
        <v>88602</v>
      </c>
      <c r="J1779">
        <v>48327</v>
      </c>
      <c r="K1779">
        <v>40275</v>
      </c>
      <c r="L1779">
        <v>0</v>
      </c>
      <c r="M1779">
        <v>0</v>
      </c>
      <c r="N1779">
        <v>0</v>
      </c>
    </row>
    <row r="1780" spans="1:14" ht="14.4">
      <c r="A1780">
        <v>13367</v>
      </c>
      <c r="B1780">
        <v>13368</v>
      </c>
      <c r="C1780">
        <v>4086</v>
      </c>
      <c r="D1780" t="s">
        <v>390</v>
      </c>
      <c r="E1780" t="s">
        <v>747</v>
      </c>
      <c r="F1780">
        <v>8751</v>
      </c>
      <c r="G1780" t="s">
        <v>402</v>
      </c>
      <c r="H1780" t="s">
        <v>38</v>
      </c>
      <c r="I1780">
        <v>42068562</v>
      </c>
      <c r="J1780">
        <v>29816045</v>
      </c>
      <c r="K1780">
        <v>12252517</v>
      </c>
      <c r="L1780">
        <v>12533600</v>
      </c>
      <c r="M1780">
        <v>8280600</v>
      </c>
      <c r="N1780">
        <v>4253000</v>
      </c>
    </row>
    <row r="1781" spans="1:14" ht="14.4">
      <c r="A1781">
        <v>13367</v>
      </c>
      <c r="B1781">
        <v>13368</v>
      </c>
      <c r="C1781">
        <v>4086</v>
      </c>
      <c r="D1781" t="s">
        <v>390</v>
      </c>
      <c r="E1781" t="s">
        <v>747</v>
      </c>
      <c r="F1781">
        <v>8751</v>
      </c>
      <c r="G1781" t="s">
        <v>435</v>
      </c>
      <c r="H1781" t="s">
        <v>38</v>
      </c>
      <c r="I1781">
        <v>121990</v>
      </c>
      <c r="J1781">
        <v>111340</v>
      </c>
      <c r="K1781">
        <v>10650</v>
      </c>
      <c r="L1781">
        <v>0</v>
      </c>
      <c r="M1781">
        <v>0</v>
      </c>
      <c r="N1781">
        <v>0</v>
      </c>
    </row>
    <row r="1782" spans="1:14" ht="14.4">
      <c r="A1782">
        <v>13367</v>
      </c>
      <c r="B1782">
        <v>13368</v>
      </c>
      <c r="C1782">
        <v>4086</v>
      </c>
      <c r="D1782" t="s">
        <v>390</v>
      </c>
      <c r="E1782" t="s">
        <v>747</v>
      </c>
      <c r="F1782">
        <v>8757</v>
      </c>
      <c r="G1782" t="s">
        <v>402</v>
      </c>
      <c r="H1782" t="s">
        <v>38</v>
      </c>
      <c r="I1782">
        <v>9760</v>
      </c>
      <c r="J1782">
        <v>0</v>
      </c>
      <c r="K1782">
        <v>9760</v>
      </c>
      <c r="L1782">
        <v>9800</v>
      </c>
      <c r="M1782">
        <v>0</v>
      </c>
      <c r="N1782">
        <v>9800</v>
      </c>
    </row>
    <row r="1783" spans="1:14" ht="14.4">
      <c r="A1783">
        <v>13367</v>
      </c>
      <c r="B1783">
        <v>13368</v>
      </c>
      <c r="C1783">
        <v>4086</v>
      </c>
      <c r="D1783" t="s">
        <v>390</v>
      </c>
      <c r="E1783" t="s">
        <v>747</v>
      </c>
      <c r="F1783">
        <v>8765</v>
      </c>
      <c r="G1783" t="s">
        <v>402</v>
      </c>
      <c r="H1783" t="s">
        <v>38</v>
      </c>
      <c r="I1783">
        <v>83222</v>
      </c>
      <c r="J1783">
        <v>49197</v>
      </c>
      <c r="K1783">
        <v>34025</v>
      </c>
      <c r="L1783">
        <v>0</v>
      </c>
      <c r="M1783">
        <v>0</v>
      </c>
      <c r="N1783">
        <v>0</v>
      </c>
    </row>
    <row r="1784" spans="1:14" ht="14.4">
      <c r="A1784">
        <v>13367</v>
      </c>
      <c r="B1784">
        <v>13368</v>
      </c>
      <c r="C1784">
        <v>4086</v>
      </c>
      <c r="D1784" t="s">
        <v>390</v>
      </c>
      <c r="E1784" t="s">
        <v>1684</v>
      </c>
      <c r="F1784">
        <v>8751</v>
      </c>
      <c r="G1784" t="s">
        <v>402</v>
      </c>
      <c r="H1784" t="s">
        <v>38</v>
      </c>
      <c r="I1784">
        <v>116005</v>
      </c>
      <c r="J1784">
        <v>89205</v>
      </c>
      <c r="K1784">
        <v>26800</v>
      </c>
      <c r="L1784">
        <v>0</v>
      </c>
      <c r="M1784">
        <v>0</v>
      </c>
      <c r="N1784">
        <v>0</v>
      </c>
    </row>
    <row r="1785" spans="1:14" ht="14.4">
      <c r="A1785">
        <v>13367</v>
      </c>
      <c r="B1785">
        <v>13368</v>
      </c>
      <c r="C1785">
        <v>4086</v>
      </c>
      <c r="D1785" t="s">
        <v>390</v>
      </c>
      <c r="E1785" t="s">
        <v>1685</v>
      </c>
      <c r="F1785">
        <v>8751</v>
      </c>
      <c r="G1785" t="s">
        <v>402</v>
      </c>
      <c r="H1785" t="s">
        <v>38</v>
      </c>
      <c r="I1785">
        <v>22050</v>
      </c>
      <c r="J1785">
        <v>0</v>
      </c>
      <c r="K1785">
        <v>22050</v>
      </c>
      <c r="L1785">
        <v>0</v>
      </c>
      <c r="M1785">
        <v>0</v>
      </c>
      <c r="N1785">
        <v>0</v>
      </c>
    </row>
    <row r="1786" spans="1:14" ht="14.4">
      <c r="A1786">
        <v>13367</v>
      </c>
      <c r="B1786">
        <v>13368</v>
      </c>
      <c r="C1786">
        <v>4086</v>
      </c>
      <c r="D1786" t="s">
        <v>390</v>
      </c>
      <c r="E1786" t="s">
        <v>748</v>
      </c>
      <c r="F1786">
        <v>8501</v>
      </c>
      <c r="G1786" t="s">
        <v>402</v>
      </c>
      <c r="H1786" t="s">
        <v>38</v>
      </c>
      <c r="I1786">
        <v>10100</v>
      </c>
      <c r="J1786">
        <v>0</v>
      </c>
      <c r="K1786">
        <v>10100</v>
      </c>
      <c r="L1786">
        <v>0</v>
      </c>
      <c r="M1786">
        <v>0</v>
      </c>
      <c r="N1786">
        <v>0</v>
      </c>
    </row>
    <row r="1787" spans="1:14" ht="14.4">
      <c r="A1787">
        <v>13367</v>
      </c>
      <c r="B1787">
        <v>13368</v>
      </c>
      <c r="C1787">
        <v>4086</v>
      </c>
      <c r="D1787" t="s">
        <v>390</v>
      </c>
      <c r="E1787" t="s">
        <v>748</v>
      </c>
      <c r="F1787">
        <v>8751</v>
      </c>
      <c r="G1787" t="s">
        <v>402</v>
      </c>
      <c r="H1787" t="s">
        <v>38</v>
      </c>
      <c r="I1787">
        <v>187164</v>
      </c>
      <c r="J1787">
        <v>139999</v>
      </c>
      <c r="K1787">
        <v>47165</v>
      </c>
      <c r="L1787">
        <v>31300</v>
      </c>
      <c r="M1787">
        <v>10200</v>
      </c>
      <c r="N1787">
        <v>21100</v>
      </c>
    </row>
    <row r="1788" spans="1:14" ht="14.4">
      <c r="A1788">
        <v>13367</v>
      </c>
      <c r="B1788">
        <v>13368</v>
      </c>
      <c r="C1788">
        <v>4086</v>
      </c>
      <c r="D1788" t="s">
        <v>390</v>
      </c>
      <c r="E1788" t="s">
        <v>1686</v>
      </c>
      <c r="F1788">
        <v>8751</v>
      </c>
      <c r="G1788" t="s">
        <v>402</v>
      </c>
      <c r="H1788" t="s">
        <v>38</v>
      </c>
      <c r="I1788">
        <v>111919</v>
      </c>
      <c r="J1788">
        <v>84219</v>
      </c>
      <c r="K1788">
        <v>27700</v>
      </c>
      <c r="L1788">
        <v>0</v>
      </c>
      <c r="M1788">
        <v>0</v>
      </c>
      <c r="N1788">
        <v>0</v>
      </c>
    </row>
    <row r="1789" spans="1:14" ht="14.4">
      <c r="A1789">
        <v>13367</v>
      </c>
      <c r="B1789">
        <v>13368</v>
      </c>
      <c r="C1789">
        <v>4086</v>
      </c>
      <c r="D1789" t="s">
        <v>390</v>
      </c>
      <c r="E1789" t="s">
        <v>749</v>
      </c>
      <c r="F1789">
        <v>7081</v>
      </c>
      <c r="G1789" t="s">
        <v>402</v>
      </c>
      <c r="H1789" t="s">
        <v>38</v>
      </c>
      <c r="I1789">
        <v>38613</v>
      </c>
      <c r="J1789">
        <v>34473</v>
      </c>
      <c r="K1789">
        <v>4140</v>
      </c>
      <c r="L1789">
        <v>0</v>
      </c>
      <c r="M1789">
        <v>0</v>
      </c>
      <c r="N1789">
        <v>0</v>
      </c>
    </row>
    <row r="1790" spans="1:14" ht="14.4">
      <c r="A1790">
        <v>13367</v>
      </c>
      <c r="B1790">
        <v>13368</v>
      </c>
      <c r="C1790">
        <v>4086</v>
      </c>
      <c r="D1790" t="s">
        <v>390</v>
      </c>
      <c r="E1790" t="s">
        <v>749</v>
      </c>
      <c r="F1790">
        <v>7852</v>
      </c>
      <c r="G1790" t="s">
        <v>402</v>
      </c>
      <c r="H1790" t="s">
        <v>38</v>
      </c>
      <c r="I1790">
        <v>15157</v>
      </c>
      <c r="J1790">
        <v>9987</v>
      </c>
      <c r="K1790">
        <v>5170</v>
      </c>
      <c r="L1790">
        <v>0</v>
      </c>
      <c r="M1790">
        <v>0</v>
      </c>
      <c r="N1790">
        <v>0</v>
      </c>
    </row>
    <row r="1791" spans="1:14" ht="14.4">
      <c r="A1791">
        <v>13367</v>
      </c>
      <c r="B1791">
        <v>13368</v>
      </c>
      <c r="C1791">
        <v>4086</v>
      </c>
      <c r="D1791" t="s">
        <v>390</v>
      </c>
      <c r="E1791" t="s">
        <v>749</v>
      </c>
      <c r="F1791">
        <v>8732</v>
      </c>
      <c r="G1791" t="s">
        <v>402</v>
      </c>
      <c r="H1791" t="s">
        <v>38</v>
      </c>
      <c r="I1791">
        <v>62140</v>
      </c>
      <c r="J1791">
        <v>62140</v>
      </c>
      <c r="K1791">
        <v>0</v>
      </c>
      <c r="L1791">
        <v>62200</v>
      </c>
      <c r="M1791">
        <v>62200</v>
      </c>
      <c r="N1791">
        <v>0</v>
      </c>
    </row>
    <row r="1792" spans="1:14" ht="14.4">
      <c r="A1792">
        <v>13367</v>
      </c>
      <c r="B1792">
        <v>13368</v>
      </c>
      <c r="C1792">
        <v>4086</v>
      </c>
      <c r="D1792" t="s">
        <v>390</v>
      </c>
      <c r="E1792" t="s">
        <v>749</v>
      </c>
      <c r="F1792">
        <v>8734</v>
      </c>
      <c r="G1792" t="s">
        <v>402</v>
      </c>
      <c r="H1792" t="s">
        <v>38</v>
      </c>
      <c r="I1792">
        <v>168693</v>
      </c>
      <c r="J1792">
        <v>163043</v>
      </c>
      <c r="K1792">
        <v>5650</v>
      </c>
      <c r="L1792">
        <v>0</v>
      </c>
      <c r="M1792">
        <v>0</v>
      </c>
      <c r="N1792">
        <v>0</v>
      </c>
    </row>
    <row r="1793" spans="1:14" ht="14.4">
      <c r="A1793">
        <v>13367</v>
      </c>
      <c r="B1793">
        <v>13368</v>
      </c>
      <c r="C1793">
        <v>4086</v>
      </c>
      <c r="D1793" t="s">
        <v>390</v>
      </c>
      <c r="E1793" t="s">
        <v>749</v>
      </c>
      <c r="F1793">
        <v>8752</v>
      </c>
      <c r="G1793" t="s">
        <v>428</v>
      </c>
      <c r="H1793" t="s">
        <v>38</v>
      </c>
      <c r="I1793">
        <v>36848</v>
      </c>
      <c r="J1793">
        <v>29448</v>
      </c>
      <c r="K1793">
        <v>7400</v>
      </c>
      <c r="L1793">
        <v>0</v>
      </c>
      <c r="M1793">
        <v>0</v>
      </c>
      <c r="N1793">
        <v>0</v>
      </c>
    </row>
    <row r="1794" spans="1:14" ht="14.4">
      <c r="A1794">
        <v>13367</v>
      </c>
      <c r="B1794">
        <v>13368</v>
      </c>
      <c r="C1794">
        <v>4086</v>
      </c>
      <c r="D1794" t="s">
        <v>390</v>
      </c>
      <c r="E1794" t="s">
        <v>749</v>
      </c>
      <c r="F1794">
        <v>8752</v>
      </c>
      <c r="G1794" t="s">
        <v>402</v>
      </c>
      <c r="H1794" t="s">
        <v>38</v>
      </c>
      <c r="I1794">
        <v>18847337</v>
      </c>
      <c r="J1794">
        <v>13538620</v>
      </c>
      <c r="K1794">
        <v>5308717</v>
      </c>
      <c r="L1794">
        <v>6962700</v>
      </c>
      <c r="M1794">
        <v>4707600</v>
      </c>
      <c r="N1794">
        <v>2255100</v>
      </c>
    </row>
    <row r="1795" spans="1:14" ht="14.4">
      <c r="A1795">
        <v>13367</v>
      </c>
      <c r="B1795">
        <v>13368</v>
      </c>
      <c r="C1795">
        <v>4086</v>
      </c>
      <c r="D1795" t="s">
        <v>390</v>
      </c>
      <c r="E1795" t="s">
        <v>749</v>
      </c>
      <c r="F1795">
        <v>8753</v>
      </c>
      <c r="G1795" t="s">
        <v>402</v>
      </c>
      <c r="H1795" t="s">
        <v>38</v>
      </c>
      <c r="I1795">
        <v>174689</v>
      </c>
      <c r="J1795">
        <v>81689</v>
      </c>
      <c r="K1795">
        <v>93000</v>
      </c>
      <c r="L1795">
        <v>68300</v>
      </c>
      <c r="M1795">
        <v>40100</v>
      </c>
      <c r="N1795">
        <v>28200</v>
      </c>
    </row>
    <row r="1796" spans="1:14" ht="14.4">
      <c r="A1796">
        <v>13367</v>
      </c>
      <c r="B1796">
        <v>13368</v>
      </c>
      <c r="C1796">
        <v>4086</v>
      </c>
      <c r="D1796" t="s">
        <v>390</v>
      </c>
      <c r="E1796" t="s">
        <v>1687</v>
      </c>
      <c r="F1796">
        <v>8752</v>
      </c>
      <c r="G1796" t="s">
        <v>402</v>
      </c>
      <c r="H1796" t="s">
        <v>38</v>
      </c>
      <c r="I1796">
        <v>400</v>
      </c>
      <c r="J1796">
        <v>0</v>
      </c>
      <c r="K1796">
        <v>400</v>
      </c>
      <c r="L1796">
        <v>0</v>
      </c>
      <c r="M1796">
        <v>0</v>
      </c>
      <c r="N1796">
        <v>0</v>
      </c>
    </row>
    <row r="1797" spans="1:14" ht="14.4">
      <c r="A1797">
        <v>13367</v>
      </c>
      <c r="B1797">
        <v>13368</v>
      </c>
      <c r="C1797">
        <v>4086</v>
      </c>
      <c r="D1797" t="s">
        <v>390</v>
      </c>
      <c r="E1797" t="s">
        <v>1688</v>
      </c>
      <c r="F1797">
        <v>7094</v>
      </c>
      <c r="G1797" t="s">
        <v>37</v>
      </c>
      <c r="H1797" t="s">
        <v>38</v>
      </c>
      <c r="I1797">
        <v>7200</v>
      </c>
      <c r="J1797">
        <v>0</v>
      </c>
      <c r="K1797">
        <v>7200</v>
      </c>
      <c r="L1797">
        <v>0</v>
      </c>
      <c r="M1797">
        <v>0</v>
      </c>
      <c r="N1797">
        <v>0</v>
      </c>
    </row>
    <row r="1798" spans="1:14" ht="14.4">
      <c r="A1798">
        <v>13367</v>
      </c>
      <c r="B1798">
        <v>13368</v>
      </c>
      <c r="C1798">
        <v>4086</v>
      </c>
      <c r="D1798" t="s">
        <v>390</v>
      </c>
      <c r="E1798" t="s">
        <v>753</v>
      </c>
      <c r="F1798">
        <v>7094</v>
      </c>
      <c r="G1798" t="s">
        <v>37</v>
      </c>
      <c r="H1798" t="s">
        <v>38</v>
      </c>
      <c r="I1798">
        <v>1902339</v>
      </c>
      <c r="J1798">
        <v>1128374</v>
      </c>
      <c r="K1798">
        <v>773965</v>
      </c>
      <c r="L1798">
        <v>729700</v>
      </c>
      <c r="M1798">
        <v>392000</v>
      </c>
      <c r="N1798">
        <v>337700</v>
      </c>
    </row>
    <row r="1799" spans="1:14" ht="14.4">
      <c r="A1799">
        <v>13367</v>
      </c>
      <c r="B1799">
        <v>13368</v>
      </c>
      <c r="C1799">
        <v>4086</v>
      </c>
      <c r="D1799" t="s">
        <v>390</v>
      </c>
      <c r="E1799" t="s">
        <v>754</v>
      </c>
      <c r="F1799">
        <v>7077</v>
      </c>
      <c r="G1799" t="s">
        <v>406</v>
      </c>
      <c r="H1799" t="s">
        <v>38</v>
      </c>
      <c r="I1799">
        <v>1286333</v>
      </c>
      <c r="J1799">
        <v>911922</v>
      </c>
      <c r="K1799">
        <v>374411</v>
      </c>
      <c r="L1799">
        <v>497600</v>
      </c>
      <c r="M1799">
        <v>318900</v>
      </c>
      <c r="N1799">
        <v>178700</v>
      </c>
    </row>
    <row r="1800" spans="1:14" ht="14.4">
      <c r="A1800">
        <v>13367</v>
      </c>
      <c r="B1800">
        <v>13368</v>
      </c>
      <c r="C1800">
        <v>4086</v>
      </c>
      <c r="D1800" t="s">
        <v>390</v>
      </c>
      <c r="E1800" t="s">
        <v>754</v>
      </c>
      <c r="F1800">
        <v>7707</v>
      </c>
      <c r="G1800" t="s">
        <v>406</v>
      </c>
      <c r="H1800" t="s">
        <v>38</v>
      </c>
      <c r="I1800">
        <v>69676</v>
      </c>
      <c r="J1800">
        <v>58726</v>
      </c>
      <c r="K1800">
        <v>10950</v>
      </c>
      <c r="L1800">
        <v>0</v>
      </c>
      <c r="M1800">
        <v>0</v>
      </c>
      <c r="N1800">
        <v>0</v>
      </c>
    </row>
    <row r="1801" spans="1:14" ht="14.4">
      <c r="A1801">
        <v>13367</v>
      </c>
      <c r="B1801">
        <v>13368</v>
      </c>
      <c r="C1801">
        <v>4086</v>
      </c>
      <c r="D1801" t="s">
        <v>390</v>
      </c>
      <c r="E1801" t="s">
        <v>1689</v>
      </c>
      <c r="F1801">
        <v>8080</v>
      </c>
      <c r="G1801" t="s">
        <v>1452</v>
      </c>
      <c r="H1801" t="s">
        <v>38</v>
      </c>
      <c r="I1801">
        <v>89668</v>
      </c>
      <c r="J1801">
        <v>88718</v>
      </c>
      <c r="K1801">
        <v>950</v>
      </c>
      <c r="L1801">
        <v>47200</v>
      </c>
      <c r="M1801">
        <v>47200</v>
      </c>
      <c r="N1801">
        <v>0</v>
      </c>
    </row>
    <row r="1802" spans="1:14" ht="14.4">
      <c r="A1802">
        <v>13367</v>
      </c>
      <c r="B1802">
        <v>13368</v>
      </c>
      <c r="C1802">
        <v>4086</v>
      </c>
      <c r="D1802" t="s">
        <v>390</v>
      </c>
      <c r="E1802" t="s">
        <v>1690</v>
      </c>
      <c r="F1802">
        <v>8088</v>
      </c>
      <c r="G1802" t="s">
        <v>443</v>
      </c>
      <c r="H1802" t="s">
        <v>38</v>
      </c>
      <c r="I1802">
        <v>28822</v>
      </c>
      <c r="J1802">
        <v>28822</v>
      </c>
      <c r="K1802">
        <v>0</v>
      </c>
      <c r="L1802">
        <v>13700</v>
      </c>
      <c r="M1802">
        <v>13700</v>
      </c>
      <c r="N1802">
        <v>0</v>
      </c>
    </row>
    <row r="1803" spans="1:14" ht="14.4">
      <c r="A1803">
        <v>13367</v>
      </c>
      <c r="B1803">
        <v>13368</v>
      </c>
      <c r="C1803">
        <v>4086</v>
      </c>
      <c r="D1803" t="s">
        <v>390</v>
      </c>
      <c r="E1803" t="s">
        <v>756</v>
      </c>
      <c r="F1803">
        <v>8008</v>
      </c>
      <c r="G1803" t="s">
        <v>402</v>
      </c>
      <c r="H1803" t="s">
        <v>38</v>
      </c>
      <c r="I1803">
        <v>13356524</v>
      </c>
      <c r="J1803">
        <v>8949786</v>
      </c>
      <c r="K1803">
        <v>4406738</v>
      </c>
      <c r="L1803">
        <v>5295000</v>
      </c>
      <c r="M1803">
        <v>3438300</v>
      </c>
      <c r="N1803">
        <v>1856700</v>
      </c>
    </row>
    <row r="1804" spans="1:14" ht="14.4">
      <c r="A1804">
        <v>13367</v>
      </c>
      <c r="B1804">
        <v>13368</v>
      </c>
      <c r="C1804">
        <v>4086</v>
      </c>
      <c r="D1804" t="s">
        <v>390</v>
      </c>
      <c r="E1804" t="s">
        <v>757</v>
      </c>
      <c r="F1804">
        <v>8008</v>
      </c>
      <c r="G1804" t="s">
        <v>402</v>
      </c>
      <c r="H1804" t="s">
        <v>38</v>
      </c>
      <c r="I1804">
        <v>194156</v>
      </c>
      <c r="J1804">
        <v>96866</v>
      </c>
      <c r="K1804">
        <v>97290</v>
      </c>
      <c r="L1804">
        <v>14000</v>
      </c>
      <c r="M1804">
        <v>14000</v>
      </c>
      <c r="N1804">
        <v>0</v>
      </c>
    </row>
    <row r="1805" spans="1:14" ht="14.4">
      <c r="A1805">
        <v>13367</v>
      </c>
      <c r="B1805">
        <v>13368</v>
      </c>
      <c r="C1805">
        <v>4086</v>
      </c>
      <c r="D1805" t="s">
        <v>390</v>
      </c>
      <c r="E1805" t="s">
        <v>758</v>
      </c>
      <c r="F1805">
        <v>7078</v>
      </c>
      <c r="G1805" t="s">
        <v>428</v>
      </c>
      <c r="H1805" t="s">
        <v>38</v>
      </c>
      <c r="I1805">
        <v>67302</v>
      </c>
      <c r="J1805">
        <v>65862</v>
      </c>
      <c r="K1805">
        <v>1440</v>
      </c>
      <c r="L1805">
        <v>35800</v>
      </c>
      <c r="M1805">
        <v>35300</v>
      </c>
      <c r="N1805">
        <v>500</v>
      </c>
    </row>
    <row r="1806" spans="1:14" ht="14.4">
      <c r="A1806">
        <v>13367</v>
      </c>
      <c r="B1806">
        <v>13368</v>
      </c>
      <c r="C1806">
        <v>4086</v>
      </c>
      <c r="D1806" t="s">
        <v>390</v>
      </c>
      <c r="E1806" t="s">
        <v>1691</v>
      </c>
      <c r="F1806">
        <v>7078</v>
      </c>
      <c r="G1806" t="s">
        <v>428</v>
      </c>
      <c r="H1806" t="s">
        <v>38</v>
      </c>
      <c r="I1806">
        <v>46516</v>
      </c>
      <c r="J1806">
        <v>43241</v>
      </c>
      <c r="K1806">
        <v>3275</v>
      </c>
      <c r="L1806">
        <v>0</v>
      </c>
      <c r="M1806">
        <v>0</v>
      </c>
      <c r="N1806">
        <v>0</v>
      </c>
    </row>
    <row r="1807" spans="1:14" ht="14.4">
      <c r="A1807">
        <v>13367</v>
      </c>
      <c r="B1807">
        <v>13368</v>
      </c>
      <c r="C1807">
        <v>4086</v>
      </c>
      <c r="D1807" t="s">
        <v>390</v>
      </c>
      <c r="E1807" t="s">
        <v>759</v>
      </c>
      <c r="F1807">
        <v>7702</v>
      </c>
      <c r="G1807" t="s">
        <v>392</v>
      </c>
      <c r="H1807" t="s">
        <v>38</v>
      </c>
      <c r="I1807">
        <v>119890</v>
      </c>
      <c r="J1807">
        <v>92815</v>
      </c>
      <c r="K1807">
        <v>27075</v>
      </c>
      <c r="L1807">
        <v>0</v>
      </c>
      <c r="M1807">
        <v>0</v>
      </c>
      <c r="N1807">
        <v>0</v>
      </c>
    </row>
    <row r="1808" spans="1:14" ht="14.4">
      <c r="A1808">
        <v>13367</v>
      </c>
      <c r="B1808">
        <v>13368</v>
      </c>
      <c r="C1808">
        <v>4086</v>
      </c>
      <c r="D1808" t="s">
        <v>390</v>
      </c>
      <c r="E1808" t="s">
        <v>760</v>
      </c>
      <c r="F1808">
        <v>8081</v>
      </c>
      <c r="G1808" t="s">
        <v>465</v>
      </c>
      <c r="H1808" t="s">
        <v>38</v>
      </c>
      <c r="I1808">
        <v>7950</v>
      </c>
      <c r="J1808">
        <v>7950</v>
      </c>
      <c r="K1808">
        <v>0</v>
      </c>
      <c r="L1808">
        <v>8000</v>
      </c>
      <c r="M1808">
        <v>8000</v>
      </c>
      <c r="N1808">
        <v>0</v>
      </c>
    </row>
    <row r="1809" spans="1:14" ht="14.4">
      <c r="A1809">
        <v>13367</v>
      </c>
      <c r="B1809">
        <v>13368</v>
      </c>
      <c r="C1809">
        <v>4086</v>
      </c>
      <c r="D1809" t="s">
        <v>390</v>
      </c>
      <c r="E1809" t="s">
        <v>1692</v>
      </c>
      <c r="F1809">
        <v>8739</v>
      </c>
      <c r="G1809" t="s">
        <v>402</v>
      </c>
      <c r="H1809" t="s">
        <v>38</v>
      </c>
      <c r="I1809">
        <v>136401</v>
      </c>
      <c r="J1809">
        <v>110701</v>
      </c>
      <c r="K1809">
        <v>25700</v>
      </c>
      <c r="L1809">
        <v>130800</v>
      </c>
      <c r="M1809">
        <v>105100</v>
      </c>
      <c r="N1809">
        <v>25700</v>
      </c>
    </row>
    <row r="1810" spans="1:14" ht="14.4">
      <c r="A1810">
        <v>13367</v>
      </c>
      <c r="B1810">
        <v>13368</v>
      </c>
      <c r="C1810">
        <v>4086</v>
      </c>
      <c r="D1810" t="s">
        <v>390</v>
      </c>
      <c r="E1810" t="s">
        <v>1693</v>
      </c>
      <c r="F1810">
        <v>7080</v>
      </c>
      <c r="G1810" t="s">
        <v>441</v>
      </c>
      <c r="H1810" t="s">
        <v>38</v>
      </c>
      <c r="I1810">
        <v>10865</v>
      </c>
      <c r="J1810">
        <v>10865</v>
      </c>
      <c r="K1810">
        <v>0</v>
      </c>
      <c r="L1810">
        <v>0</v>
      </c>
      <c r="M1810">
        <v>0</v>
      </c>
      <c r="N1810">
        <v>0</v>
      </c>
    </row>
    <row r="1811" spans="1:14" ht="14.4">
      <c r="A1811">
        <v>13367</v>
      </c>
      <c r="B1811">
        <v>13368</v>
      </c>
      <c r="C1811">
        <v>4086</v>
      </c>
      <c r="D1811" t="s">
        <v>390</v>
      </c>
      <c r="E1811" t="s">
        <v>1694</v>
      </c>
      <c r="F1811">
        <v>8083</v>
      </c>
      <c r="G1811" t="s">
        <v>465</v>
      </c>
      <c r="H1811" t="s">
        <v>38</v>
      </c>
      <c r="I1811">
        <v>38084</v>
      </c>
      <c r="J1811">
        <v>24304</v>
      </c>
      <c r="K1811">
        <v>13780</v>
      </c>
      <c r="L1811">
        <v>7700</v>
      </c>
      <c r="M1811">
        <v>5700</v>
      </c>
      <c r="N1811">
        <v>2000</v>
      </c>
    </row>
    <row r="1812" spans="1:14" ht="14.4">
      <c r="A1812">
        <v>13367</v>
      </c>
      <c r="B1812">
        <v>13368</v>
      </c>
      <c r="C1812">
        <v>4086</v>
      </c>
      <c r="D1812" t="s">
        <v>390</v>
      </c>
      <c r="E1812" t="s">
        <v>763</v>
      </c>
      <c r="F1812">
        <v>8244</v>
      </c>
      <c r="G1812" t="s">
        <v>394</v>
      </c>
      <c r="H1812" t="s">
        <v>38</v>
      </c>
      <c r="I1812">
        <v>1529751</v>
      </c>
      <c r="J1812">
        <v>1232951</v>
      </c>
      <c r="K1812">
        <v>296800</v>
      </c>
      <c r="L1812">
        <v>424900</v>
      </c>
      <c r="M1812">
        <v>330800</v>
      </c>
      <c r="N1812">
        <v>94100</v>
      </c>
    </row>
    <row r="1813" spans="1:14" ht="14.4">
      <c r="A1813">
        <v>13367</v>
      </c>
      <c r="B1813">
        <v>13368</v>
      </c>
      <c r="C1813">
        <v>4086</v>
      </c>
      <c r="D1813" t="s">
        <v>390</v>
      </c>
      <c r="E1813" t="s">
        <v>413</v>
      </c>
      <c r="F1813">
        <v>8873</v>
      </c>
      <c r="G1813" t="s">
        <v>413</v>
      </c>
      <c r="H1813" t="s">
        <v>38</v>
      </c>
      <c r="I1813">
        <v>305480</v>
      </c>
      <c r="J1813">
        <v>287755</v>
      </c>
      <c r="K1813">
        <v>17725</v>
      </c>
      <c r="L1813">
        <v>167500</v>
      </c>
      <c r="M1813">
        <v>157400</v>
      </c>
      <c r="N1813">
        <v>10100</v>
      </c>
    </row>
    <row r="1814" spans="1:14" ht="14.4">
      <c r="A1814">
        <v>13367</v>
      </c>
      <c r="B1814">
        <v>13368</v>
      </c>
      <c r="C1814">
        <v>4086</v>
      </c>
      <c r="D1814" t="s">
        <v>390</v>
      </c>
      <c r="E1814" t="s">
        <v>764</v>
      </c>
      <c r="F1814">
        <v>8876</v>
      </c>
      <c r="G1814" t="s">
        <v>413</v>
      </c>
      <c r="H1814" t="s">
        <v>38</v>
      </c>
      <c r="I1814">
        <v>164670</v>
      </c>
      <c r="J1814">
        <v>146045</v>
      </c>
      <c r="K1814">
        <v>18625</v>
      </c>
      <c r="L1814">
        <v>49100</v>
      </c>
      <c r="M1814">
        <v>43400</v>
      </c>
      <c r="N1814">
        <v>5700</v>
      </c>
    </row>
    <row r="1815" spans="1:14" ht="14.4">
      <c r="A1815">
        <v>13367</v>
      </c>
      <c r="B1815">
        <v>13368</v>
      </c>
      <c r="C1815">
        <v>4086</v>
      </c>
      <c r="D1815" t="s">
        <v>390</v>
      </c>
      <c r="E1815" t="s">
        <v>1695</v>
      </c>
      <c r="F1815">
        <v>8882</v>
      </c>
      <c r="G1815" t="s">
        <v>406</v>
      </c>
      <c r="H1815" t="s">
        <v>38</v>
      </c>
      <c r="I1815">
        <v>29525</v>
      </c>
      <c r="J1815">
        <v>27775</v>
      </c>
      <c r="K1815">
        <v>1750</v>
      </c>
      <c r="L1815">
        <v>0</v>
      </c>
      <c r="M1815">
        <v>0</v>
      </c>
      <c r="N1815">
        <v>0</v>
      </c>
    </row>
    <row r="1816" spans="1:14" ht="14.4">
      <c r="A1816">
        <v>13367</v>
      </c>
      <c r="B1816">
        <v>13368</v>
      </c>
      <c r="C1816">
        <v>4086</v>
      </c>
      <c r="D1816" t="s">
        <v>390</v>
      </c>
      <c r="E1816" t="s">
        <v>768</v>
      </c>
      <c r="F1816">
        <v>8879</v>
      </c>
      <c r="G1816" t="s">
        <v>406</v>
      </c>
      <c r="H1816" t="s">
        <v>38</v>
      </c>
      <c r="I1816">
        <v>2442393</v>
      </c>
      <c r="J1816">
        <v>1767411</v>
      </c>
      <c r="K1816">
        <v>674982</v>
      </c>
      <c r="L1816">
        <v>1180700</v>
      </c>
      <c r="M1816">
        <v>821000</v>
      </c>
      <c r="N1816">
        <v>359700</v>
      </c>
    </row>
    <row r="1817" spans="1:14" ht="14.4">
      <c r="A1817">
        <v>13367</v>
      </c>
      <c r="B1817">
        <v>13368</v>
      </c>
      <c r="C1817">
        <v>4086</v>
      </c>
      <c r="D1817" t="s">
        <v>390</v>
      </c>
      <c r="E1817" t="s">
        <v>1696</v>
      </c>
      <c r="F1817">
        <v>8880</v>
      </c>
      <c r="G1817" t="s">
        <v>413</v>
      </c>
      <c r="H1817" t="s">
        <v>38</v>
      </c>
      <c r="I1817">
        <v>26070</v>
      </c>
      <c r="J1817">
        <v>25545</v>
      </c>
      <c r="K1817">
        <v>525</v>
      </c>
      <c r="L1817">
        <v>17700</v>
      </c>
      <c r="M1817">
        <v>17200</v>
      </c>
      <c r="N1817">
        <v>500</v>
      </c>
    </row>
    <row r="1818" spans="1:14" ht="14.4">
      <c r="A1818">
        <v>13367</v>
      </c>
      <c r="B1818">
        <v>13368</v>
      </c>
      <c r="C1818">
        <v>4086</v>
      </c>
      <c r="D1818" t="s">
        <v>390</v>
      </c>
      <c r="E1818" t="s">
        <v>1697</v>
      </c>
      <c r="F1818">
        <v>8738</v>
      </c>
      <c r="G1818" t="s">
        <v>402</v>
      </c>
      <c r="H1818" t="s">
        <v>38</v>
      </c>
      <c r="I1818">
        <v>87615</v>
      </c>
      <c r="J1818">
        <v>87615</v>
      </c>
      <c r="K1818">
        <v>0</v>
      </c>
      <c r="L1818">
        <v>0</v>
      </c>
      <c r="M1818">
        <v>0</v>
      </c>
      <c r="N1818">
        <v>0</v>
      </c>
    </row>
    <row r="1819" spans="1:14" ht="14.4">
      <c r="A1819">
        <v>13367</v>
      </c>
      <c r="B1819">
        <v>13368</v>
      </c>
      <c r="C1819">
        <v>4086</v>
      </c>
      <c r="D1819" t="s">
        <v>390</v>
      </c>
      <c r="E1819" t="s">
        <v>773</v>
      </c>
      <c r="F1819">
        <v>8738</v>
      </c>
      <c r="G1819" t="s">
        <v>402</v>
      </c>
      <c r="H1819" t="s">
        <v>38</v>
      </c>
      <c r="I1819">
        <v>401479</v>
      </c>
      <c r="J1819">
        <v>311404</v>
      </c>
      <c r="K1819">
        <v>90075</v>
      </c>
      <c r="L1819">
        <v>0</v>
      </c>
      <c r="M1819">
        <v>0</v>
      </c>
      <c r="N1819">
        <v>0</v>
      </c>
    </row>
    <row r="1820" spans="1:14" ht="14.4">
      <c r="A1820">
        <v>13367</v>
      </c>
      <c r="B1820">
        <v>13368</v>
      </c>
      <c r="C1820">
        <v>4086</v>
      </c>
      <c r="D1820" t="s">
        <v>390</v>
      </c>
      <c r="E1820" t="s">
        <v>1698</v>
      </c>
      <c r="F1820">
        <v>7079</v>
      </c>
      <c r="G1820" t="s">
        <v>428</v>
      </c>
      <c r="H1820" t="s">
        <v>38</v>
      </c>
      <c r="I1820">
        <v>224009</v>
      </c>
      <c r="J1820">
        <v>186839</v>
      </c>
      <c r="K1820">
        <v>37170</v>
      </c>
      <c r="L1820">
        <v>112000</v>
      </c>
      <c r="M1820">
        <v>89300</v>
      </c>
      <c r="N1820">
        <v>22700</v>
      </c>
    </row>
    <row r="1821" spans="1:14" ht="14.4">
      <c r="A1821">
        <v>13367</v>
      </c>
      <c r="B1821">
        <v>13368</v>
      </c>
      <c r="C1821">
        <v>4086</v>
      </c>
      <c r="D1821" t="s">
        <v>390</v>
      </c>
      <c r="E1821" t="s">
        <v>775</v>
      </c>
      <c r="F1821">
        <v>7080</v>
      </c>
      <c r="G1821" t="s">
        <v>406</v>
      </c>
      <c r="H1821" t="s">
        <v>38</v>
      </c>
      <c r="I1821">
        <v>132659</v>
      </c>
      <c r="J1821">
        <v>125584</v>
      </c>
      <c r="K1821">
        <v>7075</v>
      </c>
      <c r="L1821">
        <v>65000</v>
      </c>
      <c r="M1821">
        <v>57900</v>
      </c>
      <c r="N1821">
        <v>7100</v>
      </c>
    </row>
    <row r="1822" spans="1:14" ht="14.4">
      <c r="A1822">
        <v>13367</v>
      </c>
      <c r="B1822">
        <v>13368</v>
      </c>
      <c r="C1822">
        <v>4086</v>
      </c>
      <c r="D1822" t="s">
        <v>390</v>
      </c>
      <c r="E1822" t="s">
        <v>776</v>
      </c>
      <c r="F1822">
        <v>8882</v>
      </c>
      <c r="G1822" t="s">
        <v>406</v>
      </c>
      <c r="H1822" t="s">
        <v>38</v>
      </c>
      <c r="I1822">
        <v>4376613</v>
      </c>
      <c r="J1822">
        <v>3260044</v>
      </c>
      <c r="K1822">
        <v>1116569</v>
      </c>
      <c r="L1822">
        <v>1729400</v>
      </c>
      <c r="M1822">
        <v>1209300</v>
      </c>
      <c r="N1822">
        <v>520100</v>
      </c>
    </row>
    <row r="1823" spans="1:14" ht="14.4">
      <c r="A1823">
        <v>13367</v>
      </c>
      <c r="B1823">
        <v>13368</v>
      </c>
      <c r="C1823">
        <v>4086</v>
      </c>
      <c r="D1823" t="s">
        <v>390</v>
      </c>
      <c r="E1823" t="s">
        <v>777</v>
      </c>
      <c r="F1823">
        <v>8752</v>
      </c>
      <c r="G1823" t="s">
        <v>402</v>
      </c>
      <c r="H1823" t="s">
        <v>38</v>
      </c>
      <c r="I1823">
        <v>992625</v>
      </c>
      <c r="J1823">
        <v>746318</v>
      </c>
      <c r="K1823">
        <v>246307</v>
      </c>
      <c r="L1823">
        <v>567000</v>
      </c>
      <c r="M1823">
        <v>415200</v>
      </c>
      <c r="N1823">
        <v>151800</v>
      </c>
    </row>
    <row r="1824" spans="1:14" ht="14.4">
      <c r="A1824">
        <v>13367</v>
      </c>
      <c r="B1824">
        <v>13368</v>
      </c>
      <c r="C1824">
        <v>4086</v>
      </c>
      <c r="D1824" t="s">
        <v>390</v>
      </c>
      <c r="E1824" t="s">
        <v>778</v>
      </c>
      <c r="F1824">
        <v>8757</v>
      </c>
      <c r="G1824" t="s">
        <v>402</v>
      </c>
      <c r="H1824" t="s">
        <v>38</v>
      </c>
      <c r="I1824">
        <v>250</v>
      </c>
      <c r="J1824">
        <v>0</v>
      </c>
      <c r="K1824">
        <v>250</v>
      </c>
      <c r="L1824">
        <v>0</v>
      </c>
      <c r="M1824">
        <v>0</v>
      </c>
      <c r="N1824">
        <v>0</v>
      </c>
    </row>
    <row r="1825" spans="1:14" ht="14.4">
      <c r="A1825">
        <v>13367</v>
      </c>
      <c r="B1825">
        <v>13368</v>
      </c>
      <c r="C1825">
        <v>4086</v>
      </c>
      <c r="D1825" t="s">
        <v>390</v>
      </c>
      <c r="E1825" t="s">
        <v>1699</v>
      </c>
      <c r="F1825">
        <v>8882</v>
      </c>
      <c r="G1825" t="s">
        <v>406</v>
      </c>
      <c r="H1825" t="s">
        <v>38</v>
      </c>
      <c r="I1825">
        <v>117521</v>
      </c>
      <c r="J1825">
        <v>93836</v>
      </c>
      <c r="K1825">
        <v>23685</v>
      </c>
      <c r="L1825">
        <v>0</v>
      </c>
      <c r="M1825">
        <v>0</v>
      </c>
      <c r="N1825">
        <v>0</v>
      </c>
    </row>
    <row r="1826" spans="1:14" ht="14.4">
      <c r="A1826">
        <v>13367</v>
      </c>
      <c r="B1826">
        <v>13368</v>
      </c>
      <c r="C1826">
        <v>4086</v>
      </c>
      <c r="D1826" t="s">
        <v>390</v>
      </c>
      <c r="E1826" t="s">
        <v>779</v>
      </c>
      <c r="F1826">
        <v>7871</v>
      </c>
      <c r="G1826" t="s">
        <v>462</v>
      </c>
      <c r="H1826" t="s">
        <v>38</v>
      </c>
      <c r="I1826">
        <v>1333187</v>
      </c>
      <c r="J1826">
        <v>1237119</v>
      </c>
      <c r="K1826">
        <v>96068</v>
      </c>
      <c r="L1826">
        <v>822100</v>
      </c>
      <c r="M1826">
        <v>765200</v>
      </c>
      <c r="N1826">
        <v>56900</v>
      </c>
    </row>
    <row r="1827" spans="1:14" ht="14.4">
      <c r="A1827">
        <v>13367</v>
      </c>
      <c r="B1827">
        <v>13368</v>
      </c>
      <c r="C1827">
        <v>4086</v>
      </c>
      <c r="D1827" t="s">
        <v>390</v>
      </c>
      <c r="E1827" t="s">
        <v>780</v>
      </c>
      <c r="F1827">
        <v>8884</v>
      </c>
      <c r="G1827" t="s">
        <v>406</v>
      </c>
      <c r="H1827" t="s">
        <v>38</v>
      </c>
      <c r="I1827">
        <v>52203</v>
      </c>
      <c r="J1827">
        <v>49203</v>
      </c>
      <c r="K1827">
        <v>3000</v>
      </c>
      <c r="L1827">
        <v>14000</v>
      </c>
      <c r="M1827">
        <v>12200</v>
      </c>
      <c r="N1827">
        <v>1800</v>
      </c>
    </row>
    <row r="1828" spans="1:14" ht="14.4">
      <c r="A1828">
        <v>13367</v>
      </c>
      <c r="B1828">
        <v>13368</v>
      </c>
      <c r="C1828">
        <v>4086</v>
      </c>
      <c r="D1828" t="s">
        <v>390</v>
      </c>
      <c r="E1828" t="s">
        <v>1700</v>
      </c>
      <c r="F1828">
        <v>8884</v>
      </c>
      <c r="G1828" t="s">
        <v>406</v>
      </c>
      <c r="H1828" t="s">
        <v>38</v>
      </c>
      <c r="I1828">
        <v>4875</v>
      </c>
      <c r="J1828">
        <v>2270</v>
      </c>
      <c r="K1828">
        <v>2605</v>
      </c>
      <c r="L1828">
        <v>0</v>
      </c>
      <c r="M1828">
        <v>0</v>
      </c>
      <c r="N1828">
        <v>0</v>
      </c>
    </row>
    <row r="1829" spans="1:14" ht="14.4">
      <c r="A1829">
        <v>13367</v>
      </c>
      <c r="B1829">
        <v>13368</v>
      </c>
      <c r="C1829">
        <v>4086</v>
      </c>
      <c r="D1829" t="s">
        <v>390</v>
      </c>
      <c r="E1829" t="s">
        <v>781</v>
      </c>
      <c r="F1829">
        <v>8008</v>
      </c>
      <c r="G1829" t="s">
        <v>402</v>
      </c>
      <c r="H1829" t="s">
        <v>38</v>
      </c>
      <c r="I1829">
        <v>171469</v>
      </c>
      <c r="J1829">
        <v>100294</v>
      </c>
      <c r="K1829">
        <v>71175</v>
      </c>
      <c r="L1829">
        <v>49600</v>
      </c>
      <c r="M1829">
        <v>41600</v>
      </c>
      <c r="N1829">
        <v>8000</v>
      </c>
    </row>
    <row r="1830" spans="1:14" ht="14.4">
      <c r="A1830">
        <v>13367</v>
      </c>
      <c r="B1830">
        <v>13368</v>
      </c>
      <c r="C1830">
        <v>4086</v>
      </c>
      <c r="D1830" t="s">
        <v>390</v>
      </c>
      <c r="E1830" t="s">
        <v>782</v>
      </c>
      <c r="F1830">
        <v>7762</v>
      </c>
      <c r="G1830" t="s">
        <v>392</v>
      </c>
      <c r="H1830" t="s">
        <v>38</v>
      </c>
      <c r="I1830">
        <v>3811711</v>
      </c>
      <c r="J1830">
        <v>2986118</v>
      </c>
      <c r="K1830">
        <v>825593</v>
      </c>
      <c r="L1830">
        <v>1592300</v>
      </c>
      <c r="M1830">
        <v>1168000</v>
      </c>
      <c r="N1830">
        <v>406900</v>
      </c>
    </row>
    <row r="1831" spans="1:14" ht="14.4">
      <c r="A1831">
        <v>13367</v>
      </c>
      <c r="B1831">
        <v>13368</v>
      </c>
      <c r="C1831">
        <v>4086</v>
      </c>
      <c r="D1831" t="s">
        <v>390</v>
      </c>
      <c r="E1831" t="s">
        <v>783</v>
      </c>
      <c r="F1831">
        <v>7762</v>
      </c>
      <c r="G1831" t="s">
        <v>392</v>
      </c>
      <c r="H1831" t="s">
        <v>38</v>
      </c>
      <c r="I1831">
        <v>140833</v>
      </c>
      <c r="J1831">
        <v>96283</v>
      </c>
      <c r="K1831">
        <v>44550</v>
      </c>
      <c r="L1831">
        <v>54200</v>
      </c>
      <c r="M1831">
        <v>33600</v>
      </c>
      <c r="N1831">
        <v>20600</v>
      </c>
    </row>
    <row r="1832" spans="1:14" ht="14.4">
      <c r="A1832">
        <v>13367</v>
      </c>
      <c r="B1832">
        <v>13368</v>
      </c>
      <c r="C1832">
        <v>4086</v>
      </c>
      <c r="D1832" t="s">
        <v>390</v>
      </c>
      <c r="E1832" t="s">
        <v>1701</v>
      </c>
      <c r="F1832">
        <v>7762</v>
      </c>
      <c r="G1832" t="s">
        <v>392</v>
      </c>
      <c r="H1832" t="s">
        <v>38</v>
      </c>
      <c r="I1832">
        <v>14683</v>
      </c>
      <c r="J1832">
        <v>14683</v>
      </c>
      <c r="K1832">
        <v>0</v>
      </c>
      <c r="L1832">
        <v>8200</v>
      </c>
      <c r="M1832">
        <v>8200</v>
      </c>
      <c r="N1832">
        <v>0</v>
      </c>
    </row>
    <row r="1833" spans="1:14" ht="14.4">
      <c r="A1833">
        <v>13367</v>
      </c>
      <c r="B1833">
        <v>13368</v>
      </c>
      <c r="C1833">
        <v>4086</v>
      </c>
      <c r="D1833" t="s">
        <v>390</v>
      </c>
      <c r="E1833" t="s">
        <v>784</v>
      </c>
      <c r="F1833">
        <v>7081</v>
      </c>
      <c r="G1833" t="s">
        <v>435</v>
      </c>
      <c r="H1833" t="s">
        <v>38</v>
      </c>
      <c r="I1833">
        <v>117070</v>
      </c>
      <c r="J1833">
        <v>91670</v>
      </c>
      <c r="K1833">
        <v>25400</v>
      </c>
      <c r="L1833">
        <v>51500</v>
      </c>
      <c r="M1833">
        <v>27900</v>
      </c>
      <c r="N1833">
        <v>23600</v>
      </c>
    </row>
    <row r="1834" spans="1:14" ht="14.4">
      <c r="A1834">
        <v>13367</v>
      </c>
      <c r="B1834">
        <v>13368</v>
      </c>
      <c r="C1834">
        <v>4086</v>
      </c>
      <c r="D1834" t="s">
        <v>390</v>
      </c>
      <c r="E1834" t="s">
        <v>1702</v>
      </c>
      <c r="F1834">
        <v>7762</v>
      </c>
      <c r="G1834" t="s">
        <v>392</v>
      </c>
      <c r="H1834" t="s">
        <v>38</v>
      </c>
      <c r="I1834">
        <v>105935</v>
      </c>
      <c r="J1834">
        <v>62055</v>
      </c>
      <c r="K1834">
        <v>43880</v>
      </c>
      <c r="L1834">
        <v>40000</v>
      </c>
      <c r="M1834">
        <v>0</v>
      </c>
      <c r="N1834">
        <v>40000</v>
      </c>
    </row>
    <row r="1835" spans="1:14" ht="14.4">
      <c r="A1835">
        <v>13367</v>
      </c>
      <c r="B1835">
        <v>13368</v>
      </c>
      <c r="C1835">
        <v>4086</v>
      </c>
      <c r="D1835" t="s">
        <v>390</v>
      </c>
      <c r="E1835" t="s">
        <v>786</v>
      </c>
      <c r="F1835">
        <v>8050</v>
      </c>
      <c r="G1835" t="s">
        <v>402</v>
      </c>
      <c r="H1835" t="s">
        <v>38</v>
      </c>
      <c r="I1835">
        <v>221058</v>
      </c>
      <c r="J1835">
        <v>148958</v>
      </c>
      <c r="K1835">
        <v>72100</v>
      </c>
      <c r="L1835">
        <v>48100</v>
      </c>
      <c r="M1835">
        <v>8100</v>
      </c>
      <c r="N1835">
        <v>40000</v>
      </c>
    </row>
    <row r="1836" spans="1:14" ht="14.4">
      <c r="A1836">
        <v>13367</v>
      </c>
      <c r="B1836">
        <v>13368</v>
      </c>
      <c r="C1836">
        <v>4086</v>
      </c>
      <c r="D1836" t="s">
        <v>390</v>
      </c>
      <c r="E1836" t="s">
        <v>1703</v>
      </c>
      <c r="F1836">
        <v>8050</v>
      </c>
      <c r="G1836" t="s">
        <v>402</v>
      </c>
      <c r="H1836" t="s">
        <v>38</v>
      </c>
      <c r="I1836">
        <v>177689</v>
      </c>
      <c r="J1836">
        <v>125289</v>
      </c>
      <c r="K1836">
        <v>52400</v>
      </c>
      <c r="L1836">
        <v>0</v>
      </c>
      <c r="M1836">
        <v>0</v>
      </c>
      <c r="N1836">
        <v>0</v>
      </c>
    </row>
    <row r="1837" spans="1:14" ht="14.4">
      <c r="A1837">
        <v>13367</v>
      </c>
      <c r="B1837">
        <v>13368</v>
      </c>
      <c r="C1837">
        <v>4086</v>
      </c>
      <c r="D1837" t="s">
        <v>390</v>
      </c>
      <c r="E1837" t="s">
        <v>787</v>
      </c>
      <c r="F1837">
        <v>7874</v>
      </c>
      <c r="G1837" t="s">
        <v>462</v>
      </c>
      <c r="H1837" t="s">
        <v>38</v>
      </c>
      <c r="I1837">
        <v>318739</v>
      </c>
      <c r="J1837">
        <v>274929</v>
      </c>
      <c r="K1837">
        <v>43810</v>
      </c>
      <c r="L1837">
        <v>280200</v>
      </c>
      <c r="M1837">
        <v>249800</v>
      </c>
      <c r="N1837">
        <v>30400</v>
      </c>
    </row>
    <row r="1838" spans="1:14" ht="14.4">
      <c r="A1838">
        <v>13367</v>
      </c>
      <c r="B1838">
        <v>13368</v>
      </c>
      <c r="C1838">
        <v>4086</v>
      </c>
      <c r="D1838" t="s">
        <v>390</v>
      </c>
      <c r="E1838" t="s">
        <v>1704</v>
      </c>
      <c r="F1838">
        <v>8822</v>
      </c>
      <c r="G1838" t="s">
        <v>464</v>
      </c>
      <c r="H1838" t="s">
        <v>38</v>
      </c>
      <c r="I1838">
        <v>52525</v>
      </c>
      <c r="J1838">
        <v>48525</v>
      </c>
      <c r="K1838">
        <v>4000</v>
      </c>
      <c r="L1838">
        <v>0</v>
      </c>
      <c r="M1838">
        <v>0</v>
      </c>
      <c r="N1838">
        <v>0</v>
      </c>
    </row>
    <row r="1839" spans="1:14" ht="14.4">
      <c r="A1839">
        <v>13367</v>
      </c>
      <c r="B1839">
        <v>13368</v>
      </c>
      <c r="C1839">
        <v>4086</v>
      </c>
      <c r="D1839" t="s">
        <v>390</v>
      </c>
      <c r="E1839" t="s">
        <v>1705</v>
      </c>
      <c r="F1839">
        <v>8559</v>
      </c>
      <c r="G1839" t="s">
        <v>464</v>
      </c>
      <c r="H1839" t="s">
        <v>38</v>
      </c>
      <c r="I1839">
        <v>138135</v>
      </c>
      <c r="J1839">
        <v>121410</v>
      </c>
      <c r="K1839">
        <v>16725</v>
      </c>
      <c r="L1839">
        <v>26200</v>
      </c>
      <c r="M1839">
        <v>25000</v>
      </c>
      <c r="N1839">
        <v>1200</v>
      </c>
    </row>
    <row r="1840" spans="1:14" ht="14.4">
      <c r="A1840">
        <v>13367</v>
      </c>
      <c r="B1840">
        <v>13368</v>
      </c>
      <c r="C1840">
        <v>4086</v>
      </c>
      <c r="D1840" t="s">
        <v>390</v>
      </c>
      <c r="E1840" t="s">
        <v>789</v>
      </c>
      <c r="F1840">
        <v>8247</v>
      </c>
      <c r="G1840" t="s">
        <v>404</v>
      </c>
      <c r="H1840" t="s">
        <v>38</v>
      </c>
      <c r="I1840">
        <v>351508</v>
      </c>
      <c r="J1840">
        <v>293798</v>
      </c>
      <c r="K1840">
        <v>57710</v>
      </c>
      <c r="L1840">
        <v>266800</v>
      </c>
      <c r="M1840">
        <v>215100</v>
      </c>
      <c r="N1840">
        <v>51700</v>
      </c>
    </row>
    <row r="1841" spans="1:14" ht="14.4">
      <c r="A1841">
        <v>13367</v>
      </c>
      <c r="B1841">
        <v>13368</v>
      </c>
      <c r="C1841">
        <v>4086</v>
      </c>
      <c r="D1841" t="s">
        <v>390</v>
      </c>
      <c r="E1841" t="s">
        <v>790</v>
      </c>
      <c r="F1841">
        <v>8248</v>
      </c>
      <c r="G1841" t="s">
        <v>404</v>
      </c>
      <c r="H1841" t="s">
        <v>38</v>
      </c>
      <c r="I1841">
        <v>587523</v>
      </c>
      <c r="J1841">
        <v>459435</v>
      </c>
      <c r="K1841">
        <v>128088</v>
      </c>
      <c r="L1841">
        <v>99800</v>
      </c>
      <c r="M1841">
        <v>73400</v>
      </c>
      <c r="N1841">
        <v>26400</v>
      </c>
    </row>
    <row r="1842" spans="1:14" ht="14.4">
      <c r="A1842">
        <v>13367</v>
      </c>
      <c r="B1842">
        <v>13368</v>
      </c>
      <c r="C1842">
        <v>4086</v>
      </c>
      <c r="D1842" t="s">
        <v>390</v>
      </c>
      <c r="E1842" t="s">
        <v>1706</v>
      </c>
      <c r="F1842">
        <v>8248</v>
      </c>
      <c r="G1842" t="s">
        <v>404</v>
      </c>
      <c r="H1842" t="s">
        <v>38</v>
      </c>
      <c r="I1842">
        <v>63820</v>
      </c>
      <c r="J1842">
        <v>50720</v>
      </c>
      <c r="K1842">
        <v>13100</v>
      </c>
      <c r="L1842">
        <v>0</v>
      </c>
      <c r="M1842">
        <v>0</v>
      </c>
      <c r="N1842">
        <v>0</v>
      </c>
    </row>
    <row r="1843" spans="1:14" ht="14.4">
      <c r="A1843">
        <v>13367</v>
      </c>
      <c r="B1843">
        <v>13368</v>
      </c>
      <c r="C1843">
        <v>4086</v>
      </c>
      <c r="D1843" t="s">
        <v>390</v>
      </c>
      <c r="E1843" t="s">
        <v>791</v>
      </c>
      <c r="F1843">
        <v>7876</v>
      </c>
      <c r="G1843" t="s">
        <v>441</v>
      </c>
      <c r="H1843" t="s">
        <v>38</v>
      </c>
      <c r="I1843">
        <v>124621</v>
      </c>
      <c r="J1843">
        <v>124121</v>
      </c>
      <c r="K1843">
        <v>500</v>
      </c>
      <c r="L1843">
        <v>100700</v>
      </c>
      <c r="M1843">
        <v>100200</v>
      </c>
      <c r="N1843">
        <v>500</v>
      </c>
    </row>
    <row r="1844" spans="1:14" ht="14.4">
      <c r="A1844">
        <v>13367</v>
      </c>
      <c r="B1844">
        <v>13368</v>
      </c>
      <c r="C1844">
        <v>4086</v>
      </c>
      <c r="D1844" t="s">
        <v>390</v>
      </c>
      <c r="E1844" t="s">
        <v>792</v>
      </c>
      <c r="F1844">
        <v>7901</v>
      </c>
      <c r="G1844" t="s">
        <v>435</v>
      </c>
      <c r="H1844" t="s">
        <v>38</v>
      </c>
      <c r="I1844">
        <v>985232</v>
      </c>
      <c r="J1844">
        <v>871332</v>
      </c>
      <c r="K1844">
        <v>113900</v>
      </c>
      <c r="L1844">
        <v>289800</v>
      </c>
      <c r="M1844">
        <v>249400</v>
      </c>
      <c r="N1844">
        <v>40400</v>
      </c>
    </row>
    <row r="1845" spans="1:14" ht="14.4">
      <c r="A1845">
        <v>13367</v>
      </c>
      <c r="B1845">
        <v>13368</v>
      </c>
      <c r="C1845">
        <v>4086</v>
      </c>
      <c r="D1845" t="s">
        <v>390</v>
      </c>
      <c r="E1845" t="s">
        <v>793</v>
      </c>
      <c r="F1845">
        <v>8008</v>
      </c>
      <c r="G1845" t="s">
        <v>402</v>
      </c>
      <c r="H1845" t="s">
        <v>38</v>
      </c>
      <c r="I1845">
        <v>4225060</v>
      </c>
      <c r="J1845">
        <v>3033560</v>
      </c>
      <c r="K1845">
        <v>1191500</v>
      </c>
      <c r="L1845">
        <v>1231600</v>
      </c>
      <c r="M1845">
        <v>828200</v>
      </c>
      <c r="N1845">
        <v>403400</v>
      </c>
    </row>
    <row r="1846" spans="1:14" ht="14.4">
      <c r="A1846">
        <v>13367</v>
      </c>
      <c r="B1846">
        <v>13368</v>
      </c>
      <c r="C1846">
        <v>4086</v>
      </c>
      <c r="D1846" t="s">
        <v>390</v>
      </c>
      <c r="E1846" t="s">
        <v>462</v>
      </c>
      <c r="F1846">
        <v>7461</v>
      </c>
      <c r="G1846" t="s">
        <v>462</v>
      </c>
      <c r="H1846" t="s">
        <v>38</v>
      </c>
      <c r="I1846">
        <v>128323</v>
      </c>
      <c r="J1846">
        <v>127073</v>
      </c>
      <c r="K1846">
        <v>1250</v>
      </c>
      <c r="L1846">
        <v>33600</v>
      </c>
      <c r="M1846">
        <v>33600</v>
      </c>
      <c r="N1846">
        <v>0</v>
      </c>
    </row>
    <row r="1847" spans="1:14" ht="14.4">
      <c r="A1847">
        <v>13367</v>
      </c>
      <c r="B1847">
        <v>13368</v>
      </c>
      <c r="C1847">
        <v>4086</v>
      </c>
      <c r="D1847" t="s">
        <v>390</v>
      </c>
      <c r="E1847" t="s">
        <v>1707</v>
      </c>
      <c r="F1847">
        <v>8037</v>
      </c>
      <c r="G1847" t="s">
        <v>394</v>
      </c>
      <c r="H1847" t="s">
        <v>38</v>
      </c>
      <c r="I1847">
        <v>603236</v>
      </c>
      <c r="J1847">
        <v>473216</v>
      </c>
      <c r="K1847">
        <v>130020</v>
      </c>
      <c r="L1847">
        <v>230300</v>
      </c>
      <c r="M1847">
        <v>160000</v>
      </c>
      <c r="N1847">
        <v>70300</v>
      </c>
    </row>
    <row r="1848" spans="1:14" ht="14.4">
      <c r="A1848">
        <v>13367</v>
      </c>
      <c r="B1848">
        <v>13368</v>
      </c>
      <c r="C1848">
        <v>4086</v>
      </c>
      <c r="D1848" t="s">
        <v>390</v>
      </c>
      <c r="E1848" t="s">
        <v>794</v>
      </c>
      <c r="F1848">
        <v>7666</v>
      </c>
      <c r="G1848" t="s">
        <v>76</v>
      </c>
      <c r="H1848" t="s">
        <v>38</v>
      </c>
      <c r="I1848">
        <v>316769</v>
      </c>
      <c r="J1848">
        <v>268974</v>
      </c>
      <c r="K1848">
        <v>47795</v>
      </c>
      <c r="L1848">
        <v>128900</v>
      </c>
      <c r="M1848">
        <v>121600</v>
      </c>
      <c r="N1848">
        <v>7300</v>
      </c>
    </row>
    <row r="1849" spans="1:14" ht="14.4">
      <c r="A1849">
        <v>13367</v>
      </c>
      <c r="B1849">
        <v>13368</v>
      </c>
      <c r="C1849">
        <v>4086</v>
      </c>
      <c r="D1849" t="s">
        <v>390</v>
      </c>
      <c r="E1849" t="s">
        <v>1708</v>
      </c>
      <c r="F1849">
        <v>7670</v>
      </c>
      <c r="G1849" t="s">
        <v>76</v>
      </c>
      <c r="H1849" t="s">
        <v>38</v>
      </c>
      <c r="I1849">
        <v>54432</v>
      </c>
      <c r="J1849">
        <v>52432</v>
      </c>
      <c r="K1849">
        <v>2000</v>
      </c>
      <c r="L1849">
        <v>19400</v>
      </c>
      <c r="M1849">
        <v>19400</v>
      </c>
      <c r="N1849">
        <v>0</v>
      </c>
    </row>
    <row r="1850" spans="1:14" ht="14.4">
      <c r="A1850">
        <v>13367</v>
      </c>
      <c r="B1850">
        <v>13368</v>
      </c>
      <c r="C1850">
        <v>4086</v>
      </c>
      <c r="D1850" t="s">
        <v>390</v>
      </c>
      <c r="E1850" t="s">
        <v>1708</v>
      </c>
      <c r="F1850">
        <v>7670</v>
      </c>
      <c r="G1850" t="s">
        <v>402</v>
      </c>
      <c r="H1850" t="s">
        <v>38</v>
      </c>
      <c r="I1850">
        <v>151688</v>
      </c>
      <c r="J1850">
        <v>113938</v>
      </c>
      <c r="K1850">
        <v>37750</v>
      </c>
      <c r="L1850">
        <v>0</v>
      </c>
      <c r="M1850">
        <v>0</v>
      </c>
      <c r="N1850">
        <v>0</v>
      </c>
    </row>
    <row r="1851" spans="1:14" ht="14.4">
      <c r="A1851">
        <v>13367</v>
      </c>
      <c r="B1851">
        <v>13368</v>
      </c>
      <c r="C1851">
        <v>4086</v>
      </c>
      <c r="D1851" t="s">
        <v>390</v>
      </c>
      <c r="E1851" t="s">
        <v>795</v>
      </c>
      <c r="F1851">
        <v>7608</v>
      </c>
      <c r="G1851" t="s">
        <v>76</v>
      </c>
      <c r="H1851" t="s">
        <v>38</v>
      </c>
      <c r="I1851">
        <v>3500</v>
      </c>
      <c r="J1851">
        <v>0</v>
      </c>
      <c r="K1851">
        <v>3500</v>
      </c>
      <c r="L1851">
        <v>0</v>
      </c>
      <c r="M1851">
        <v>0</v>
      </c>
      <c r="N1851">
        <v>0</v>
      </c>
    </row>
    <row r="1852" spans="1:14" ht="14.4">
      <c r="A1852">
        <v>13367</v>
      </c>
      <c r="B1852">
        <v>13368</v>
      </c>
      <c r="C1852">
        <v>4086</v>
      </c>
      <c r="D1852" t="s">
        <v>390</v>
      </c>
      <c r="E1852" t="s">
        <v>796</v>
      </c>
      <c r="F1852">
        <v>7724</v>
      </c>
      <c r="G1852" t="s">
        <v>392</v>
      </c>
      <c r="H1852" t="s">
        <v>38</v>
      </c>
      <c r="I1852">
        <v>172081</v>
      </c>
      <c r="J1852">
        <v>142924</v>
      </c>
      <c r="K1852">
        <v>29157</v>
      </c>
      <c r="L1852">
        <v>44600</v>
      </c>
      <c r="M1852">
        <v>34000</v>
      </c>
      <c r="N1852">
        <v>10600</v>
      </c>
    </row>
    <row r="1853" spans="1:14" ht="14.4">
      <c r="A1853">
        <v>13367</v>
      </c>
      <c r="B1853">
        <v>13368</v>
      </c>
      <c r="C1853">
        <v>4086</v>
      </c>
      <c r="D1853" t="s">
        <v>390</v>
      </c>
      <c r="E1853" t="s">
        <v>796</v>
      </c>
      <c r="F1853">
        <v>7753</v>
      </c>
      <c r="G1853" t="s">
        <v>392</v>
      </c>
      <c r="H1853" t="s">
        <v>38</v>
      </c>
      <c r="I1853">
        <v>4034</v>
      </c>
      <c r="J1853">
        <v>3434</v>
      </c>
      <c r="K1853">
        <v>600</v>
      </c>
      <c r="L1853">
        <v>3000</v>
      </c>
      <c r="M1853">
        <v>2400</v>
      </c>
      <c r="N1853">
        <v>600</v>
      </c>
    </row>
    <row r="1854" spans="1:14" ht="14.4">
      <c r="A1854">
        <v>13367</v>
      </c>
      <c r="B1854">
        <v>13368</v>
      </c>
      <c r="C1854">
        <v>4086</v>
      </c>
      <c r="D1854" t="s">
        <v>390</v>
      </c>
      <c r="E1854" t="s">
        <v>797</v>
      </c>
      <c r="F1854">
        <v>8560</v>
      </c>
      <c r="G1854" t="s">
        <v>496</v>
      </c>
      <c r="H1854" t="s">
        <v>38</v>
      </c>
      <c r="I1854">
        <v>66782</v>
      </c>
      <c r="J1854">
        <v>52857</v>
      </c>
      <c r="K1854">
        <v>13925</v>
      </c>
      <c r="L1854">
        <v>0</v>
      </c>
      <c r="M1854">
        <v>0</v>
      </c>
      <c r="N1854">
        <v>0</v>
      </c>
    </row>
    <row r="1855" spans="1:14" ht="14.4">
      <c r="A1855">
        <v>13367</v>
      </c>
      <c r="B1855">
        <v>13368</v>
      </c>
      <c r="C1855">
        <v>4086</v>
      </c>
      <c r="D1855" t="s">
        <v>390</v>
      </c>
      <c r="E1855" t="s">
        <v>1709</v>
      </c>
      <c r="F1855">
        <v>8753</v>
      </c>
      <c r="G1855" t="s">
        <v>402</v>
      </c>
      <c r="H1855" t="s">
        <v>38</v>
      </c>
      <c r="I1855">
        <v>150762</v>
      </c>
      <c r="J1855">
        <v>113062</v>
      </c>
      <c r="K1855">
        <v>37700</v>
      </c>
      <c r="L1855">
        <v>93600</v>
      </c>
      <c r="M1855">
        <v>79700</v>
      </c>
      <c r="N1855">
        <v>13900</v>
      </c>
    </row>
    <row r="1856" spans="1:14" ht="14.4">
      <c r="A1856">
        <v>13367</v>
      </c>
      <c r="B1856">
        <v>13368</v>
      </c>
      <c r="C1856">
        <v>4086</v>
      </c>
      <c r="D1856" t="s">
        <v>390</v>
      </c>
      <c r="E1856" t="s">
        <v>1710</v>
      </c>
      <c r="F1856">
        <v>8742</v>
      </c>
      <c r="G1856" t="s">
        <v>402</v>
      </c>
      <c r="H1856" t="s">
        <v>38</v>
      </c>
      <c r="I1856">
        <v>18615</v>
      </c>
      <c r="J1856">
        <v>18215</v>
      </c>
      <c r="K1856">
        <v>400</v>
      </c>
      <c r="L1856">
        <v>0</v>
      </c>
      <c r="M1856">
        <v>0</v>
      </c>
      <c r="N1856">
        <v>0</v>
      </c>
    </row>
    <row r="1857" spans="1:14" ht="14.4">
      <c r="A1857">
        <v>13367</v>
      </c>
      <c r="B1857">
        <v>13368</v>
      </c>
      <c r="C1857">
        <v>4086</v>
      </c>
      <c r="D1857" t="s">
        <v>390</v>
      </c>
      <c r="E1857" t="s">
        <v>1711</v>
      </c>
      <c r="F1857">
        <v>8753</v>
      </c>
      <c r="G1857" t="s">
        <v>402</v>
      </c>
      <c r="H1857" t="s">
        <v>38</v>
      </c>
      <c r="I1857">
        <v>160012</v>
      </c>
      <c r="J1857">
        <v>120461</v>
      </c>
      <c r="K1857">
        <v>39551</v>
      </c>
      <c r="L1857">
        <v>0</v>
      </c>
      <c r="M1857">
        <v>0</v>
      </c>
      <c r="N1857">
        <v>0</v>
      </c>
    </row>
    <row r="1858" spans="1:14" ht="14.4">
      <c r="A1858">
        <v>13367</v>
      </c>
      <c r="B1858">
        <v>13368</v>
      </c>
      <c r="C1858">
        <v>4086</v>
      </c>
      <c r="D1858" t="s">
        <v>390</v>
      </c>
      <c r="E1858" t="s">
        <v>798</v>
      </c>
      <c r="F1858">
        <v>7652</v>
      </c>
      <c r="G1858" t="s">
        <v>402</v>
      </c>
      <c r="H1858" t="s">
        <v>38</v>
      </c>
      <c r="I1858">
        <v>193488</v>
      </c>
      <c r="J1858">
        <v>138588</v>
      </c>
      <c r="K1858">
        <v>54900</v>
      </c>
      <c r="L1858">
        <v>0</v>
      </c>
      <c r="M1858">
        <v>0</v>
      </c>
      <c r="N1858">
        <v>0</v>
      </c>
    </row>
    <row r="1859" spans="1:14" ht="14.4">
      <c r="A1859">
        <v>13367</v>
      </c>
      <c r="B1859">
        <v>13368</v>
      </c>
      <c r="C1859">
        <v>4086</v>
      </c>
      <c r="D1859" t="s">
        <v>390</v>
      </c>
      <c r="E1859" t="s">
        <v>798</v>
      </c>
      <c r="F1859">
        <v>7803</v>
      </c>
      <c r="G1859" t="s">
        <v>441</v>
      </c>
      <c r="H1859" t="s">
        <v>38</v>
      </c>
      <c r="I1859">
        <v>122441</v>
      </c>
      <c r="J1859">
        <v>96166</v>
      </c>
      <c r="K1859">
        <v>26275</v>
      </c>
      <c r="L1859">
        <v>0</v>
      </c>
      <c r="M1859">
        <v>0</v>
      </c>
      <c r="N1859">
        <v>0</v>
      </c>
    </row>
    <row r="1860" spans="1:14" ht="14.4">
      <c r="A1860">
        <v>13367</v>
      </c>
      <c r="B1860">
        <v>13368</v>
      </c>
      <c r="C1860">
        <v>4086</v>
      </c>
      <c r="D1860" t="s">
        <v>390</v>
      </c>
      <c r="E1860" t="s">
        <v>798</v>
      </c>
      <c r="F1860">
        <v>8527</v>
      </c>
      <c r="G1860" t="s">
        <v>402</v>
      </c>
      <c r="H1860" t="s">
        <v>38</v>
      </c>
      <c r="I1860">
        <v>95613</v>
      </c>
      <c r="J1860">
        <v>76948</v>
      </c>
      <c r="K1860">
        <v>18665</v>
      </c>
      <c r="L1860">
        <v>0</v>
      </c>
      <c r="M1860">
        <v>0</v>
      </c>
      <c r="N1860">
        <v>0</v>
      </c>
    </row>
    <row r="1861" spans="1:14" ht="14.4">
      <c r="A1861">
        <v>13367</v>
      </c>
      <c r="B1861">
        <v>13368</v>
      </c>
      <c r="C1861">
        <v>4086</v>
      </c>
      <c r="D1861" t="s">
        <v>390</v>
      </c>
      <c r="E1861" t="s">
        <v>798</v>
      </c>
      <c r="F1861">
        <v>8723</v>
      </c>
      <c r="G1861" t="s">
        <v>402</v>
      </c>
      <c r="H1861" t="s">
        <v>38</v>
      </c>
      <c r="I1861">
        <v>27100</v>
      </c>
      <c r="J1861">
        <v>0</v>
      </c>
      <c r="K1861">
        <v>27100</v>
      </c>
      <c r="L1861">
        <v>0</v>
      </c>
      <c r="M1861">
        <v>0</v>
      </c>
      <c r="N1861">
        <v>0</v>
      </c>
    </row>
    <row r="1862" spans="1:14" ht="14.4">
      <c r="A1862">
        <v>13367</v>
      </c>
      <c r="B1862">
        <v>13368</v>
      </c>
      <c r="C1862">
        <v>4086</v>
      </c>
      <c r="D1862" t="s">
        <v>390</v>
      </c>
      <c r="E1862" t="s">
        <v>798</v>
      </c>
      <c r="F1862">
        <v>8725</v>
      </c>
      <c r="G1862" t="s">
        <v>402</v>
      </c>
      <c r="H1862" t="s">
        <v>38</v>
      </c>
      <c r="I1862">
        <v>99297</v>
      </c>
      <c r="J1862">
        <v>0</v>
      </c>
      <c r="K1862">
        <v>99297</v>
      </c>
      <c r="L1862">
        <v>0</v>
      </c>
      <c r="M1862">
        <v>0</v>
      </c>
      <c r="N1862">
        <v>0</v>
      </c>
    </row>
    <row r="1863" spans="1:14" ht="14.4">
      <c r="A1863">
        <v>13367</v>
      </c>
      <c r="B1863">
        <v>13368</v>
      </c>
      <c r="C1863">
        <v>4086</v>
      </c>
      <c r="D1863" t="s">
        <v>390</v>
      </c>
      <c r="E1863" t="s">
        <v>798</v>
      </c>
      <c r="F1863">
        <v>8735</v>
      </c>
      <c r="G1863" t="s">
        <v>402</v>
      </c>
      <c r="H1863" t="s">
        <v>38</v>
      </c>
      <c r="I1863">
        <v>702541</v>
      </c>
      <c r="J1863">
        <v>494261</v>
      </c>
      <c r="K1863">
        <v>208280</v>
      </c>
      <c r="L1863">
        <v>228600</v>
      </c>
      <c r="M1863">
        <v>136300</v>
      </c>
      <c r="N1863">
        <v>92300</v>
      </c>
    </row>
    <row r="1864" spans="1:14" ht="14.4">
      <c r="A1864">
        <v>13367</v>
      </c>
      <c r="B1864">
        <v>13368</v>
      </c>
      <c r="C1864">
        <v>4086</v>
      </c>
      <c r="D1864" t="s">
        <v>390</v>
      </c>
      <c r="E1864" t="s">
        <v>798</v>
      </c>
      <c r="F1864">
        <v>8739</v>
      </c>
      <c r="G1864" t="s">
        <v>402</v>
      </c>
      <c r="H1864" t="s">
        <v>38</v>
      </c>
      <c r="I1864">
        <v>321688</v>
      </c>
      <c r="J1864">
        <v>234918</v>
      </c>
      <c r="K1864">
        <v>86770</v>
      </c>
      <c r="L1864">
        <v>165400</v>
      </c>
      <c r="M1864">
        <v>120300</v>
      </c>
      <c r="N1864">
        <v>45100</v>
      </c>
    </row>
    <row r="1865" spans="1:14" ht="14.4">
      <c r="A1865">
        <v>13367</v>
      </c>
      <c r="B1865">
        <v>13368</v>
      </c>
      <c r="C1865">
        <v>4086</v>
      </c>
      <c r="D1865" t="s">
        <v>390</v>
      </c>
      <c r="E1865" t="s">
        <v>798</v>
      </c>
      <c r="F1865">
        <v>8742</v>
      </c>
      <c r="G1865" t="s">
        <v>402</v>
      </c>
      <c r="H1865" t="s">
        <v>38</v>
      </c>
      <c r="I1865">
        <v>77464</v>
      </c>
      <c r="J1865">
        <v>18964</v>
      </c>
      <c r="K1865">
        <v>58500</v>
      </c>
      <c r="L1865">
        <v>0</v>
      </c>
      <c r="M1865">
        <v>0</v>
      </c>
      <c r="N1865">
        <v>0</v>
      </c>
    </row>
    <row r="1866" spans="1:14" ht="14.4">
      <c r="A1866">
        <v>13367</v>
      </c>
      <c r="B1866">
        <v>13368</v>
      </c>
      <c r="C1866">
        <v>4086</v>
      </c>
      <c r="D1866" t="s">
        <v>390</v>
      </c>
      <c r="E1866" t="s">
        <v>798</v>
      </c>
      <c r="F1866">
        <v>8751</v>
      </c>
      <c r="G1866" t="s">
        <v>402</v>
      </c>
      <c r="H1866" t="s">
        <v>38</v>
      </c>
      <c r="I1866">
        <v>847886</v>
      </c>
      <c r="J1866">
        <v>579411</v>
      </c>
      <c r="K1866">
        <v>268475</v>
      </c>
      <c r="L1866">
        <v>543800</v>
      </c>
      <c r="M1866">
        <v>377100</v>
      </c>
      <c r="N1866">
        <v>166700</v>
      </c>
    </row>
    <row r="1867" spans="1:14" ht="14.4">
      <c r="A1867">
        <v>13367</v>
      </c>
      <c r="B1867">
        <v>13368</v>
      </c>
      <c r="C1867">
        <v>4086</v>
      </c>
      <c r="D1867" t="s">
        <v>390</v>
      </c>
      <c r="E1867" t="s">
        <v>798</v>
      </c>
      <c r="F1867">
        <v>8752</v>
      </c>
      <c r="G1867" t="s">
        <v>402</v>
      </c>
      <c r="H1867" t="s">
        <v>38</v>
      </c>
      <c r="I1867">
        <v>379846</v>
      </c>
      <c r="J1867">
        <v>251082</v>
      </c>
      <c r="K1867">
        <v>128764</v>
      </c>
      <c r="L1867">
        <v>114100</v>
      </c>
      <c r="M1867">
        <v>88500</v>
      </c>
      <c r="N1867">
        <v>25600</v>
      </c>
    </row>
    <row r="1868" spans="1:14" ht="14.4">
      <c r="A1868">
        <v>13367</v>
      </c>
      <c r="B1868">
        <v>13368</v>
      </c>
      <c r="C1868">
        <v>4086</v>
      </c>
      <c r="D1868" t="s">
        <v>390</v>
      </c>
      <c r="E1868" t="s">
        <v>798</v>
      </c>
      <c r="F1868">
        <v>8753</v>
      </c>
      <c r="G1868" t="s">
        <v>441</v>
      </c>
      <c r="H1868" t="s">
        <v>38</v>
      </c>
      <c r="I1868">
        <v>61794</v>
      </c>
      <c r="J1868">
        <v>42569</v>
      </c>
      <c r="K1868">
        <v>19225</v>
      </c>
      <c r="L1868">
        <v>0</v>
      </c>
      <c r="M1868">
        <v>0</v>
      </c>
      <c r="N1868">
        <v>0</v>
      </c>
    </row>
    <row r="1869" spans="1:14" ht="14.4">
      <c r="A1869">
        <v>13367</v>
      </c>
      <c r="B1869">
        <v>13368</v>
      </c>
      <c r="C1869">
        <v>4086</v>
      </c>
      <c r="D1869" t="s">
        <v>390</v>
      </c>
      <c r="E1869" t="s">
        <v>798</v>
      </c>
      <c r="F1869">
        <v>8753</v>
      </c>
      <c r="G1869" t="s">
        <v>402</v>
      </c>
      <c r="H1869" t="s">
        <v>38</v>
      </c>
      <c r="I1869">
        <v>164153499</v>
      </c>
      <c r="J1869">
        <v>116835666</v>
      </c>
      <c r="K1869">
        <v>47317833</v>
      </c>
      <c r="L1869">
        <v>65610100</v>
      </c>
      <c r="M1869">
        <v>45082600</v>
      </c>
      <c r="N1869">
        <v>20527500</v>
      </c>
    </row>
    <row r="1870" spans="1:14" ht="14.4">
      <c r="A1870">
        <v>13367</v>
      </c>
      <c r="B1870">
        <v>13368</v>
      </c>
      <c r="C1870">
        <v>4086</v>
      </c>
      <c r="D1870" t="s">
        <v>390</v>
      </c>
      <c r="E1870" t="s">
        <v>798</v>
      </c>
      <c r="F1870">
        <v>8753</v>
      </c>
      <c r="G1870" t="s">
        <v>691</v>
      </c>
      <c r="H1870" t="s">
        <v>38</v>
      </c>
      <c r="I1870">
        <v>108138</v>
      </c>
      <c r="J1870">
        <v>84738</v>
      </c>
      <c r="K1870">
        <v>23400</v>
      </c>
      <c r="L1870">
        <v>87100</v>
      </c>
      <c r="M1870">
        <v>63700</v>
      </c>
      <c r="N1870">
        <v>23400</v>
      </c>
    </row>
    <row r="1871" spans="1:14" ht="14.4">
      <c r="A1871">
        <v>13367</v>
      </c>
      <c r="B1871">
        <v>13368</v>
      </c>
      <c r="C1871">
        <v>4086</v>
      </c>
      <c r="D1871" t="s">
        <v>390</v>
      </c>
      <c r="E1871" t="s">
        <v>798</v>
      </c>
      <c r="F1871">
        <v>8755</v>
      </c>
      <c r="G1871" t="s">
        <v>402</v>
      </c>
      <c r="H1871" t="s">
        <v>38</v>
      </c>
      <c r="I1871">
        <v>654921</v>
      </c>
      <c r="J1871">
        <v>565021</v>
      </c>
      <c r="K1871">
        <v>89900</v>
      </c>
      <c r="L1871">
        <v>216600</v>
      </c>
      <c r="M1871">
        <v>196300</v>
      </c>
      <c r="N1871">
        <v>20300</v>
      </c>
    </row>
    <row r="1872" spans="1:14" ht="14.4">
      <c r="A1872">
        <v>13367</v>
      </c>
      <c r="B1872">
        <v>13368</v>
      </c>
      <c r="C1872">
        <v>4086</v>
      </c>
      <c r="D1872" t="s">
        <v>390</v>
      </c>
      <c r="E1872" t="s">
        <v>798</v>
      </c>
      <c r="F1872">
        <v>8757</v>
      </c>
      <c r="G1872" t="s">
        <v>402</v>
      </c>
      <c r="H1872" t="s">
        <v>38</v>
      </c>
      <c r="I1872">
        <v>184875</v>
      </c>
      <c r="J1872">
        <v>145595</v>
      </c>
      <c r="K1872">
        <v>39280</v>
      </c>
      <c r="L1872">
        <v>64900</v>
      </c>
      <c r="M1872">
        <v>36900</v>
      </c>
      <c r="N1872">
        <v>28000</v>
      </c>
    </row>
    <row r="1873" spans="1:14" ht="14.4">
      <c r="A1873">
        <v>13367</v>
      </c>
      <c r="B1873">
        <v>13368</v>
      </c>
      <c r="C1873">
        <v>4086</v>
      </c>
      <c r="D1873" t="s">
        <v>390</v>
      </c>
      <c r="E1873" t="s">
        <v>798</v>
      </c>
      <c r="F1873">
        <v>8759</v>
      </c>
      <c r="G1873" t="s">
        <v>402</v>
      </c>
      <c r="H1873" t="s">
        <v>38</v>
      </c>
      <c r="I1873">
        <v>134070</v>
      </c>
      <c r="J1873">
        <v>89670</v>
      </c>
      <c r="K1873">
        <v>44400</v>
      </c>
      <c r="L1873">
        <v>12400</v>
      </c>
      <c r="M1873">
        <v>9000</v>
      </c>
      <c r="N1873">
        <v>3400</v>
      </c>
    </row>
    <row r="1874" spans="1:14" ht="14.4">
      <c r="A1874">
        <v>13367</v>
      </c>
      <c r="B1874">
        <v>13368</v>
      </c>
      <c r="C1874">
        <v>4086</v>
      </c>
      <c r="D1874" t="s">
        <v>390</v>
      </c>
      <c r="E1874" t="s">
        <v>1712</v>
      </c>
      <c r="F1874">
        <v>8753</v>
      </c>
      <c r="G1874" t="s">
        <v>402</v>
      </c>
      <c r="H1874" t="s">
        <v>38</v>
      </c>
      <c r="I1874">
        <v>35888</v>
      </c>
      <c r="J1874">
        <v>33638</v>
      </c>
      <c r="K1874">
        <v>2250</v>
      </c>
      <c r="L1874">
        <v>0</v>
      </c>
      <c r="M1874">
        <v>0</v>
      </c>
      <c r="N1874">
        <v>0</v>
      </c>
    </row>
    <row r="1875" spans="1:14" ht="14.4">
      <c r="A1875">
        <v>13367</v>
      </c>
      <c r="B1875">
        <v>13368</v>
      </c>
      <c r="C1875">
        <v>4086</v>
      </c>
      <c r="D1875" t="s">
        <v>390</v>
      </c>
      <c r="E1875" t="s">
        <v>1713</v>
      </c>
      <c r="F1875">
        <v>8735</v>
      </c>
      <c r="G1875" t="s">
        <v>402</v>
      </c>
      <c r="H1875" t="s">
        <v>38</v>
      </c>
      <c r="I1875">
        <v>48561</v>
      </c>
      <c r="J1875">
        <v>48561</v>
      </c>
      <c r="K1875">
        <v>0</v>
      </c>
      <c r="L1875">
        <v>0</v>
      </c>
      <c r="M1875">
        <v>0</v>
      </c>
      <c r="N1875">
        <v>0</v>
      </c>
    </row>
    <row r="1876" spans="1:14" ht="14.4">
      <c r="A1876">
        <v>13367</v>
      </c>
      <c r="B1876">
        <v>13368</v>
      </c>
      <c r="C1876">
        <v>4086</v>
      </c>
      <c r="D1876" t="s">
        <v>390</v>
      </c>
      <c r="E1876" t="s">
        <v>1713</v>
      </c>
      <c r="F1876">
        <v>8751</v>
      </c>
      <c r="G1876" t="s">
        <v>402</v>
      </c>
      <c r="H1876" t="s">
        <v>38</v>
      </c>
      <c r="I1876">
        <v>250190</v>
      </c>
      <c r="J1876">
        <v>203990</v>
      </c>
      <c r="K1876">
        <v>46200</v>
      </c>
      <c r="L1876">
        <v>0</v>
      </c>
      <c r="M1876">
        <v>0</v>
      </c>
      <c r="N1876">
        <v>0</v>
      </c>
    </row>
    <row r="1877" spans="1:14" ht="14.4">
      <c r="A1877">
        <v>13367</v>
      </c>
      <c r="B1877">
        <v>13368</v>
      </c>
      <c r="C1877">
        <v>4086</v>
      </c>
      <c r="D1877" t="s">
        <v>390</v>
      </c>
      <c r="E1877" t="s">
        <v>1714</v>
      </c>
      <c r="F1877">
        <v>8751</v>
      </c>
      <c r="G1877" t="s">
        <v>402</v>
      </c>
      <c r="H1877" t="s">
        <v>38</v>
      </c>
      <c r="I1877">
        <v>161294</v>
      </c>
      <c r="J1877">
        <v>119594</v>
      </c>
      <c r="K1877">
        <v>41700</v>
      </c>
      <c r="L1877">
        <v>0</v>
      </c>
      <c r="M1877">
        <v>0</v>
      </c>
      <c r="N1877">
        <v>0</v>
      </c>
    </row>
    <row r="1878" spans="1:14" ht="14.4">
      <c r="A1878">
        <v>13367</v>
      </c>
      <c r="B1878">
        <v>13368</v>
      </c>
      <c r="C1878">
        <v>4086</v>
      </c>
      <c r="D1878" t="s">
        <v>390</v>
      </c>
      <c r="E1878" t="s">
        <v>1715</v>
      </c>
      <c r="F1878">
        <v>8753</v>
      </c>
      <c r="G1878" t="s">
        <v>402</v>
      </c>
      <c r="H1878" t="s">
        <v>38</v>
      </c>
      <c r="I1878">
        <v>356487</v>
      </c>
      <c r="J1878">
        <v>230742</v>
      </c>
      <c r="K1878">
        <v>125745</v>
      </c>
      <c r="L1878">
        <v>140100</v>
      </c>
      <c r="M1878">
        <v>100100</v>
      </c>
      <c r="N1878">
        <v>40000</v>
      </c>
    </row>
    <row r="1879" spans="1:14" ht="14.4">
      <c r="A1879">
        <v>13367</v>
      </c>
      <c r="B1879">
        <v>13368</v>
      </c>
      <c r="C1879">
        <v>4086</v>
      </c>
      <c r="D1879" t="s">
        <v>390</v>
      </c>
      <c r="E1879" t="s">
        <v>799</v>
      </c>
      <c r="F1879">
        <v>8735</v>
      </c>
      <c r="G1879" t="s">
        <v>402</v>
      </c>
      <c r="H1879" t="s">
        <v>38</v>
      </c>
      <c r="I1879">
        <v>95142</v>
      </c>
      <c r="J1879">
        <v>65267</v>
      </c>
      <c r="K1879">
        <v>29875</v>
      </c>
      <c r="L1879">
        <v>0</v>
      </c>
      <c r="M1879">
        <v>0</v>
      </c>
      <c r="N1879">
        <v>0</v>
      </c>
    </row>
    <row r="1880" spans="1:14" ht="14.4">
      <c r="A1880">
        <v>13367</v>
      </c>
      <c r="B1880">
        <v>13368</v>
      </c>
      <c r="C1880">
        <v>4086</v>
      </c>
      <c r="D1880" t="s">
        <v>390</v>
      </c>
      <c r="E1880" t="s">
        <v>799</v>
      </c>
      <c r="F1880">
        <v>8753</v>
      </c>
      <c r="G1880" t="s">
        <v>402</v>
      </c>
      <c r="H1880" t="s">
        <v>38</v>
      </c>
      <c r="I1880">
        <v>41822</v>
      </c>
      <c r="J1880">
        <v>37222</v>
      </c>
      <c r="K1880">
        <v>4600</v>
      </c>
      <c r="L1880">
        <v>38200</v>
      </c>
      <c r="M1880">
        <v>33600</v>
      </c>
      <c r="N1880">
        <v>4600</v>
      </c>
    </row>
    <row r="1881" spans="1:14" ht="14.4">
      <c r="A1881">
        <v>13367</v>
      </c>
      <c r="B1881">
        <v>13368</v>
      </c>
      <c r="C1881">
        <v>4086</v>
      </c>
      <c r="D1881" t="s">
        <v>390</v>
      </c>
      <c r="E1881" t="s">
        <v>1716</v>
      </c>
      <c r="F1881">
        <v>7512</v>
      </c>
      <c r="G1881" t="s">
        <v>429</v>
      </c>
      <c r="H1881" t="s">
        <v>38</v>
      </c>
      <c r="I1881">
        <v>23492</v>
      </c>
      <c r="J1881">
        <v>22242</v>
      </c>
      <c r="K1881">
        <v>1250</v>
      </c>
      <c r="L1881">
        <v>0</v>
      </c>
      <c r="M1881">
        <v>0</v>
      </c>
      <c r="N1881">
        <v>0</v>
      </c>
    </row>
    <row r="1882" spans="1:14" ht="14.4">
      <c r="A1882">
        <v>13367</v>
      </c>
      <c r="B1882">
        <v>13368</v>
      </c>
      <c r="C1882">
        <v>4086</v>
      </c>
      <c r="D1882" t="s">
        <v>390</v>
      </c>
      <c r="E1882" t="s">
        <v>1717</v>
      </c>
      <c r="F1882">
        <v>7082</v>
      </c>
      <c r="G1882" t="s">
        <v>441</v>
      </c>
      <c r="H1882" t="s">
        <v>38</v>
      </c>
      <c r="I1882">
        <v>31949</v>
      </c>
      <c r="J1882">
        <v>29999</v>
      </c>
      <c r="K1882">
        <v>1950</v>
      </c>
      <c r="L1882">
        <v>0</v>
      </c>
      <c r="M1882">
        <v>0</v>
      </c>
      <c r="N1882">
        <v>0</v>
      </c>
    </row>
    <row r="1883" spans="1:14" ht="14.4">
      <c r="A1883">
        <v>13367</v>
      </c>
      <c r="B1883">
        <v>13368</v>
      </c>
      <c r="C1883">
        <v>4086</v>
      </c>
      <c r="D1883" t="s">
        <v>390</v>
      </c>
      <c r="E1883" t="s">
        <v>1718</v>
      </c>
      <c r="F1883">
        <v>8738</v>
      </c>
      <c r="G1883" t="s">
        <v>402</v>
      </c>
      <c r="H1883" t="s">
        <v>38</v>
      </c>
      <c r="I1883">
        <v>711567</v>
      </c>
      <c r="J1883">
        <v>662367</v>
      </c>
      <c r="K1883">
        <v>49200</v>
      </c>
      <c r="L1883">
        <v>240000</v>
      </c>
      <c r="M1883">
        <v>200000</v>
      </c>
      <c r="N1883">
        <v>40000</v>
      </c>
    </row>
    <row r="1884" spans="1:14" ht="14.4">
      <c r="A1884">
        <v>13367</v>
      </c>
      <c r="B1884">
        <v>13368</v>
      </c>
      <c r="C1884">
        <v>4086</v>
      </c>
      <c r="D1884" t="s">
        <v>390</v>
      </c>
      <c r="E1884" t="s">
        <v>801</v>
      </c>
      <c r="F1884">
        <v>8609</v>
      </c>
      <c r="G1884" t="s">
        <v>496</v>
      </c>
      <c r="H1884" t="s">
        <v>38</v>
      </c>
      <c r="I1884">
        <v>13542</v>
      </c>
      <c r="J1884">
        <v>10862</v>
      </c>
      <c r="K1884">
        <v>2680</v>
      </c>
      <c r="L1884">
        <v>13600</v>
      </c>
      <c r="M1884">
        <v>10900</v>
      </c>
      <c r="N1884">
        <v>2700</v>
      </c>
    </row>
    <row r="1885" spans="1:14" ht="14.4">
      <c r="A1885">
        <v>13367</v>
      </c>
      <c r="B1885">
        <v>13368</v>
      </c>
      <c r="C1885">
        <v>4086</v>
      </c>
      <c r="D1885" t="s">
        <v>390</v>
      </c>
      <c r="E1885" t="s">
        <v>801</v>
      </c>
      <c r="F1885">
        <v>8610</v>
      </c>
      <c r="G1885" t="s">
        <v>496</v>
      </c>
      <c r="H1885" t="s">
        <v>38</v>
      </c>
      <c r="I1885">
        <v>11006</v>
      </c>
      <c r="J1885">
        <v>11006</v>
      </c>
      <c r="K1885">
        <v>0</v>
      </c>
      <c r="L1885">
        <v>9400</v>
      </c>
      <c r="M1885">
        <v>9400</v>
      </c>
      <c r="N1885">
        <v>0</v>
      </c>
    </row>
    <row r="1886" spans="1:14" ht="14.4">
      <c r="A1886">
        <v>13367</v>
      </c>
      <c r="B1886">
        <v>13368</v>
      </c>
      <c r="C1886">
        <v>4086</v>
      </c>
      <c r="D1886" t="s">
        <v>390</v>
      </c>
      <c r="E1886" t="s">
        <v>801</v>
      </c>
      <c r="F1886">
        <v>8611</v>
      </c>
      <c r="G1886" t="s">
        <v>496</v>
      </c>
      <c r="H1886" t="s">
        <v>38</v>
      </c>
      <c r="I1886">
        <v>24786</v>
      </c>
      <c r="J1886">
        <v>22586</v>
      </c>
      <c r="K1886">
        <v>2200</v>
      </c>
      <c r="L1886">
        <v>14000</v>
      </c>
      <c r="M1886">
        <v>11800</v>
      </c>
      <c r="N1886">
        <v>2200</v>
      </c>
    </row>
    <row r="1887" spans="1:14" ht="14.4">
      <c r="A1887">
        <v>13367</v>
      </c>
      <c r="B1887">
        <v>13368</v>
      </c>
      <c r="C1887">
        <v>4086</v>
      </c>
      <c r="D1887" t="s">
        <v>390</v>
      </c>
      <c r="E1887" t="s">
        <v>801</v>
      </c>
      <c r="F1887">
        <v>8618</v>
      </c>
      <c r="G1887" t="s">
        <v>496</v>
      </c>
      <c r="H1887" t="s">
        <v>38</v>
      </c>
      <c r="I1887">
        <v>48131</v>
      </c>
      <c r="J1887">
        <v>32756</v>
      </c>
      <c r="K1887">
        <v>15375</v>
      </c>
      <c r="L1887">
        <v>7200</v>
      </c>
      <c r="M1887">
        <v>6500</v>
      </c>
      <c r="N1887">
        <v>700</v>
      </c>
    </row>
    <row r="1888" spans="1:14" ht="14.4">
      <c r="A1888">
        <v>13367</v>
      </c>
      <c r="B1888">
        <v>13368</v>
      </c>
      <c r="C1888">
        <v>4086</v>
      </c>
      <c r="D1888" t="s">
        <v>390</v>
      </c>
      <c r="E1888" t="s">
        <v>801</v>
      </c>
      <c r="F1888">
        <v>8619</v>
      </c>
      <c r="G1888" t="s">
        <v>496</v>
      </c>
      <c r="H1888" t="s">
        <v>38</v>
      </c>
      <c r="I1888">
        <v>12655</v>
      </c>
      <c r="J1888">
        <v>12655</v>
      </c>
      <c r="K1888">
        <v>0</v>
      </c>
      <c r="L1888">
        <v>0</v>
      </c>
      <c r="M1888">
        <v>0</v>
      </c>
      <c r="N1888">
        <v>0</v>
      </c>
    </row>
    <row r="1889" spans="1:14" ht="14.4">
      <c r="A1889">
        <v>13367</v>
      </c>
      <c r="B1889">
        <v>13368</v>
      </c>
      <c r="C1889">
        <v>4086</v>
      </c>
      <c r="D1889" t="s">
        <v>390</v>
      </c>
      <c r="E1889" t="s">
        <v>801</v>
      </c>
      <c r="F1889">
        <v>8629</v>
      </c>
      <c r="G1889" t="s">
        <v>496</v>
      </c>
      <c r="H1889" t="s">
        <v>38</v>
      </c>
      <c r="I1889">
        <v>31993</v>
      </c>
      <c r="J1889">
        <v>31313</v>
      </c>
      <c r="K1889">
        <v>680</v>
      </c>
      <c r="L1889">
        <v>16600</v>
      </c>
      <c r="M1889">
        <v>15900</v>
      </c>
      <c r="N1889">
        <v>700</v>
      </c>
    </row>
    <row r="1890" spans="1:14" ht="14.4">
      <c r="A1890">
        <v>13367</v>
      </c>
      <c r="B1890">
        <v>13368</v>
      </c>
      <c r="C1890">
        <v>4086</v>
      </c>
      <c r="D1890" t="s">
        <v>390</v>
      </c>
      <c r="E1890" t="s">
        <v>801</v>
      </c>
      <c r="F1890">
        <v>8638</v>
      </c>
      <c r="G1890" t="s">
        <v>496</v>
      </c>
      <c r="H1890" t="s">
        <v>38</v>
      </c>
      <c r="I1890">
        <v>3755</v>
      </c>
      <c r="J1890">
        <v>3755</v>
      </c>
      <c r="K1890">
        <v>0</v>
      </c>
      <c r="L1890">
        <v>0</v>
      </c>
      <c r="M1890">
        <v>0</v>
      </c>
      <c r="N1890">
        <v>0</v>
      </c>
    </row>
    <row r="1891" spans="1:14" ht="14.4">
      <c r="A1891">
        <v>13367</v>
      </c>
      <c r="B1891">
        <v>13368</v>
      </c>
      <c r="C1891">
        <v>4086</v>
      </c>
      <c r="D1891" t="s">
        <v>390</v>
      </c>
      <c r="E1891" t="s">
        <v>1719</v>
      </c>
      <c r="F1891">
        <v>8250</v>
      </c>
      <c r="G1891" t="s">
        <v>404</v>
      </c>
      <c r="H1891" t="s">
        <v>38</v>
      </c>
      <c r="I1891">
        <v>6368</v>
      </c>
      <c r="J1891">
        <v>2043</v>
      </c>
      <c r="K1891">
        <v>4325</v>
      </c>
      <c r="L1891">
        <v>0</v>
      </c>
      <c r="M1891">
        <v>0</v>
      </c>
      <c r="N1891">
        <v>0</v>
      </c>
    </row>
    <row r="1892" spans="1:14" ht="14.4">
      <c r="A1892">
        <v>13367</v>
      </c>
      <c r="B1892">
        <v>13368</v>
      </c>
      <c r="C1892">
        <v>4086</v>
      </c>
      <c r="D1892" t="s">
        <v>390</v>
      </c>
      <c r="E1892" t="s">
        <v>802</v>
      </c>
      <c r="F1892">
        <v>8087</v>
      </c>
      <c r="G1892" t="s">
        <v>443</v>
      </c>
      <c r="H1892" t="s">
        <v>38</v>
      </c>
      <c r="I1892">
        <v>384140</v>
      </c>
      <c r="J1892">
        <v>316990</v>
      </c>
      <c r="K1892">
        <v>67150</v>
      </c>
      <c r="L1892">
        <v>209100</v>
      </c>
      <c r="M1892">
        <v>157500</v>
      </c>
      <c r="N1892">
        <v>51600</v>
      </c>
    </row>
    <row r="1893" spans="1:14" ht="14.4">
      <c r="A1893">
        <v>13367</v>
      </c>
      <c r="B1893">
        <v>13368</v>
      </c>
      <c r="C1893">
        <v>4086</v>
      </c>
      <c r="D1893" t="s">
        <v>390</v>
      </c>
      <c r="E1893" t="s">
        <v>802</v>
      </c>
      <c r="F1893">
        <v>8087</v>
      </c>
      <c r="G1893" t="s">
        <v>402</v>
      </c>
      <c r="H1893" t="s">
        <v>38</v>
      </c>
      <c r="I1893">
        <v>12247506</v>
      </c>
      <c r="J1893">
        <v>9496951</v>
      </c>
      <c r="K1893">
        <v>2750555</v>
      </c>
      <c r="L1893">
        <v>3934500</v>
      </c>
      <c r="M1893">
        <v>2944300</v>
      </c>
      <c r="N1893">
        <v>990200</v>
      </c>
    </row>
    <row r="1894" spans="1:14" ht="14.4">
      <c r="A1894">
        <v>13367</v>
      </c>
      <c r="B1894">
        <v>13368</v>
      </c>
      <c r="C1894">
        <v>4086</v>
      </c>
      <c r="D1894" t="s">
        <v>390</v>
      </c>
      <c r="E1894" t="s">
        <v>802</v>
      </c>
      <c r="F1894">
        <v>8224</v>
      </c>
      <c r="G1894" t="s">
        <v>443</v>
      </c>
      <c r="H1894" t="s">
        <v>38</v>
      </c>
      <c r="I1894">
        <v>192113</v>
      </c>
      <c r="J1894">
        <v>145588</v>
      </c>
      <c r="K1894">
        <v>46525</v>
      </c>
      <c r="L1894">
        <v>160100</v>
      </c>
      <c r="M1894">
        <v>120100</v>
      </c>
      <c r="N1894">
        <v>40000</v>
      </c>
    </row>
    <row r="1895" spans="1:14" ht="14.4">
      <c r="A1895">
        <v>13367</v>
      </c>
      <c r="B1895">
        <v>13368</v>
      </c>
      <c r="C1895">
        <v>4086</v>
      </c>
      <c r="D1895" t="s">
        <v>390</v>
      </c>
      <c r="E1895" t="s">
        <v>1720</v>
      </c>
      <c r="F1895">
        <v>8087</v>
      </c>
      <c r="G1895" t="s">
        <v>402</v>
      </c>
      <c r="H1895" t="s">
        <v>38</v>
      </c>
      <c r="I1895">
        <v>26549</v>
      </c>
      <c r="J1895">
        <v>0</v>
      </c>
      <c r="K1895">
        <v>26549</v>
      </c>
      <c r="L1895">
        <v>26600</v>
      </c>
      <c r="M1895">
        <v>0</v>
      </c>
      <c r="N1895">
        <v>26600</v>
      </c>
    </row>
    <row r="1896" spans="1:14" ht="14.4">
      <c r="A1896">
        <v>13367</v>
      </c>
      <c r="B1896">
        <v>13368</v>
      </c>
      <c r="C1896">
        <v>4086</v>
      </c>
      <c r="D1896" t="s">
        <v>390</v>
      </c>
      <c r="E1896" t="s">
        <v>435</v>
      </c>
      <c r="F1896">
        <v>7083</v>
      </c>
      <c r="G1896" t="s">
        <v>435</v>
      </c>
      <c r="H1896" t="s">
        <v>38</v>
      </c>
      <c r="I1896">
        <v>847868</v>
      </c>
      <c r="J1896">
        <v>750806</v>
      </c>
      <c r="K1896">
        <v>97062</v>
      </c>
      <c r="L1896">
        <v>269400</v>
      </c>
      <c r="M1896">
        <v>225200</v>
      </c>
      <c r="N1896">
        <v>44200</v>
      </c>
    </row>
    <row r="1897" spans="1:14" ht="14.4">
      <c r="A1897">
        <v>13367</v>
      </c>
      <c r="B1897">
        <v>13368</v>
      </c>
      <c r="C1897">
        <v>4086</v>
      </c>
      <c r="D1897" t="s">
        <v>390</v>
      </c>
      <c r="E1897" t="s">
        <v>435</v>
      </c>
      <c r="F1897">
        <v>7735</v>
      </c>
      <c r="G1897" t="s">
        <v>392</v>
      </c>
      <c r="H1897" t="s">
        <v>38</v>
      </c>
      <c r="I1897">
        <v>72470</v>
      </c>
      <c r="J1897">
        <v>63080</v>
      </c>
      <c r="K1897">
        <v>9390</v>
      </c>
      <c r="L1897">
        <v>0</v>
      </c>
      <c r="M1897">
        <v>0</v>
      </c>
      <c r="N1897">
        <v>0</v>
      </c>
    </row>
    <row r="1898" spans="1:14" ht="14.4">
      <c r="A1898">
        <v>13367</v>
      </c>
      <c r="B1898">
        <v>13368</v>
      </c>
      <c r="C1898">
        <v>4086</v>
      </c>
      <c r="D1898" t="s">
        <v>390</v>
      </c>
      <c r="E1898" t="s">
        <v>803</v>
      </c>
      <c r="F1898">
        <v>7728</v>
      </c>
      <c r="G1898" t="s">
        <v>392</v>
      </c>
      <c r="H1898" t="s">
        <v>38</v>
      </c>
      <c r="I1898">
        <v>230542</v>
      </c>
      <c r="J1898">
        <v>180442</v>
      </c>
      <c r="K1898">
        <v>50100</v>
      </c>
      <c r="L1898">
        <v>203200</v>
      </c>
      <c r="M1898">
        <v>163200</v>
      </c>
      <c r="N1898">
        <v>40000</v>
      </c>
    </row>
    <row r="1899" spans="1:14" ht="14.4">
      <c r="A1899">
        <v>13367</v>
      </c>
      <c r="B1899">
        <v>13368</v>
      </c>
      <c r="C1899">
        <v>4086</v>
      </c>
      <c r="D1899" t="s">
        <v>390</v>
      </c>
      <c r="E1899" t="s">
        <v>803</v>
      </c>
      <c r="F1899">
        <v>7735</v>
      </c>
      <c r="G1899" t="s">
        <v>392</v>
      </c>
      <c r="H1899" t="s">
        <v>38</v>
      </c>
      <c r="I1899">
        <v>63400662</v>
      </c>
      <c r="J1899">
        <v>46830266</v>
      </c>
      <c r="K1899">
        <v>16570396</v>
      </c>
      <c r="L1899">
        <v>27409900</v>
      </c>
      <c r="M1899">
        <v>18903500</v>
      </c>
      <c r="N1899">
        <v>8306400</v>
      </c>
    </row>
    <row r="1900" spans="1:14" ht="14.4">
      <c r="A1900">
        <v>13367</v>
      </c>
      <c r="B1900">
        <v>13368</v>
      </c>
      <c r="C1900">
        <v>4086</v>
      </c>
      <c r="D1900" t="s">
        <v>390</v>
      </c>
      <c r="E1900" t="s">
        <v>1721</v>
      </c>
      <c r="F1900">
        <v>7735</v>
      </c>
      <c r="G1900" t="s">
        <v>392</v>
      </c>
      <c r="H1900" t="s">
        <v>38</v>
      </c>
      <c r="I1900">
        <v>45817</v>
      </c>
      <c r="J1900">
        <v>36367</v>
      </c>
      <c r="K1900">
        <v>9450</v>
      </c>
      <c r="L1900">
        <v>28400</v>
      </c>
      <c r="M1900">
        <v>18900</v>
      </c>
      <c r="N1900">
        <v>9500</v>
      </c>
    </row>
    <row r="1901" spans="1:14" ht="14.4">
      <c r="A1901">
        <v>13367</v>
      </c>
      <c r="B1901">
        <v>13368</v>
      </c>
      <c r="C1901">
        <v>4086</v>
      </c>
      <c r="D1901" t="s">
        <v>390</v>
      </c>
      <c r="E1901" t="s">
        <v>1722</v>
      </c>
      <c r="F1901">
        <v>7735</v>
      </c>
      <c r="G1901" t="s">
        <v>392</v>
      </c>
      <c r="H1901" t="s">
        <v>38</v>
      </c>
      <c r="I1901">
        <v>10493</v>
      </c>
      <c r="J1901">
        <v>5193</v>
      </c>
      <c r="K1901">
        <v>5300</v>
      </c>
      <c r="L1901">
        <v>10500</v>
      </c>
      <c r="M1901">
        <v>5200</v>
      </c>
      <c r="N1901">
        <v>5300</v>
      </c>
    </row>
    <row r="1902" spans="1:14" ht="14.4">
      <c r="A1902">
        <v>13367</v>
      </c>
      <c r="B1902">
        <v>13368</v>
      </c>
      <c r="C1902">
        <v>4086</v>
      </c>
      <c r="D1902" t="s">
        <v>390</v>
      </c>
      <c r="E1902" t="s">
        <v>804</v>
      </c>
      <c r="F1902">
        <v>7087</v>
      </c>
      <c r="G1902" t="s">
        <v>37</v>
      </c>
      <c r="H1902" t="s">
        <v>38</v>
      </c>
      <c r="I1902">
        <v>42401</v>
      </c>
      <c r="J1902">
        <v>25926</v>
      </c>
      <c r="K1902">
        <v>16475</v>
      </c>
      <c r="L1902">
        <v>18400</v>
      </c>
      <c r="M1902">
        <v>8300</v>
      </c>
      <c r="N1902">
        <v>10100</v>
      </c>
    </row>
    <row r="1903" spans="1:14" ht="14.4">
      <c r="A1903">
        <v>13367</v>
      </c>
      <c r="B1903">
        <v>13368</v>
      </c>
      <c r="C1903">
        <v>4086</v>
      </c>
      <c r="D1903" t="s">
        <v>390</v>
      </c>
      <c r="E1903" t="s">
        <v>804</v>
      </c>
      <c r="F1903">
        <v>7735</v>
      </c>
      <c r="G1903" t="s">
        <v>392</v>
      </c>
      <c r="H1903" t="s">
        <v>38</v>
      </c>
      <c r="I1903">
        <v>289052</v>
      </c>
      <c r="J1903">
        <v>162452</v>
      </c>
      <c r="K1903">
        <v>126600</v>
      </c>
      <c r="L1903">
        <v>0</v>
      </c>
      <c r="M1903">
        <v>0</v>
      </c>
      <c r="N1903">
        <v>0</v>
      </c>
    </row>
    <row r="1904" spans="1:14" ht="14.4">
      <c r="A1904">
        <v>13367</v>
      </c>
      <c r="B1904">
        <v>13368</v>
      </c>
      <c r="C1904">
        <v>4086</v>
      </c>
      <c r="D1904" t="s">
        <v>390</v>
      </c>
      <c r="E1904" t="s">
        <v>1723</v>
      </c>
      <c r="F1904">
        <v>8501</v>
      </c>
      <c r="G1904" t="s">
        <v>392</v>
      </c>
      <c r="H1904" t="s">
        <v>38</v>
      </c>
      <c r="I1904">
        <v>31791</v>
      </c>
      <c r="J1904">
        <v>31791</v>
      </c>
      <c r="K1904">
        <v>0</v>
      </c>
      <c r="L1904">
        <v>31800</v>
      </c>
      <c r="M1904">
        <v>31800</v>
      </c>
      <c r="N1904">
        <v>0</v>
      </c>
    </row>
    <row r="1905" spans="1:14" ht="14.4">
      <c r="A1905">
        <v>13367</v>
      </c>
      <c r="B1905">
        <v>13368</v>
      </c>
      <c r="C1905">
        <v>4086</v>
      </c>
      <c r="D1905" t="s">
        <v>390</v>
      </c>
      <c r="E1905" t="s">
        <v>1724</v>
      </c>
      <c r="F1905">
        <v>7043</v>
      </c>
      <c r="G1905" t="s">
        <v>428</v>
      </c>
      <c r="H1905" t="s">
        <v>38</v>
      </c>
      <c r="I1905">
        <v>210495</v>
      </c>
      <c r="J1905">
        <v>210495</v>
      </c>
      <c r="K1905">
        <v>0</v>
      </c>
      <c r="L1905">
        <v>170600</v>
      </c>
      <c r="M1905">
        <v>170600</v>
      </c>
      <c r="N1905">
        <v>0</v>
      </c>
    </row>
    <row r="1906" spans="1:14" ht="14.4">
      <c r="A1906">
        <v>13367</v>
      </c>
      <c r="B1906">
        <v>13368</v>
      </c>
      <c r="C1906">
        <v>4086</v>
      </c>
      <c r="D1906" t="s">
        <v>390</v>
      </c>
      <c r="E1906" t="s">
        <v>1725</v>
      </c>
      <c r="F1906">
        <v>7458</v>
      </c>
      <c r="G1906" t="s">
        <v>76</v>
      </c>
      <c r="H1906" t="s">
        <v>38</v>
      </c>
      <c r="I1906">
        <v>38795</v>
      </c>
      <c r="J1906">
        <v>38195</v>
      </c>
      <c r="K1906">
        <v>600</v>
      </c>
      <c r="L1906">
        <v>36600</v>
      </c>
      <c r="M1906">
        <v>36000</v>
      </c>
      <c r="N1906">
        <v>600</v>
      </c>
    </row>
    <row r="1907" spans="1:14" ht="14.4">
      <c r="A1907">
        <v>13367</v>
      </c>
      <c r="B1907">
        <v>13368</v>
      </c>
      <c r="C1907">
        <v>4086</v>
      </c>
      <c r="D1907" t="s">
        <v>390</v>
      </c>
      <c r="E1907" t="s">
        <v>1726</v>
      </c>
      <c r="F1907">
        <v>7458</v>
      </c>
      <c r="G1907" t="s">
        <v>76</v>
      </c>
      <c r="H1907" t="s">
        <v>38</v>
      </c>
      <c r="I1907">
        <v>155188</v>
      </c>
      <c r="J1907">
        <v>100488</v>
      </c>
      <c r="K1907">
        <v>54700</v>
      </c>
      <c r="L1907">
        <v>0</v>
      </c>
      <c r="M1907">
        <v>0</v>
      </c>
      <c r="N1907">
        <v>0</v>
      </c>
    </row>
    <row r="1908" spans="1:14" ht="14.4">
      <c r="A1908">
        <v>13367</v>
      </c>
      <c r="B1908">
        <v>13368</v>
      </c>
      <c r="C1908">
        <v>4086</v>
      </c>
      <c r="D1908" t="s">
        <v>390</v>
      </c>
      <c r="E1908" t="s">
        <v>1727</v>
      </c>
      <c r="F1908">
        <v>7088</v>
      </c>
      <c r="G1908" t="s">
        <v>435</v>
      </c>
      <c r="H1908" t="s">
        <v>38</v>
      </c>
      <c r="I1908">
        <v>92189</v>
      </c>
      <c r="J1908">
        <v>81964</v>
      </c>
      <c r="K1908">
        <v>10225</v>
      </c>
      <c r="L1908">
        <v>38700</v>
      </c>
      <c r="M1908">
        <v>36800</v>
      </c>
      <c r="N1908">
        <v>1900</v>
      </c>
    </row>
    <row r="1909" spans="1:14" ht="14.4">
      <c r="A1909">
        <v>13367</v>
      </c>
      <c r="B1909">
        <v>13368</v>
      </c>
      <c r="C1909">
        <v>4086</v>
      </c>
      <c r="D1909" t="s">
        <v>390</v>
      </c>
      <c r="E1909" t="s">
        <v>805</v>
      </c>
      <c r="F1909">
        <v>8203</v>
      </c>
      <c r="G1909" t="s">
        <v>394</v>
      </c>
      <c r="H1909" t="s">
        <v>38</v>
      </c>
      <c r="I1909">
        <v>17975</v>
      </c>
      <c r="J1909">
        <v>0</v>
      </c>
      <c r="K1909">
        <v>17975</v>
      </c>
      <c r="L1909">
        <v>0</v>
      </c>
      <c r="M1909">
        <v>0</v>
      </c>
      <c r="N1909">
        <v>0</v>
      </c>
    </row>
    <row r="1910" spans="1:14" ht="14.4">
      <c r="A1910">
        <v>13367</v>
      </c>
      <c r="B1910">
        <v>13368</v>
      </c>
      <c r="C1910">
        <v>4086</v>
      </c>
      <c r="D1910" t="s">
        <v>390</v>
      </c>
      <c r="E1910" t="s">
        <v>805</v>
      </c>
      <c r="F1910">
        <v>8330</v>
      </c>
      <c r="G1910" t="s">
        <v>394</v>
      </c>
      <c r="H1910" t="s">
        <v>38</v>
      </c>
      <c r="I1910">
        <v>12535</v>
      </c>
      <c r="J1910">
        <v>0</v>
      </c>
      <c r="K1910">
        <v>12535</v>
      </c>
      <c r="L1910">
        <v>0</v>
      </c>
      <c r="M1910">
        <v>0</v>
      </c>
      <c r="N1910">
        <v>0</v>
      </c>
    </row>
    <row r="1911" spans="1:14" ht="14.4">
      <c r="A1911">
        <v>13367</v>
      </c>
      <c r="B1911">
        <v>13368</v>
      </c>
      <c r="C1911">
        <v>4086</v>
      </c>
      <c r="D1911" t="s">
        <v>390</v>
      </c>
      <c r="E1911" t="s">
        <v>805</v>
      </c>
      <c r="F1911">
        <v>8406</v>
      </c>
      <c r="G1911" t="s">
        <v>394</v>
      </c>
      <c r="H1911" t="s">
        <v>38</v>
      </c>
      <c r="I1911">
        <v>8761814</v>
      </c>
      <c r="J1911">
        <v>6722509</v>
      </c>
      <c r="K1911">
        <v>2039305</v>
      </c>
      <c r="L1911">
        <v>3050400</v>
      </c>
      <c r="M1911">
        <v>2286500</v>
      </c>
      <c r="N1911">
        <v>763900</v>
      </c>
    </row>
    <row r="1912" spans="1:14" ht="14.4">
      <c r="A1912">
        <v>13367</v>
      </c>
      <c r="B1912">
        <v>13368</v>
      </c>
      <c r="C1912">
        <v>4086</v>
      </c>
      <c r="D1912" t="s">
        <v>390</v>
      </c>
      <c r="E1912" t="s">
        <v>805</v>
      </c>
      <c r="F1912">
        <v>8506</v>
      </c>
      <c r="G1912" t="s">
        <v>394</v>
      </c>
      <c r="H1912" t="s">
        <v>38</v>
      </c>
      <c r="I1912">
        <v>94105</v>
      </c>
      <c r="J1912">
        <v>80775</v>
      </c>
      <c r="K1912">
        <v>13330</v>
      </c>
      <c r="L1912">
        <v>0</v>
      </c>
      <c r="M1912">
        <v>0</v>
      </c>
      <c r="N1912">
        <v>0</v>
      </c>
    </row>
    <row r="1913" spans="1:14" ht="14.4">
      <c r="A1913">
        <v>13367</v>
      </c>
      <c r="B1913">
        <v>13368</v>
      </c>
      <c r="C1913">
        <v>4086</v>
      </c>
      <c r="D1913" t="s">
        <v>390</v>
      </c>
      <c r="E1913" t="s">
        <v>1728</v>
      </c>
      <c r="F1913">
        <v>8406</v>
      </c>
      <c r="G1913" t="s">
        <v>394</v>
      </c>
      <c r="H1913" t="s">
        <v>38</v>
      </c>
      <c r="I1913">
        <v>35587</v>
      </c>
      <c r="J1913">
        <v>32937</v>
      </c>
      <c r="K1913">
        <v>2650</v>
      </c>
      <c r="L1913">
        <v>0</v>
      </c>
      <c r="M1913">
        <v>0</v>
      </c>
      <c r="N1913">
        <v>0</v>
      </c>
    </row>
    <row r="1914" spans="1:14" ht="14.4">
      <c r="A1914">
        <v>13367</v>
      </c>
      <c r="B1914">
        <v>13368</v>
      </c>
      <c r="C1914">
        <v>4086</v>
      </c>
      <c r="D1914" t="s">
        <v>390</v>
      </c>
      <c r="E1914" t="s">
        <v>806</v>
      </c>
      <c r="F1914">
        <v>8406</v>
      </c>
      <c r="G1914" t="s">
        <v>394</v>
      </c>
      <c r="H1914" t="s">
        <v>38</v>
      </c>
      <c r="I1914">
        <v>11893022</v>
      </c>
      <c r="J1914">
        <v>8359192</v>
      </c>
      <c r="K1914">
        <v>3533830</v>
      </c>
      <c r="L1914">
        <v>4426500</v>
      </c>
      <c r="M1914">
        <v>2938700</v>
      </c>
      <c r="N1914">
        <v>1487800</v>
      </c>
    </row>
    <row r="1915" spans="1:14" ht="14.4">
      <c r="A1915">
        <v>13367</v>
      </c>
      <c r="B1915">
        <v>13368</v>
      </c>
      <c r="C1915">
        <v>4086</v>
      </c>
      <c r="D1915" t="s">
        <v>390</v>
      </c>
      <c r="E1915" t="s">
        <v>1729</v>
      </c>
      <c r="F1915">
        <v>8406</v>
      </c>
      <c r="G1915" t="s">
        <v>394</v>
      </c>
      <c r="H1915" t="s">
        <v>38</v>
      </c>
      <c r="I1915">
        <v>32582</v>
      </c>
      <c r="J1915">
        <v>7166</v>
      </c>
      <c r="K1915">
        <v>25416</v>
      </c>
      <c r="L1915">
        <v>0</v>
      </c>
      <c r="M1915">
        <v>0</v>
      </c>
      <c r="N1915">
        <v>0</v>
      </c>
    </row>
    <row r="1916" spans="1:14" ht="14.4">
      <c r="A1916">
        <v>13367</v>
      </c>
      <c r="B1916">
        <v>13368</v>
      </c>
      <c r="C1916">
        <v>4086</v>
      </c>
      <c r="D1916" t="s">
        <v>390</v>
      </c>
      <c r="E1916" t="s">
        <v>1730</v>
      </c>
      <c r="F1916">
        <v>8406</v>
      </c>
      <c r="G1916" t="s">
        <v>394</v>
      </c>
      <c r="H1916" t="s">
        <v>38</v>
      </c>
      <c r="I1916">
        <v>77737</v>
      </c>
      <c r="J1916">
        <v>62637</v>
      </c>
      <c r="K1916">
        <v>15100</v>
      </c>
      <c r="L1916">
        <v>6800</v>
      </c>
      <c r="M1916">
        <v>0</v>
      </c>
      <c r="N1916">
        <v>6800</v>
      </c>
    </row>
    <row r="1917" spans="1:14" ht="14.4">
      <c r="A1917">
        <v>13367</v>
      </c>
      <c r="B1917">
        <v>13368</v>
      </c>
      <c r="C1917">
        <v>4086</v>
      </c>
      <c r="D1917" t="s">
        <v>390</v>
      </c>
      <c r="E1917" t="s">
        <v>807</v>
      </c>
      <c r="F1917">
        <v>7044</v>
      </c>
      <c r="G1917" t="s">
        <v>428</v>
      </c>
      <c r="H1917" t="s">
        <v>38</v>
      </c>
      <c r="I1917">
        <v>22514</v>
      </c>
      <c r="J1917">
        <v>22264</v>
      </c>
      <c r="K1917">
        <v>250</v>
      </c>
      <c r="L1917">
        <v>21600</v>
      </c>
      <c r="M1917">
        <v>21300</v>
      </c>
      <c r="N1917">
        <v>300</v>
      </c>
    </row>
    <row r="1918" spans="1:14" ht="14.4">
      <c r="A1918">
        <v>13367</v>
      </c>
      <c r="B1918">
        <v>13368</v>
      </c>
      <c r="C1918">
        <v>4086</v>
      </c>
      <c r="D1918" t="s">
        <v>390</v>
      </c>
      <c r="E1918" t="s">
        <v>1731</v>
      </c>
      <c r="F1918">
        <v>8046</v>
      </c>
      <c r="G1918" t="s">
        <v>394</v>
      </c>
      <c r="H1918" t="s">
        <v>38</v>
      </c>
      <c r="I1918">
        <v>16392</v>
      </c>
      <c r="J1918">
        <v>0</v>
      </c>
      <c r="K1918">
        <v>16392</v>
      </c>
      <c r="L1918">
        <v>0</v>
      </c>
      <c r="M1918">
        <v>0</v>
      </c>
      <c r="N1918">
        <v>0</v>
      </c>
    </row>
    <row r="1919" spans="1:14" ht="14.4">
      <c r="A1919">
        <v>13367</v>
      </c>
      <c r="B1919">
        <v>13368</v>
      </c>
      <c r="C1919">
        <v>4086</v>
      </c>
      <c r="D1919" t="s">
        <v>390</v>
      </c>
      <c r="E1919" t="s">
        <v>1731</v>
      </c>
      <c r="F1919">
        <v>8406</v>
      </c>
      <c r="G1919" t="s">
        <v>394</v>
      </c>
      <c r="H1919" t="s">
        <v>38</v>
      </c>
      <c r="I1919">
        <v>31430</v>
      </c>
      <c r="J1919">
        <v>28930</v>
      </c>
      <c r="K1919">
        <v>2500</v>
      </c>
      <c r="L1919">
        <v>0</v>
      </c>
      <c r="M1919">
        <v>0</v>
      </c>
      <c r="N1919">
        <v>0</v>
      </c>
    </row>
    <row r="1920" spans="1:14" ht="14.4">
      <c r="A1920">
        <v>13367</v>
      </c>
      <c r="B1920">
        <v>13368</v>
      </c>
      <c r="C1920">
        <v>4086</v>
      </c>
      <c r="D1920" t="s">
        <v>390</v>
      </c>
      <c r="E1920" t="s">
        <v>808</v>
      </c>
      <c r="F1920">
        <v>8251</v>
      </c>
      <c r="G1920" t="s">
        <v>404</v>
      </c>
      <c r="H1920" t="s">
        <v>38</v>
      </c>
      <c r="I1920">
        <v>333083</v>
      </c>
      <c r="J1920">
        <v>310713</v>
      </c>
      <c r="K1920">
        <v>22370</v>
      </c>
      <c r="L1920">
        <v>165900</v>
      </c>
      <c r="M1920">
        <v>143500</v>
      </c>
      <c r="N1920">
        <v>22400</v>
      </c>
    </row>
    <row r="1921" spans="1:14" ht="14.4">
      <c r="A1921">
        <v>13367</v>
      </c>
      <c r="B1921">
        <v>13368</v>
      </c>
      <c r="C1921">
        <v>4086</v>
      </c>
      <c r="D1921" t="s">
        <v>390</v>
      </c>
      <c r="E1921" t="s">
        <v>809</v>
      </c>
      <c r="F1921">
        <v>8360</v>
      </c>
      <c r="G1921" t="s">
        <v>452</v>
      </c>
      <c r="H1921" t="s">
        <v>38</v>
      </c>
      <c r="I1921">
        <v>60549</v>
      </c>
      <c r="J1921">
        <v>59049</v>
      </c>
      <c r="K1921">
        <v>1500</v>
      </c>
      <c r="L1921">
        <v>19600</v>
      </c>
      <c r="M1921">
        <v>19600</v>
      </c>
      <c r="N1921">
        <v>0</v>
      </c>
    </row>
    <row r="1922" spans="1:14" ht="14.4">
      <c r="A1922">
        <v>13367</v>
      </c>
      <c r="B1922">
        <v>13368</v>
      </c>
      <c r="C1922">
        <v>4086</v>
      </c>
      <c r="D1922" t="s">
        <v>390</v>
      </c>
      <c r="E1922" t="s">
        <v>809</v>
      </c>
      <c r="F1922">
        <v>8361</v>
      </c>
      <c r="G1922" t="s">
        <v>452</v>
      </c>
      <c r="H1922" t="s">
        <v>38</v>
      </c>
      <c r="I1922">
        <v>8806</v>
      </c>
      <c r="J1922">
        <v>8806</v>
      </c>
      <c r="K1922">
        <v>0</v>
      </c>
      <c r="L1922">
        <v>4900</v>
      </c>
      <c r="M1922">
        <v>4900</v>
      </c>
      <c r="N1922">
        <v>0</v>
      </c>
    </row>
    <row r="1923" spans="1:14" ht="14.4">
      <c r="A1923">
        <v>13367</v>
      </c>
      <c r="B1923">
        <v>13368</v>
      </c>
      <c r="C1923">
        <v>4086</v>
      </c>
      <c r="D1923" t="s">
        <v>390</v>
      </c>
      <c r="E1923" t="s">
        <v>1732</v>
      </c>
      <c r="F1923">
        <v>8232</v>
      </c>
      <c r="G1923" t="s">
        <v>394</v>
      </c>
      <c r="H1923" t="s">
        <v>38</v>
      </c>
      <c r="I1923">
        <v>142098</v>
      </c>
      <c r="J1923">
        <v>116798</v>
      </c>
      <c r="K1923">
        <v>25300</v>
      </c>
      <c r="L1923">
        <v>52200</v>
      </c>
      <c r="M1923">
        <v>37600</v>
      </c>
      <c r="N1923">
        <v>14600</v>
      </c>
    </row>
    <row r="1924" spans="1:14" ht="14.4">
      <c r="A1924">
        <v>13367</v>
      </c>
      <c r="B1924">
        <v>13368</v>
      </c>
      <c r="C1924">
        <v>4086</v>
      </c>
      <c r="D1924" t="s">
        <v>390</v>
      </c>
      <c r="E1924" t="s">
        <v>1733</v>
      </c>
      <c r="F1924">
        <v>7734</v>
      </c>
      <c r="G1924" t="s">
        <v>392</v>
      </c>
      <c r="H1924" t="s">
        <v>38</v>
      </c>
      <c r="I1924">
        <v>25964</v>
      </c>
      <c r="J1924">
        <v>23764</v>
      </c>
      <c r="K1924">
        <v>2200</v>
      </c>
      <c r="L1924">
        <v>0</v>
      </c>
      <c r="M1924">
        <v>0</v>
      </c>
      <c r="N1924">
        <v>0</v>
      </c>
    </row>
    <row r="1925" spans="1:14" ht="14.4">
      <c r="A1925">
        <v>13367</v>
      </c>
      <c r="B1925">
        <v>13368</v>
      </c>
      <c r="C1925">
        <v>4086</v>
      </c>
      <c r="D1925" t="s">
        <v>390</v>
      </c>
      <c r="E1925" t="s">
        <v>1734</v>
      </c>
      <c r="F1925">
        <v>8260</v>
      </c>
      <c r="G1925" t="s">
        <v>404</v>
      </c>
      <c r="H1925" t="s">
        <v>38</v>
      </c>
      <c r="I1925">
        <v>170040</v>
      </c>
      <c r="J1925">
        <v>106180</v>
      </c>
      <c r="K1925">
        <v>63860</v>
      </c>
      <c r="L1925">
        <v>87000</v>
      </c>
      <c r="M1925">
        <v>58800</v>
      </c>
      <c r="N1925">
        <v>28200</v>
      </c>
    </row>
    <row r="1926" spans="1:14" ht="14.4">
      <c r="A1926">
        <v>13367</v>
      </c>
      <c r="B1926">
        <v>13368</v>
      </c>
      <c r="C1926">
        <v>4086</v>
      </c>
      <c r="D1926" t="s">
        <v>390</v>
      </c>
      <c r="E1926" t="s">
        <v>1735</v>
      </c>
      <c r="F1926">
        <v>8260</v>
      </c>
      <c r="G1926" t="s">
        <v>404</v>
      </c>
      <c r="H1926" t="s">
        <v>38</v>
      </c>
      <c r="I1926">
        <v>18587</v>
      </c>
      <c r="J1926">
        <v>16612</v>
      </c>
      <c r="K1926">
        <v>1975</v>
      </c>
      <c r="L1926">
        <v>18600</v>
      </c>
      <c r="M1926">
        <v>16700</v>
      </c>
      <c r="N1926">
        <v>1900</v>
      </c>
    </row>
    <row r="1927" spans="1:14" ht="14.4">
      <c r="A1927">
        <v>13367</v>
      </c>
      <c r="B1927">
        <v>13368</v>
      </c>
      <c r="C1927">
        <v>4086</v>
      </c>
      <c r="D1927" t="s">
        <v>390</v>
      </c>
      <c r="E1927" t="s">
        <v>1736</v>
      </c>
      <c r="F1927">
        <v>8260</v>
      </c>
      <c r="G1927" t="s">
        <v>404</v>
      </c>
      <c r="H1927" t="s">
        <v>38</v>
      </c>
      <c r="I1927">
        <v>2981</v>
      </c>
      <c r="J1927">
        <v>1061</v>
      </c>
      <c r="K1927">
        <v>1920</v>
      </c>
      <c r="L1927">
        <v>0</v>
      </c>
      <c r="M1927">
        <v>0</v>
      </c>
      <c r="N1927">
        <v>0</v>
      </c>
    </row>
    <row r="1928" spans="1:14" ht="14.4">
      <c r="A1928">
        <v>13367</v>
      </c>
      <c r="B1928">
        <v>13368</v>
      </c>
      <c r="C1928">
        <v>4086</v>
      </c>
      <c r="D1928" t="s">
        <v>390</v>
      </c>
      <c r="E1928" t="s">
        <v>1737</v>
      </c>
      <c r="F1928">
        <v>7463</v>
      </c>
      <c r="G1928" t="s">
        <v>76</v>
      </c>
      <c r="H1928" t="s">
        <v>38</v>
      </c>
      <c r="I1928">
        <v>128170</v>
      </c>
      <c r="J1928">
        <v>115670</v>
      </c>
      <c r="K1928">
        <v>12500</v>
      </c>
      <c r="L1928">
        <v>47500</v>
      </c>
      <c r="M1928">
        <v>46600</v>
      </c>
      <c r="N1928">
        <v>900</v>
      </c>
    </row>
    <row r="1929" spans="1:14" ht="14.4">
      <c r="A1929">
        <v>13367</v>
      </c>
      <c r="B1929">
        <v>13368</v>
      </c>
      <c r="C1929">
        <v>4086</v>
      </c>
      <c r="D1929" t="s">
        <v>390</v>
      </c>
      <c r="E1929" t="s">
        <v>811</v>
      </c>
      <c r="F1929">
        <v>7719</v>
      </c>
      <c r="G1929" t="s">
        <v>392</v>
      </c>
      <c r="H1929" t="s">
        <v>38</v>
      </c>
      <c r="I1929">
        <v>541319</v>
      </c>
      <c r="J1929">
        <v>432444</v>
      </c>
      <c r="K1929">
        <v>108875</v>
      </c>
      <c r="L1929">
        <v>375300</v>
      </c>
      <c r="M1929">
        <v>281900</v>
      </c>
      <c r="N1929">
        <v>93400</v>
      </c>
    </row>
    <row r="1930" spans="1:14" ht="14.4">
      <c r="A1930">
        <v>13367</v>
      </c>
      <c r="B1930">
        <v>13368</v>
      </c>
      <c r="C1930">
        <v>4086</v>
      </c>
      <c r="D1930" t="s">
        <v>390</v>
      </c>
      <c r="E1930" t="s">
        <v>812</v>
      </c>
      <c r="F1930">
        <v>7719</v>
      </c>
      <c r="G1930" t="s">
        <v>392</v>
      </c>
      <c r="H1930" t="s">
        <v>38</v>
      </c>
      <c r="I1930">
        <v>407041</v>
      </c>
      <c r="J1930">
        <v>388416</v>
      </c>
      <c r="K1930">
        <v>18625</v>
      </c>
      <c r="L1930">
        <v>110200</v>
      </c>
      <c r="M1930">
        <v>110100</v>
      </c>
      <c r="N1930">
        <v>100</v>
      </c>
    </row>
    <row r="1931" spans="1:14" ht="14.4">
      <c r="A1931">
        <v>13367</v>
      </c>
      <c r="B1931">
        <v>13368</v>
      </c>
      <c r="C1931">
        <v>4086</v>
      </c>
      <c r="D1931" t="s">
        <v>390</v>
      </c>
      <c r="E1931" t="s">
        <v>812</v>
      </c>
      <c r="F1931">
        <v>7753</v>
      </c>
      <c r="G1931" t="s">
        <v>392</v>
      </c>
      <c r="H1931" t="s">
        <v>38</v>
      </c>
      <c r="I1931">
        <v>27365</v>
      </c>
      <c r="J1931">
        <v>27365</v>
      </c>
      <c r="K1931">
        <v>0</v>
      </c>
      <c r="L1931">
        <v>8000</v>
      </c>
      <c r="M1931">
        <v>8000</v>
      </c>
      <c r="N1931">
        <v>0</v>
      </c>
    </row>
    <row r="1932" spans="1:14" ht="14.4">
      <c r="A1932">
        <v>13367</v>
      </c>
      <c r="B1932">
        <v>13368</v>
      </c>
      <c r="C1932">
        <v>4086</v>
      </c>
      <c r="D1932" t="s">
        <v>390</v>
      </c>
      <c r="E1932" t="s">
        <v>1738</v>
      </c>
      <c r="F1932">
        <v>7753</v>
      </c>
      <c r="G1932" t="s">
        <v>392</v>
      </c>
      <c r="H1932" t="s">
        <v>38</v>
      </c>
      <c r="I1932">
        <v>54088</v>
      </c>
      <c r="J1932">
        <v>41963</v>
      </c>
      <c r="K1932">
        <v>12125</v>
      </c>
      <c r="L1932">
        <v>0</v>
      </c>
      <c r="M1932">
        <v>0</v>
      </c>
      <c r="N1932">
        <v>0</v>
      </c>
    </row>
    <row r="1933" spans="1:14" ht="14.4">
      <c r="A1933">
        <v>13367</v>
      </c>
      <c r="B1933">
        <v>13368</v>
      </c>
      <c r="C1933">
        <v>4086</v>
      </c>
      <c r="D1933" t="s">
        <v>390</v>
      </c>
      <c r="E1933" t="s">
        <v>813</v>
      </c>
      <c r="F1933">
        <v>7057</v>
      </c>
      <c r="G1933" t="s">
        <v>76</v>
      </c>
      <c r="H1933" t="s">
        <v>38</v>
      </c>
      <c r="I1933">
        <v>69047</v>
      </c>
      <c r="J1933">
        <v>35887</v>
      </c>
      <c r="K1933">
        <v>33160</v>
      </c>
      <c r="L1933">
        <v>41000</v>
      </c>
      <c r="M1933">
        <v>15600</v>
      </c>
      <c r="N1933">
        <v>25400</v>
      </c>
    </row>
    <row r="1934" spans="1:14" ht="14.4">
      <c r="A1934">
        <v>13367</v>
      </c>
      <c r="B1934">
        <v>13368</v>
      </c>
      <c r="C1934">
        <v>4086</v>
      </c>
      <c r="D1934" t="s">
        <v>390</v>
      </c>
      <c r="E1934" t="s">
        <v>814</v>
      </c>
      <c r="F1934">
        <v>7465</v>
      </c>
      <c r="G1934" t="s">
        <v>429</v>
      </c>
      <c r="H1934" t="s">
        <v>38</v>
      </c>
      <c r="I1934">
        <v>41534</v>
      </c>
      <c r="J1934">
        <v>39334</v>
      </c>
      <c r="K1934">
        <v>2200</v>
      </c>
      <c r="L1934">
        <v>36100</v>
      </c>
      <c r="M1934">
        <v>33900</v>
      </c>
      <c r="N1934">
        <v>2200</v>
      </c>
    </row>
    <row r="1935" spans="1:14" ht="14.4">
      <c r="A1935">
        <v>13367</v>
      </c>
      <c r="B1935">
        <v>13368</v>
      </c>
      <c r="C1935">
        <v>4086</v>
      </c>
      <c r="D1935" t="s">
        <v>390</v>
      </c>
      <c r="E1935" t="s">
        <v>1739</v>
      </c>
      <c r="F1935">
        <v>7461</v>
      </c>
      <c r="G1935" t="s">
        <v>462</v>
      </c>
      <c r="H1935" t="s">
        <v>38</v>
      </c>
      <c r="I1935">
        <v>46113</v>
      </c>
      <c r="J1935">
        <v>45563</v>
      </c>
      <c r="K1935">
        <v>550</v>
      </c>
      <c r="L1935">
        <v>0</v>
      </c>
      <c r="M1935">
        <v>0</v>
      </c>
      <c r="N1935">
        <v>0</v>
      </c>
    </row>
    <row r="1936" spans="1:14" ht="14.4">
      <c r="A1936">
        <v>13367</v>
      </c>
      <c r="B1936">
        <v>13368</v>
      </c>
      <c r="C1936">
        <v>4086</v>
      </c>
      <c r="D1936" t="s">
        <v>390</v>
      </c>
      <c r="E1936" t="s">
        <v>815</v>
      </c>
      <c r="F1936">
        <v>8758</v>
      </c>
      <c r="G1936" t="s">
        <v>394</v>
      </c>
      <c r="H1936" t="s">
        <v>38</v>
      </c>
      <c r="I1936">
        <v>24400</v>
      </c>
      <c r="J1936">
        <v>0</v>
      </c>
      <c r="K1936">
        <v>24400</v>
      </c>
      <c r="L1936">
        <v>0</v>
      </c>
      <c r="M1936">
        <v>0</v>
      </c>
      <c r="N1936">
        <v>0</v>
      </c>
    </row>
    <row r="1937" spans="1:14" ht="14.4">
      <c r="A1937">
        <v>13367</v>
      </c>
      <c r="B1937">
        <v>13368</v>
      </c>
      <c r="C1937">
        <v>4086</v>
      </c>
      <c r="D1937" t="s">
        <v>390</v>
      </c>
      <c r="E1937" t="s">
        <v>815</v>
      </c>
      <c r="F1937">
        <v>8758</v>
      </c>
      <c r="G1937" t="s">
        <v>402</v>
      </c>
      <c r="H1937" t="s">
        <v>38</v>
      </c>
      <c r="I1937">
        <v>9421511</v>
      </c>
      <c r="J1937">
        <v>7128226</v>
      </c>
      <c r="K1937">
        <v>2293285</v>
      </c>
      <c r="L1937">
        <v>3983000</v>
      </c>
      <c r="M1937">
        <v>2842000</v>
      </c>
      <c r="N1937">
        <v>1141000</v>
      </c>
    </row>
    <row r="1938" spans="1:14" ht="14.4">
      <c r="A1938">
        <v>13367</v>
      </c>
      <c r="B1938">
        <v>13368</v>
      </c>
      <c r="C1938">
        <v>4086</v>
      </c>
      <c r="D1938" t="s">
        <v>390</v>
      </c>
      <c r="E1938" t="s">
        <v>398</v>
      </c>
      <c r="F1938">
        <v>7059</v>
      </c>
      <c r="G1938" t="s">
        <v>413</v>
      </c>
      <c r="H1938" t="s">
        <v>38</v>
      </c>
      <c r="I1938">
        <v>97459</v>
      </c>
      <c r="J1938">
        <v>79809</v>
      </c>
      <c r="K1938">
        <v>17650</v>
      </c>
      <c r="L1938">
        <v>73300</v>
      </c>
      <c r="M1938">
        <v>63500</v>
      </c>
      <c r="N1938">
        <v>9800</v>
      </c>
    </row>
    <row r="1939" spans="1:14" ht="14.4">
      <c r="A1939">
        <v>13367</v>
      </c>
      <c r="B1939">
        <v>13368</v>
      </c>
      <c r="C1939">
        <v>4086</v>
      </c>
      <c r="D1939" t="s">
        <v>390</v>
      </c>
      <c r="E1939" t="s">
        <v>817</v>
      </c>
      <c r="F1939">
        <v>7882</v>
      </c>
      <c r="G1939" t="s">
        <v>398</v>
      </c>
      <c r="H1939" t="s">
        <v>38</v>
      </c>
      <c r="I1939">
        <v>173359</v>
      </c>
      <c r="J1939">
        <v>145494</v>
      </c>
      <c r="K1939">
        <v>27865</v>
      </c>
      <c r="L1939">
        <v>137400</v>
      </c>
      <c r="M1939">
        <v>110000</v>
      </c>
      <c r="N1939">
        <v>27400</v>
      </c>
    </row>
    <row r="1940" spans="1:14" ht="14.4">
      <c r="A1940">
        <v>13367</v>
      </c>
      <c r="B1940">
        <v>13368</v>
      </c>
      <c r="C1940">
        <v>4086</v>
      </c>
      <c r="D1940" t="s">
        <v>390</v>
      </c>
      <c r="E1940" t="s">
        <v>818</v>
      </c>
      <c r="F1940">
        <v>7069</v>
      </c>
      <c r="G1940" t="s">
        <v>413</v>
      </c>
      <c r="H1940" t="s">
        <v>38</v>
      </c>
      <c r="I1940">
        <v>400939</v>
      </c>
      <c r="J1940">
        <v>392749</v>
      </c>
      <c r="K1940">
        <v>8190</v>
      </c>
      <c r="L1940">
        <v>226000</v>
      </c>
      <c r="M1940">
        <v>218800</v>
      </c>
      <c r="N1940">
        <v>7200</v>
      </c>
    </row>
    <row r="1941" spans="1:14" ht="14.4">
      <c r="A1941">
        <v>13367</v>
      </c>
      <c r="B1941">
        <v>13368</v>
      </c>
      <c r="C1941">
        <v>4086</v>
      </c>
      <c r="D1941" t="s">
        <v>390</v>
      </c>
      <c r="E1941" t="s">
        <v>819</v>
      </c>
      <c r="F1941">
        <v>7470</v>
      </c>
      <c r="G1941" t="s">
        <v>429</v>
      </c>
      <c r="H1941" t="s">
        <v>38</v>
      </c>
      <c r="I1941">
        <v>909423</v>
      </c>
      <c r="J1941">
        <v>766338</v>
      </c>
      <c r="K1941">
        <v>143085</v>
      </c>
      <c r="L1941">
        <v>347500</v>
      </c>
      <c r="M1941">
        <v>318900</v>
      </c>
      <c r="N1941">
        <v>28600</v>
      </c>
    </row>
    <row r="1942" spans="1:14" ht="14.4">
      <c r="A1942">
        <v>13367</v>
      </c>
      <c r="B1942">
        <v>13368</v>
      </c>
      <c r="C1942">
        <v>4086</v>
      </c>
      <c r="D1942" t="s">
        <v>390</v>
      </c>
      <c r="E1942" t="s">
        <v>820</v>
      </c>
      <c r="F1942">
        <v>7086</v>
      </c>
      <c r="G1942" t="s">
        <v>37</v>
      </c>
      <c r="H1942" t="s">
        <v>38</v>
      </c>
      <c r="I1942">
        <v>1714371</v>
      </c>
      <c r="J1942">
        <v>1057732</v>
      </c>
      <c r="K1942">
        <v>656639</v>
      </c>
      <c r="L1942">
        <v>696400</v>
      </c>
      <c r="M1942">
        <v>378400</v>
      </c>
      <c r="N1942">
        <v>318000</v>
      </c>
    </row>
    <row r="1943" spans="1:14" ht="14.4">
      <c r="A1943">
        <v>13367</v>
      </c>
      <c r="B1943">
        <v>13368</v>
      </c>
      <c r="C1943">
        <v>4086</v>
      </c>
      <c r="D1943" t="s">
        <v>390</v>
      </c>
      <c r="E1943" t="s">
        <v>1740</v>
      </c>
      <c r="F1943">
        <v>8232</v>
      </c>
      <c r="G1943" t="s">
        <v>394</v>
      </c>
      <c r="H1943" t="s">
        <v>38</v>
      </c>
      <c r="I1943">
        <v>174770</v>
      </c>
      <c r="J1943">
        <v>140270</v>
      </c>
      <c r="K1943">
        <v>34500</v>
      </c>
      <c r="L1943">
        <v>0</v>
      </c>
      <c r="M1943">
        <v>0</v>
      </c>
      <c r="N1943">
        <v>0</v>
      </c>
    </row>
    <row r="1944" spans="1:14" ht="14.4">
      <c r="A1944">
        <v>13367</v>
      </c>
      <c r="B1944">
        <v>13368</v>
      </c>
      <c r="C1944">
        <v>4086</v>
      </c>
      <c r="D1944" t="s">
        <v>390</v>
      </c>
      <c r="E1944" t="s">
        <v>821</v>
      </c>
      <c r="F1944">
        <v>8232</v>
      </c>
      <c r="G1944" t="s">
        <v>394</v>
      </c>
      <c r="H1944" t="s">
        <v>38</v>
      </c>
      <c r="I1944">
        <v>125634</v>
      </c>
      <c r="J1944">
        <v>84034</v>
      </c>
      <c r="K1944">
        <v>41600</v>
      </c>
      <c r="L1944">
        <v>45800</v>
      </c>
      <c r="M1944">
        <v>32700</v>
      </c>
      <c r="N1944">
        <v>13100</v>
      </c>
    </row>
    <row r="1945" spans="1:14" ht="14.4">
      <c r="A1945">
        <v>13367</v>
      </c>
      <c r="B1945">
        <v>13368</v>
      </c>
      <c r="C1945">
        <v>4086</v>
      </c>
      <c r="D1945" t="s">
        <v>390</v>
      </c>
      <c r="E1945" t="s">
        <v>1741</v>
      </c>
      <c r="F1945">
        <v>7719</v>
      </c>
      <c r="G1945" t="s">
        <v>392</v>
      </c>
      <c r="H1945" t="s">
        <v>38</v>
      </c>
      <c r="I1945">
        <v>15055</v>
      </c>
      <c r="J1945">
        <v>15055</v>
      </c>
      <c r="K1945">
        <v>0</v>
      </c>
      <c r="L1945">
        <v>0</v>
      </c>
      <c r="M1945">
        <v>0</v>
      </c>
      <c r="N1945">
        <v>0</v>
      </c>
    </row>
    <row r="1946" spans="1:14" ht="14.4">
      <c r="A1946">
        <v>13367</v>
      </c>
      <c r="B1946">
        <v>13368</v>
      </c>
      <c r="C1946">
        <v>4086</v>
      </c>
      <c r="D1946" t="s">
        <v>390</v>
      </c>
      <c r="E1946" t="s">
        <v>1742</v>
      </c>
      <c r="F1946">
        <v>7006</v>
      </c>
      <c r="G1946" t="s">
        <v>428</v>
      </c>
      <c r="H1946" t="s">
        <v>38</v>
      </c>
      <c r="I1946">
        <v>81135</v>
      </c>
      <c r="J1946">
        <v>75060</v>
      </c>
      <c r="K1946">
        <v>6075</v>
      </c>
      <c r="L1946">
        <v>17800</v>
      </c>
      <c r="M1946">
        <v>17800</v>
      </c>
      <c r="N1946">
        <v>0</v>
      </c>
    </row>
    <row r="1947" spans="1:14" ht="14.4">
      <c r="A1947">
        <v>13367</v>
      </c>
      <c r="B1947">
        <v>13368</v>
      </c>
      <c r="C1947">
        <v>4086</v>
      </c>
      <c r="D1947" t="s">
        <v>390</v>
      </c>
      <c r="E1947" t="s">
        <v>1743</v>
      </c>
      <c r="F1947">
        <v>8204</v>
      </c>
      <c r="G1947" t="s">
        <v>404</v>
      </c>
      <c r="H1947" t="s">
        <v>38</v>
      </c>
      <c r="I1947">
        <v>50638</v>
      </c>
      <c r="J1947">
        <v>49738</v>
      </c>
      <c r="K1947">
        <v>900</v>
      </c>
      <c r="L1947">
        <v>26100</v>
      </c>
      <c r="M1947">
        <v>25200</v>
      </c>
      <c r="N1947">
        <v>900</v>
      </c>
    </row>
    <row r="1948" spans="1:14" ht="14.4">
      <c r="A1948">
        <v>13367</v>
      </c>
      <c r="B1948">
        <v>13368</v>
      </c>
      <c r="C1948">
        <v>4086</v>
      </c>
      <c r="D1948" t="s">
        <v>390</v>
      </c>
      <c r="E1948" t="s">
        <v>822</v>
      </c>
      <c r="F1948">
        <v>8092</v>
      </c>
      <c r="G1948" t="s">
        <v>402</v>
      </c>
      <c r="H1948" t="s">
        <v>38</v>
      </c>
      <c r="I1948">
        <v>2898976</v>
      </c>
      <c r="J1948">
        <v>2145742</v>
      </c>
      <c r="K1948">
        <v>753234</v>
      </c>
      <c r="L1948">
        <v>983500</v>
      </c>
      <c r="M1948">
        <v>634400</v>
      </c>
      <c r="N1948">
        <v>309000</v>
      </c>
    </row>
    <row r="1949" spans="1:14" ht="14.4">
      <c r="A1949">
        <v>13367</v>
      </c>
      <c r="B1949">
        <v>13368</v>
      </c>
      <c r="C1949">
        <v>4086</v>
      </c>
      <c r="D1949" t="s">
        <v>390</v>
      </c>
      <c r="E1949" t="s">
        <v>823</v>
      </c>
      <c r="F1949">
        <v>7764</v>
      </c>
      <c r="G1949" t="s">
        <v>392</v>
      </c>
      <c r="H1949" t="s">
        <v>38</v>
      </c>
      <c r="I1949">
        <v>240288</v>
      </c>
      <c r="J1949">
        <v>228888</v>
      </c>
      <c r="K1949">
        <v>11400</v>
      </c>
      <c r="L1949">
        <v>130200</v>
      </c>
      <c r="M1949">
        <v>118800</v>
      </c>
      <c r="N1949">
        <v>11400</v>
      </c>
    </row>
    <row r="1950" spans="1:14" ht="14.4">
      <c r="A1950">
        <v>13367</v>
      </c>
      <c r="B1950">
        <v>13368</v>
      </c>
      <c r="C1950">
        <v>4086</v>
      </c>
      <c r="D1950" t="s">
        <v>390</v>
      </c>
      <c r="E1950" t="s">
        <v>1744</v>
      </c>
      <c r="F1950">
        <v>7764</v>
      </c>
      <c r="G1950" t="s">
        <v>392</v>
      </c>
      <c r="H1950" t="s">
        <v>38</v>
      </c>
      <c r="I1950">
        <v>7983</v>
      </c>
      <c r="J1950">
        <v>6783</v>
      </c>
      <c r="K1950">
        <v>1200</v>
      </c>
      <c r="L1950">
        <v>0</v>
      </c>
      <c r="M1950">
        <v>0</v>
      </c>
      <c r="N1950">
        <v>0</v>
      </c>
    </row>
    <row r="1951" spans="1:14" ht="14.4">
      <c r="A1951">
        <v>13367</v>
      </c>
      <c r="B1951">
        <v>13368</v>
      </c>
      <c r="C1951">
        <v>4086</v>
      </c>
      <c r="D1951" t="s">
        <v>390</v>
      </c>
      <c r="E1951" t="s">
        <v>1745</v>
      </c>
      <c r="F1951">
        <v>7480</v>
      </c>
      <c r="G1951" t="s">
        <v>429</v>
      </c>
      <c r="H1951" t="s">
        <v>38</v>
      </c>
      <c r="I1951">
        <v>130365</v>
      </c>
      <c r="J1951">
        <v>120840</v>
      </c>
      <c r="K1951">
        <v>9525</v>
      </c>
      <c r="L1951">
        <v>104200</v>
      </c>
      <c r="M1951">
        <v>94600</v>
      </c>
      <c r="N1951">
        <v>9600</v>
      </c>
    </row>
    <row r="1952" spans="1:14" ht="14.4">
      <c r="A1952">
        <v>13367</v>
      </c>
      <c r="B1952">
        <v>13368</v>
      </c>
      <c r="C1952">
        <v>4086</v>
      </c>
      <c r="D1952" t="s">
        <v>390</v>
      </c>
      <c r="E1952" t="s">
        <v>824</v>
      </c>
      <c r="F1952">
        <v>7093</v>
      </c>
      <c r="G1952" t="s">
        <v>37</v>
      </c>
      <c r="H1952" t="s">
        <v>38</v>
      </c>
      <c r="I1952">
        <v>59424</v>
      </c>
      <c r="J1952">
        <v>40724</v>
      </c>
      <c r="K1952">
        <v>18700</v>
      </c>
      <c r="L1952">
        <v>48900</v>
      </c>
      <c r="M1952">
        <v>33600</v>
      </c>
      <c r="N1952">
        <v>15300</v>
      </c>
    </row>
    <row r="1953" spans="1:14" ht="14.4">
      <c r="A1953">
        <v>13367</v>
      </c>
      <c r="B1953">
        <v>13368</v>
      </c>
      <c r="C1953">
        <v>4086</v>
      </c>
      <c r="D1953" t="s">
        <v>390</v>
      </c>
      <c r="E1953" t="s">
        <v>825</v>
      </c>
      <c r="F1953">
        <v>7052</v>
      </c>
      <c r="G1953" t="s">
        <v>428</v>
      </c>
      <c r="H1953" t="s">
        <v>38</v>
      </c>
      <c r="I1953">
        <v>321405</v>
      </c>
      <c r="J1953">
        <v>298485</v>
      </c>
      <c r="K1953">
        <v>22920</v>
      </c>
      <c r="L1953">
        <v>88000</v>
      </c>
      <c r="M1953">
        <v>84900</v>
      </c>
      <c r="N1953">
        <v>3100</v>
      </c>
    </row>
    <row r="1954" spans="1:14" ht="14.4">
      <c r="A1954">
        <v>13367</v>
      </c>
      <c r="B1954">
        <v>13368</v>
      </c>
      <c r="C1954">
        <v>4086</v>
      </c>
      <c r="D1954" t="s">
        <v>390</v>
      </c>
      <c r="E1954" t="s">
        <v>826</v>
      </c>
      <c r="F1954">
        <v>8260</v>
      </c>
      <c r="G1954" t="s">
        <v>404</v>
      </c>
      <c r="H1954" t="s">
        <v>38</v>
      </c>
      <c r="I1954">
        <v>1466719</v>
      </c>
      <c r="J1954">
        <v>1125649</v>
      </c>
      <c r="K1954">
        <v>341070</v>
      </c>
      <c r="L1954">
        <v>459200</v>
      </c>
      <c r="M1954">
        <v>313200</v>
      </c>
      <c r="N1954">
        <v>146000</v>
      </c>
    </row>
    <row r="1955" spans="1:14" ht="14.4">
      <c r="A1955">
        <v>13367</v>
      </c>
      <c r="B1955">
        <v>13368</v>
      </c>
      <c r="C1955">
        <v>4086</v>
      </c>
      <c r="D1955" t="s">
        <v>390</v>
      </c>
      <c r="E1955" t="s">
        <v>1746</v>
      </c>
      <c r="F1955">
        <v>8550</v>
      </c>
      <c r="G1955" t="s">
        <v>496</v>
      </c>
      <c r="H1955" t="s">
        <v>38</v>
      </c>
      <c r="I1955">
        <v>42305</v>
      </c>
      <c r="J1955">
        <v>42165</v>
      </c>
      <c r="K1955">
        <v>140</v>
      </c>
      <c r="L1955">
        <v>29200</v>
      </c>
      <c r="M1955">
        <v>29200</v>
      </c>
      <c r="N1955">
        <v>0</v>
      </c>
    </row>
    <row r="1956" spans="1:14" ht="14.4">
      <c r="A1956">
        <v>13367</v>
      </c>
      <c r="B1956">
        <v>13368</v>
      </c>
      <c r="C1956">
        <v>4086</v>
      </c>
      <c r="D1956" t="s">
        <v>390</v>
      </c>
      <c r="E1956" t="s">
        <v>1747</v>
      </c>
      <c r="F1956">
        <v>8092</v>
      </c>
      <c r="G1956" t="s">
        <v>402</v>
      </c>
      <c r="H1956" t="s">
        <v>38</v>
      </c>
      <c r="I1956">
        <v>114074</v>
      </c>
      <c r="J1956">
        <v>52224</v>
      </c>
      <c r="K1956">
        <v>61850</v>
      </c>
      <c r="L1956">
        <v>38600</v>
      </c>
      <c r="M1956">
        <v>32000</v>
      </c>
      <c r="N1956">
        <v>6600</v>
      </c>
    </row>
    <row r="1957" spans="1:14" ht="14.4">
      <c r="A1957">
        <v>13367</v>
      </c>
      <c r="B1957">
        <v>13368</v>
      </c>
      <c r="C1957">
        <v>4086</v>
      </c>
      <c r="D1957" t="s">
        <v>390</v>
      </c>
      <c r="E1957" t="s">
        <v>827</v>
      </c>
      <c r="F1957">
        <v>7090</v>
      </c>
      <c r="G1957" t="s">
        <v>435</v>
      </c>
      <c r="H1957" t="s">
        <v>38</v>
      </c>
      <c r="I1957">
        <v>578926</v>
      </c>
      <c r="J1957">
        <v>545580</v>
      </c>
      <c r="K1957">
        <v>33346</v>
      </c>
      <c r="L1957">
        <v>378900</v>
      </c>
      <c r="M1957">
        <v>352700</v>
      </c>
      <c r="N1957">
        <v>26200</v>
      </c>
    </row>
    <row r="1958" spans="1:14" ht="14.4">
      <c r="A1958">
        <v>13367</v>
      </c>
      <c r="B1958">
        <v>13368</v>
      </c>
      <c r="C1958">
        <v>4086</v>
      </c>
      <c r="D1958" t="s">
        <v>390</v>
      </c>
      <c r="E1958" t="s">
        <v>1748</v>
      </c>
      <c r="F1958">
        <v>7675</v>
      </c>
      <c r="G1958" t="s">
        <v>76</v>
      </c>
      <c r="H1958" t="s">
        <v>38</v>
      </c>
      <c r="I1958">
        <v>50441</v>
      </c>
      <c r="J1958">
        <v>41353</v>
      </c>
      <c r="K1958">
        <v>9088</v>
      </c>
      <c r="L1958">
        <v>19300</v>
      </c>
      <c r="M1958">
        <v>10200</v>
      </c>
      <c r="N1958">
        <v>9100</v>
      </c>
    </row>
    <row r="1959" spans="1:14" ht="14.4">
      <c r="A1959">
        <v>13367</v>
      </c>
      <c r="B1959">
        <v>13368</v>
      </c>
      <c r="C1959">
        <v>4086</v>
      </c>
      <c r="D1959" t="s">
        <v>390</v>
      </c>
      <c r="E1959" t="s">
        <v>1749</v>
      </c>
      <c r="F1959">
        <v>7885</v>
      </c>
      <c r="G1959" t="s">
        <v>441</v>
      </c>
      <c r="H1959" t="s">
        <v>38</v>
      </c>
      <c r="I1959">
        <v>230583</v>
      </c>
      <c r="J1959">
        <v>209748</v>
      </c>
      <c r="K1959">
        <v>20835</v>
      </c>
      <c r="L1959">
        <v>77300</v>
      </c>
      <c r="M1959">
        <v>68300</v>
      </c>
      <c r="N1959">
        <v>9000</v>
      </c>
    </row>
    <row r="1960" spans="1:14" ht="14.4">
      <c r="A1960">
        <v>13367</v>
      </c>
      <c r="B1960">
        <v>13368</v>
      </c>
      <c r="C1960">
        <v>4086</v>
      </c>
      <c r="D1960" t="s">
        <v>390</v>
      </c>
      <c r="E1960" t="s">
        <v>1750</v>
      </c>
      <c r="F1960">
        <v>8889</v>
      </c>
      <c r="G1960" t="s">
        <v>464</v>
      </c>
      <c r="H1960" t="s">
        <v>38</v>
      </c>
      <c r="I1960">
        <v>313436</v>
      </c>
      <c r="J1960">
        <v>295236</v>
      </c>
      <c r="K1960">
        <v>18200</v>
      </c>
      <c r="L1960">
        <v>0</v>
      </c>
      <c r="M1960">
        <v>0</v>
      </c>
      <c r="N1960">
        <v>0</v>
      </c>
    </row>
    <row r="1961" spans="1:14" ht="14.4">
      <c r="A1961">
        <v>13367</v>
      </c>
      <c r="B1961">
        <v>13368</v>
      </c>
      <c r="C1961">
        <v>4086</v>
      </c>
      <c r="D1961" t="s">
        <v>390</v>
      </c>
      <c r="E1961" t="s">
        <v>828</v>
      </c>
      <c r="F1961">
        <v>8759</v>
      </c>
      <c r="G1961" t="s">
        <v>402</v>
      </c>
      <c r="H1961" t="s">
        <v>38</v>
      </c>
      <c r="I1961">
        <v>10125</v>
      </c>
      <c r="J1961">
        <v>0</v>
      </c>
      <c r="K1961">
        <v>10125</v>
      </c>
      <c r="L1961">
        <v>4000</v>
      </c>
      <c r="M1961">
        <v>0</v>
      </c>
      <c r="N1961">
        <v>4000</v>
      </c>
    </row>
    <row r="1962" spans="1:14" ht="14.4">
      <c r="A1962">
        <v>13367</v>
      </c>
      <c r="B1962">
        <v>13368</v>
      </c>
      <c r="C1962">
        <v>4086</v>
      </c>
      <c r="D1962" t="s">
        <v>390</v>
      </c>
      <c r="E1962" t="s">
        <v>829</v>
      </c>
      <c r="F1962">
        <v>8260</v>
      </c>
      <c r="G1962" t="s">
        <v>404</v>
      </c>
      <c r="H1962" t="s">
        <v>38</v>
      </c>
      <c r="I1962">
        <v>2465081</v>
      </c>
      <c r="J1962">
        <v>1891569</v>
      </c>
      <c r="K1962">
        <v>573512</v>
      </c>
      <c r="L1962">
        <v>835000</v>
      </c>
      <c r="M1962">
        <v>609900</v>
      </c>
      <c r="N1962">
        <v>225100</v>
      </c>
    </row>
    <row r="1963" spans="1:14" ht="14.4">
      <c r="A1963">
        <v>13367</v>
      </c>
      <c r="B1963">
        <v>13368</v>
      </c>
      <c r="C1963">
        <v>4086</v>
      </c>
      <c r="D1963" t="s">
        <v>390</v>
      </c>
      <c r="E1963" t="s">
        <v>830</v>
      </c>
      <c r="F1963">
        <v>8260</v>
      </c>
      <c r="G1963" t="s">
        <v>404</v>
      </c>
      <c r="H1963" t="s">
        <v>38</v>
      </c>
      <c r="I1963">
        <v>134398</v>
      </c>
      <c r="J1963">
        <v>130948</v>
      </c>
      <c r="K1963">
        <v>3450</v>
      </c>
      <c r="L1963">
        <v>19000</v>
      </c>
      <c r="M1963">
        <v>17100</v>
      </c>
      <c r="N1963">
        <v>1900</v>
      </c>
    </row>
    <row r="1964" spans="1:14" ht="14.4">
      <c r="A1964">
        <v>13367</v>
      </c>
      <c r="B1964">
        <v>13368</v>
      </c>
      <c r="C1964">
        <v>4086</v>
      </c>
      <c r="D1964" t="s">
        <v>390</v>
      </c>
      <c r="E1964" t="s">
        <v>1751</v>
      </c>
      <c r="F1964">
        <v>8094</v>
      </c>
      <c r="G1964" t="s">
        <v>1452</v>
      </c>
      <c r="H1964" t="s">
        <v>38</v>
      </c>
      <c r="I1964">
        <v>96099</v>
      </c>
      <c r="J1964">
        <v>77874</v>
      </c>
      <c r="K1964">
        <v>18225</v>
      </c>
      <c r="L1964">
        <v>0</v>
      </c>
      <c r="M1964">
        <v>0</v>
      </c>
      <c r="N1964">
        <v>0</v>
      </c>
    </row>
    <row r="1965" spans="1:14" ht="14.4">
      <c r="A1965">
        <v>13367</v>
      </c>
      <c r="B1965">
        <v>13368</v>
      </c>
      <c r="C1965">
        <v>4086</v>
      </c>
      <c r="D1965" t="s">
        <v>390</v>
      </c>
      <c r="E1965" t="s">
        <v>831</v>
      </c>
      <c r="F1965">
        <v>8046</v>
      </c>
      <c r="G1965" t="s">
        <v>443</v>
      </c>
      <c r="H1965" t="s">
        <v>38</v>
      </c>
      <c r="I1965">
        <v>48557</v>
      </c>
      <c r="J1965">
        <v>41457</v>
      </c>
      <c r="K1965">
        <v>7100</v>
      </c>
      <c r="L1965">
        <v>37900</v>
      </c>
      <c r="M1965">
        <v>30800</v>
      </c>
      <c r="N1965">
        <v>7100</v>
      </c>
    </row>
    <row r="1966" spans="1:14" ht="14.4">
      <c r="A1966">
        <v>13367</v>
      </c>
      <c r="B1966">
        <v>13368</v>
      </c>
      <c r="C1966">
        <v>4086</v>
      </c>
      <c r="D1966" t="s">
        <v>390</v>
      </c>
      <c r="E1966" t="s">
        <v>1752</v>
      </c>
      <c r="F1966">
        <v>8094</v>
      </c>
      <c r="G1966" t="s">
        <v>1452</v>
      </c>
      <c r="H1966" t="s">
        <v>38</v>
      </c>
      <c r="I1966">
        <v>34132</v>
      </c>
      <c r="J1966">
        <v>34132</v>
      </c>
      <c r="K1966">
        <v>0</v>
      </c>
      <c r="L1966">
        <v>31300</v>
      </c>
      <c r="M1966">
        <v>31300</v>
      </c>
      <c r="N1966">
        <v>0</v>
      </c>
    </row>
    <row r="1967" spans="1:14" ht="14.4">
      <c r="A1967">
        <v>13367</v>
      </c>
      <c r="B1967">
        <v>13368</v>
      </c>
      <c r="C1967">
        <v>4086</v>
      </c>
      <c r="D1967" t="s">
        <v>390</v>
      </c>
      <c r="E1967" t="s">
        <v>1753</v>
      </c>
      <c r="F1967">
        <v>7036</v>
      </c>
      <c r="G1967" t="s">
        <v>435</v>
      </c>
      <c r="H1967" t="s">
        <v>38</v>
      </c>
      <c r="I1967">
        <v>20500</v>
      </c>
      <c r="J1967">
        <v>0</v>
      </c>
      <c r="K1967">
        <v>20500</v>
      </c>
      <c r="L1967">
        <v>10500</v>
      </c>
      <c r="M1967">
        <v>0</v>
      </c>
      <c r="N1967">
        <v>10500</v>
      </c>
    </row>
    <row r="1968" spans="1:14" ht="14.4">
      <c r="A1968">
        <v>13367</v>
      </c>
      <c r="B1968">
        <v>13368</v>
      </c>
      <c r="C1968">
        <v>4086</v>
      </c>
      <c r="D1968" t="s">
        <v>390</v>
      </c>
      <c r="E1968" t="s">
        <v>1754</v>
      </c>
      <c r="F1968">
        <v>7095</v>
      </c>
      <c r="G1968" t="s">
        <v>406</v>
      </c>
      <c r="H1968" t="s">
        <v>38</v>
      </c>
      <c r="I1968">
        <v>64615</v>
      </c>
      <c r="J1968">
        <v>54340</v>
      </c>
      <c r="K1968">
        <v>10275</v>
      </c>
      <c r="L1968">
        <v>0</v>
      </c>
      <c r="M1968">
        <v>0</v>
      </c>
      <c r="N1968">
        <v>0</v>
      </c>
    </row>
    <row r="1969" spans="1:14" ht="14.4">
      <c r="A1969">
        <v>13367</v>
      </c>
      <c r="B1969">
        <v>13368</v>
      </c>
      <c r="C1969">
        <v>4086</v>
      </c>
      <c r="D1969" t="s">
        <v>390</v>
      </c>
      <c r="E1969" t="s">
        <v>832</v>
      </c>
      <c r="F1969">
        <v>7075</v>
      </c>
      <c r="G1969" t="s">
        <v>76</v>
      </c>
      <c r="H1969" t="s">
        <v>38</v>
      </c>
      <c r="I1969">
        <v>68285</v>
      </c>
      <c r="J1969">
        <v>38725</v>
      </c>
      <c r="K1969">
        <v>29560</v>
      </c>
      <c r="L1969">
        <v>50700</v>
      </c>
      <c r="M1969">
        <v>21100</v>
      </c>
      <c r="N1969">
        <v>29600</v>
      </c>
    </row>
    <row r="1970" spans="1:14" ht="14.4">
      <c r="A1970">
        <v>13367</v>
      </c>
      <c r="B1970">
        <v>13368</v>
      </c>
      <c r="C1970">
        <v>4086</v>
      </c>
      <c r="D1970" t="s">
        <v>390</v>
      </c>
      <c r="E1970" t="s">
        <v>1755</v>
      </c>
      <c r="F1970">
        <v>8270</v>
      </c>
      <c r="G1970" t="s">
        <v>404</v>
      </c>
      <c r="H1970" t="s">
        <v>38</v>
      </c>
      <c r="I1970">
        <v>94752</v>
      </c>
      <c r="J1970">
        <v>70952</v>
      </c>
      <c r="K1970">
        <v>23800</v>
      </c>
      <c r="L1970">
        <v>1300</v>
      </c>
      <c r="M1970">
        <v>1300</v>
      </c>
      <c r="N1970">
        <v>0</v>
      </c>
    </row>
    <row r="1971" spans="1:14" ht="14.4">
      <c r="A1971">
        <v>13367</v>
      </c>
      <c r="B1971">
        <v>13368</v>
      </c>
      <c r="C1971">
        <v>4086</v>
      </c>
      <c r="D1971" t="s">
        <v>390</v>
      </c>
      <c r="E1971" t="s">
        <v>833</v>
      </c>
      <c r="F1971">
        <v>7095</v>
      </c>
      <c r="G1971" t="s">
        <v>406</v>
      </c>
      <c r="H1971" t="s">
        <v>38</v>
      </c>
      <c r="I1971">
        <v>2531674</v>
      </c>
      <c r="J1971">
        <v>1936199</v>
      </c>
      <c r="K1971">
        <v>595475</v>
      </c>
      <c r="L1971">
        <v>990100</v>
      </c>
      <c r="M1971">
        <v>634000</v>
      </c>
      <c r="N1971">
        <v>356100</v>
      </c>
    </row>
    <row r="1972" spans="1:14" ht="14.4">
      <c r="A1972">
        <v>13367</v>
      </c>
      <c r="B1972">
        <v>13368</v>
      </c>
      <c r="C1972">
        <v>4086</v>
      </c>
      <c r="D1972" t="s">
        <v>390</v>
      </c>
      <c r="E1972" t="s">
        <v>382</v>
      </c>
      <c r="F1972">
        <v>8096</v>
      </c>
      <c r="G1972" t="s">
        <v>1452</v>
      </c>
      <c r="H1972" t="s">
        <v>38</v>
      </c>
      <c r="I1972">
        <v>104259</v>
      </c>
      <c r="J1972">
        <v>97009</v>
      </c>
      <c r="K1972">
        <v>7250</v>
      </c>
      <c r="L1972">
        <v>0</v>
      </c>
      <c r="M1972">
        <v>0</v>
      </c>
      <c r="N1972">
        <v>0</v>
      </c>
    </row>
    <row r="1973" spans="1:14" ht="14.4">
      <c r="A1973">
        <v>13367</v>
      </c>
      <c r="B1973">
        <v>13368</v>
      </c>
      <c r="C1973">
        <v>4086</v>
      </c>
      <c r="D1973" t="s">
        <v>390</v>
      </c>
      <c r="E1973" t="s">
        <v>1756</v>
      </c>
      <c r="F1973">
        <v>7677</v>
      </c>
      <c r="G1973" t="s">
        <v>76</v>
      </c>
      <c r="H1973" t="s">
        <v>38</v>
      </c>
      <c r="I1973">
        <v>143917</v>
      </c>
      <c r="J1973">
        <v>128622</v>
      </c>
      <c r="K1973">
        <v>15295</v>
      </c>
      <c r="L1973">
        <v>0</v>
      </c>
      <c r="M1973">
        <v>0</v>
      </c>
      <c r="N1973">
        <v>0</v>
      </c>
    </row>
    <row r="1974" spans="1:14" ht="14.4">
      <c r="A1974">
        <v>13367</v>
      </c>
      <c r="B1974">
        <v>13368</v>
      </c>
      <c r="C1974">
        <v>4086</v>
      </c>
      <c r="D1974" t="s">
        <v>390</v>
      </c>
      <c r="E1974" t="s">
        <v>834</v>
      </c>
      <c r="F1974">
        <v>7424</v>
      </c>
      <c r="G1974" t="s">
        <v>429</v>
      </c>
      <c r="H1974" t="s">
        <v>38</v>
      </c>
      <c r="I1974">
        <v>1100</v>
      </c>
      <c r="J1974">
        <v>0</v>
      </c>
      <c r="K1974">
        <v>1100</v>
      </c>
      <c r="L1974">
        <v>1100</v>
      </c>
      <c r="M1974">
        <v>0</v>
      </c>
      <c r="N1974">
        <v>1100</v>
      </c>
    </row>
    <row r="1975" spans="1:14" ht="14.4">
      <c r="A1975">
        <v>13367</v>
      </c>
      <c r="B1975">
        <v>13368</v>
      </c>
      <c r="C1975">
        <v>4086</v>
      </c>
      <c r="D1975" t="s">
        <v>390</v>
      </c>
      <c r="E1975" t="s">
        <v>1757</v>
      </c>
      <c r="F1975">
        <v>8098</v>
      </c>
      <c r="G1975" t="s">
        <v>691</v>
      </c>
      <c r="H1975" t="s">
        <v>38</v>
      </c>
      <c r="I1975">
        <v>11633</v>
      </c>
      <c r="J1975">
        <v>11633</v>
      </c>
      <c r="K1975">
        <v>0</v>
      </c>
      <c r="L1975">
        <v>0</v>
      </c>
      <c r="M1975">
        <v>0</v>
      </c>
      <c r="N1975">
        <v>0</v>
      </c>
    </row>
    <row r="1976" spans="1:14" ht="14.4">
      <c r="A1976">
        <v>13367</v>
      </c>
      <c r="B1976">
        <v>13368</v>
      </c>
      <c r="C1976">
        <v>4086</v>
      </c>
      <c r="D1976" t="s">
        <v>390</v>
      </c>
      <c r="E1976" t="s">
        <v>1758</v>
      </c>
      <c r="F1976">
        <v>8562</v>
      </c>
      <c r="G1976" t="s">
        <v>443</v>
      </c>
      <c r="H1976" t="s">
        <v>38</v>
      </c>
      <c r="I1976">
        <v>35854</v>
      </c>
      <c r="J1976">
        <v>35854</v>
      </c>
      <c r="K1976">
        <v>0</v>
      </c>
      <c r="L1976">
        <v>23700</v>
      </c>
      <c r="M1976">
        <v>23700</v>
      </c>
      <c r="N1976">
        <v>0</v>
      </c>
    </row>
    <row r="1977" spans="1:14" ht="14.4">
      <c r="A1977">
        <v>13367</v>
      </c>
      <c r="B1977">
        <v>13368</v>
      </c>
      <c r="C1977">
        <v>4086</v>
      </c>
      <c r="D1977" t="s">
        <v>390</v>
      </c>
      <c r="E1977" t="s">
        <v>835</v>
      </c>
      <c r="F1977">
        <v>7481</v>
      </c>
      <c r="G1977" t="s">
        <v>76</v>
      </c>
      <c r="H1977" t="s">
        <v>38</v>
      </c>
      <c r="I1977">
        <v>430816</v>
      </c>
      <c r="J1977">
        <v>373641</v>
      </c>
      <c r="K1977">
        <v>57175</v>
      </c>
      <c r="L1977">
        <v>242600</v>
      </c>
      <c r="M1977">
        <v>197400</v>
      </c>
      <c r="N1977">
        <v>45200</v>
      </c>
    </row>
    <row r="1978" spans="1:14" ht="14.4">
      <c r="A1978">
        <v>13369</v>
      </c>
      <c r="B1978">
        <v>13370</v>
      </c>
      <c r="C1978">
        <v>4087</v>
      </c>
      <c r="D1978" t="s">
        <v>836</v>
      </c>
      <c r="E1978" t="s">
        <v>1759</v>
      </c>
      <c r="F1978">
        <v>6401</v>
      </c>
      <c r="G1978" t="s">
        <v>838</v>
      </c>
      <c r="H1978" t="s">
        <v>144</v>
      </c>
      <c r="I1978">
        <v>35968</v>
      </c>
      <c r="J1978">
        <v>35968</v>
      </c>
      <c r="K1978">
        <v>0</v>
      </c>
      <c r="L1978">
        <v>13000</v>
      </c>
      <c r="M1978">
        <v>13000</v>
      </c>
      <c r="N1978">
        <v>0</v>
      </c>
    </row>
    <row r="1979" spans="1:14" ht="14.4">
      <c r="A1979">
        <v>13369</v>
      </c>
      <c r="B1979">
        <v>13370</v>
      </c>
      <c r="C1979">
        <v>4087</v>
      </c>
      <c r="D1979" t="s">
        <v>836</v>
      </c>
      <c r="E1979" t="s">
        <v>1760</v>
      </c>
      <c r="F1979">
        <v>6524</v>
      </c>
      <c r="G1979" t="s">
        <v>838</v>
      </c>
      <c r="H1979" t="s">
        <v>144</v>
      </c>
      <c r="I1979">
        <v>44085</v>
      </c>
      <c r="J1979">
        <v>40315</v>
      </c>
      <c r="K1979">
        <v>3770</v>
      </c>
      <c r="L1979">
        <v>42400</v>
      </c>
      <c r="M1979">
        <v>38600</v>
      </c>
      <c r="N1979">
        <v>3800</v>
      </c>
    </row>
    <row r="1980" spans="1:14" ht="14.4">
      <c r="A1980">
        <v>13369</v>
      </c>
      <c r="B1980">
        <v>13370</v>
      </c>
      <c r="C1980">
        <v>4087</v>
      </c>
      <c r="D1980" t="s">
        <v>836</v>
      </c>
      <c r="E1980" t="s">
        <v>837</v>
      </c>
      <c r="F1980">
        <v>6405</v>
      </c>
      <c r="G1980" t="s">
        <v>838</v>
      </c>
      <c r="H1980" t="s">
        <v>144</v>
      </c>
      <c r="I1980">
        <v>866439</v>
      </c>
      <c r="J1980">
        <v>700649</v>
      </c>
      <c r="K1980">
        <v>165790</v>
      </c>
      <c r="L1980">
        <v>323900</v>
      </c>
      <c r="M1980">
        <v>222100</v>
      </c>
      <c r="N1980">
        <v>101800</v>
      </c>
    </row>
    <row r="1981" spans="1:14" ht="14.4">
      <c r="A1981">
        <v>13369</v>
      </c>
      <c r="B1981">
        <v>13370</v>
      </c>
      <c r="C1981">
        <v>4087</v>
      </c>
      <c r="D1981" t="s">
        <v>836</v>
      </c>
      <c r="E1981" t="s">
        <v>839</v>
      </c>
      <c r="F1981">
        <v>6604</v>
      </c>
      <c r="G1981" t="s">
        <v>143</v>
      </c>
      <c r="H1981" t="s">
        <v>144</v>
      </c>
      <c r="I1981">
        <v>686000</v>
      </c>
      <c r="J1981">
        <v>417030</v>
      </c>
      <c r="K1981">
        <v>268970</v>
      </c>
      <c r="L1981">
        <v>211400</v>
      </c>
      <c r="M1981">
        <v>93300</v>
      </c>
      <c r="N1981">
        <v>118100</v>
      </c>
    </row>
    <row r="1982" spans="1:14" ht="14.4">
      <c r="A1982">
        <v>13369</v>
      </c>
      <c r="B1982">
        <v>13370</v>
      </c>
      <c r="C1982">
        <v>4087</v>
      </c>
      <c r="D1982" t="s">
        <v>836</v>
      </c>
      <c r="E1982" t="s">
        <v>839</v>
      </c>
      <c r="F1982">
        <v>6605</v>
      </c>
      <c r="G1982" t="s">
        <v>143</v>
      </c>
      <c r="H1982" t="s">
        <v>144</v>
      </c>
      <c r="I1982">
        <v>655607</v>
      </c>
      <c r="J1982">
        <v>522307</v>
      </c>
      <c r="K1982">
        <v>133300</v>
      </c>
      <c r="L1982">
        <v>211100</v>
      </c>
      <c r="M1982">
        <v>147000</v>
      </c>
      <c r="N1982">
        <v>64100</v>
      </c>
    </row>
    <row r="1983" spans="1:14" ht="14.4">
      <c r="A1983">
        <v>13369</v>
      </c>
      <c r="B1983">
        <v>13370</v>
      </c>
      <c r="C1983">
        <v>4087</v>
      </c>
      <c r="D1983" t="s">
        <v>836</v>
      </c>
      <c r="E1983" t="s">
        <v>839</v>
      </c>
      <c r="F1983">
        <v>6606</v>
      </c>
      <c r="G1983" t="s">
        <v>143</v>
      </c>
      <c r="H1983" t="s">
        <v>144</v>
      </c>
      <c r="I1983">
        <v>245254</v>
      </c>
      <c r="J1983">
        <v>198889</v>
      </c>
      <c r="K1983">
        <v>46365</v>
      </c>
      <c r="L1983">
        <v>41500</v>
      </c>
      <c r="M1983">
        <v>38700</v>
      </c>
      <c r="N1983">
        <v>2800</v>
      </c>
    </row>
    <row r="1984" spans="1:14" ht="14.4">
      <c r="A1984">
        <v>13369</v>
      </c>
      <c r="B1984">
        <v>13370</v>
      </c>
      <c r="C1984">
        <v>4087</v>
      </c>
      <c r="D1984" t="s">
        <v>836</v>
      </c>
      <c r="E1984" t="s">
        <v>839</v>
      </c>
      <c r="F1984">
        <v>6607</v>
      </c>
      <c r="G1984" t="s">
        <v>143</v>
      </c>
      <c r="H1984" t="s">
        <v>144</v>
      </c>
      <c r="I1984">
        <v>162271</v>
      </c>
      <c r="J1984">
        <v>138156</v>
      </c>
      <c r="K1984">
        <v>24115</v>
      </c>
      <c r="L1984">
        <v>56000</v>
      </c>
      <c r="M1984">
        <v>42400</v>
      </c>
      <c r="N1984">
        <v>13600</v>
      </c>
    </row>
    <row r="1985" spans="1:14" ht="14.4">
      <c r="A1985">
        <v>13369</v>
      </c>
      <c r="B1985">
        <v>13370</v>
      </c>
      <c r="C1985">
        <v>4087</v>
      </c>
      <c r="D1985" t="s">
        <v>836</v>
      </c>
      <c r="E1985" t="s">
        <v>839</v>
      </c>
      <c r="F1985">
        <v>6610</v>
      </c>
      <c r="G1985" t="s">
        <v>143</v>
      </c>
      <c r="H1985" t="s">
        <v>144</v>
      </c>
      <c r="I1985">
        <v>106390</v>
      </c>
      <c r="J1985">
        <v>105290</v>
      </c>
      <c r="K1985">
        <v>1100</v>
      </c>
      <c r="L1985">
        <v>14000</v>
      </c>
      <c r="M1985">
        <v>12900</v>
      </c>
      <c r="N1985">
        <v>1100</v>
      </c>
    </row>
    <row r="1986" spans="1:14" ht="14.4">
      <c r="A1986">
        <v>13369</v>
      </c>
      <c r="B1986">
        <v>13370</v>
      </c>
      <c r="C1986">
        <v>4087</v>
      </c>
      <c r="D1986" t="s">
        <v>836</v>
      </c>
      <c r="E1986" t="s">
        <v>919</v>
      </c>
      <c r="F1986">
        <v>6804</v>
      </c>
      <c r="G1986" t="s">
        <v>143</v>
      </c>
      <c r="H1986" t="s">
        <v>144</v>
      </c>
      <c r="I1986">
        <v>23639</v>
      </c>
      <c r="J1986">
        <v>23639</v>
      </c>
      <c r="K1986">
        <v>0</v>
      </c>
      <c r="L1986">
        <v>0</v>
      </c>
      <c r="M1986">
        <v>0</v>
      </c>
      <c r="N1986">
        <v>0</v>
      </c>
    </row>
    <row r="1987" spans="1:14" ht="14.4">
      <c r="A1987">
        <v>13369</v>
      </c>
      <c r="B1987">
        <v>13370</v>
      </c>
      <c r="C1987">
        <v>4087</v>
      </c>
      <c r="D1987" t="s">
        <v>836</v>
      </c>
      <c r="E1987" t="s">
        <v>478</v>
      </c>
      <c r="F1987">
        <v>6413</v>
      </c>
      <c r="G1987" t="s">
        <v>406</v>
      </c>
      <c r="H1987" t="s">
        <v>144</v>
      </c>
      <c r="I1987">
        <v>806096</v>
      </c>
      <c r="J1987">
        <v>575716</v>
      </c>
      <c r="K1987">
        <v>230380</v>
      </c>
      <c r="L1987">
        <v>413900</v>
      </c>
      <c r="M1987">
        <v>262800</v>
      </c>
      <c r="N1987">
        <v>151100</v>
      </c>
    </row>
    <row r="1988" spans="1:14" ht="14.4">
      <c r="A1988">
        <v>13369</v>
      </c>
      <c r="B1988">
        <v>13370</v>
      </c>
      <c r="C1988">
        <v>4087</v>
      </c>
      <c r="D1988" t="s">
        <v>836</v>
      </c>
      <c r="E1988" t="s">
        <v>840</v>
      </c>
      <c r="F1988">
        <v>6807</v>
      </c>
      <c r="G1988" t="s">
        <v>143</v>
      </c>
      <c r="H1988" t="s">
        <v>144</v>
      </c>
      <c r="I1988">
        <v>128492</v>
      </c>
      <c r="J1988">
        <v>99347</v>
      </c>
      <c r="K1988">
        <v>29145</v>
      </c>
      <c r="L1988">
        <v>52500</v>
      </c>
      <c r="M1988">
        <v>37000</v>
      </c>
      <c r="N1988">
        <v>15500</v>
      </c>
    </row>
    <row r="1989" spans="1:14" ht="14.4">
      <c r="A1989">
        <v>13369</v>
      </c>
      <c r="B1989">
        <v>13370</v>
      </c>
      <c r="C1989">
        <v>4087</v>
      </c>
      <c r="D1989" t="s">
        <v>836</v>
      </c>
      <c r="E1989" t="s">
        <v>842</v>
      </c>
      <c r="F1989">
        <v>6810</v>
      </c>
      <c r="G1989" t="s">
        <v>143</v>
      </c>
      <c r="H1989" t="s">
        <v>144</v>
      </c>
      <c r="I1989">
        <v>171178</v>
      </c>
      <c r="J1989">
        <v>140828</v>
      </c>
      <c r="K1989">
        <v>30350</v>
      </c>
      <c r="L1989">
        <v>65500</v>
      </c>
      <c r="M1989">
        <v>45000</v>
      </c>
      <c r="N1989">
        <v>20500</v>
      </c>
    </row>
    <row r="1990" spans="1:14" ht="14.4">
      <c r="A1990">
        <v>13369</v>
      </c>
      <c r="B1990">
        <v>13370</v>
      </c>
      <c r="C1990">
        <v>4087</v>
      </c>
      <c r="D1990" t="s">
        <v>836</v>
      </c>
      <c r="E1990" t="s">
        <v>842</v>
      </c>
      <c r="F1990">
        <v>6811</v>
      </c>
      <c r="G1990" t="s">
        <v>143</v>
      </c>
      <c r="H1990" t="s">
        <v>144</v>
      </c>
      <c r="I1990">
        <v>226234</v>
      </c>
      <c r="J1990">
        <v>176834</v>
      </c>
      <c r="K1990">
        <v>49400</v>
      </c>
      <c r="L1990">
        <v>14000</v>
      </c>
      <c r="M1990">
        <v>14000</v>
      </c>
      <c r="N1990">
        <v>0</v>
      </c>
    </row>
    <row r="1991" spans="1:14" ht="14.4">
      <c r="A1991">
        <v>13369</v>
      </c>
      <c r="B1991">
        <v>13370</v>
      </c>
      <c r="C1991">
        <v>4087</v>
      </c>
      <c r="D1991" t="s">
        <v>836</v>
      </c>
      <c r="E1991" t="s">
        <v>843</v>
      </c>
      <c r="F1991">
        <v>6820</v>
      </c>
      <c r="G1991" t="s">
        <v>143</v>
      </c>
      <c r="H1991" t="s">
        <v>144</v>
      </c>
      <c r="I1991">
        <v>4118832</v>
      </c>
      <c r="J1991">
        <v>3475912</v>
      </c>
      <c r="K1991">
        <v>642920</v>
      </c>
      <c r="L1991">
        <v>1759000</v>
      </c>
      <c r="M1991">
        <v>1421500</v>
      </c>
      <c r="N1991">
        <v>337500</v>
      </c>
    </row>
    <row r="1992" spans="1:14" ht="14.4">
      <c r="A1992">
        <v>13369</v>
      </c>
      <c r="B1992">
        <v>13370</v>
      </c>
      <c r="C1992">
        <v>4087</v>
      </c>
      <c r="D1992" t="s">
        <v>836</v>
      </c>
      <c r="E1992" t="s">
        <v>844</v>
      </c>
      <c r="F1992">
        <v>6418</v>
      </c>
      <c r="G1992" t="s">
        <v>838</v>
      </c>
      <c r="H1992" t="s">
        <v>144</v>
      </c>
      <c r="I1992">
        <v>26080</v>
      </c>
      <c r="J1992">
        <v>26080</v>
      </c>
      <c r="K1992">
        <v>0</v>
      </c>
      <c r="L1992">
        <v>17600</v>
      </c>
      <c r="M1992">
        <v>17600</v>
      </c>
      <c r="N1992">
        <v>0</v>
      </c>
    </row>
    <row r="1993" spans="1:14" ht="14.4">
      <c r="A1993">
        <v>13369</v>
      </c>
      <c r="B1993">
        <v>13370</v>
      </c>
      <c r="C1993">
        <v>4087</v>
      </c>
      <c r="D1993" t="s">
        <v>836</v>
      </c>
      <c r="E1993" t="s">
        <v>845</v>
      </c>
      <c r="F1993">
        <v>6511</v>
      </c>
      <c r="G1993" t="s">
        <v>838</v>
      </c>
      <c r="H1993" t="s">
        <v>144</v>
      </c>
      <c r="I1993">
        <v>1640</v>
      </c>
      <c r="J1993">
        <v>0</v>
      </c>
      <c r="K1993">
        <v>1640</v>
      </c>
      <c r="L1993">
        <v>1700</v>
      </c>
      <c r="M1993">
        <v>0</v>
      </c>
      <c r="N1993">
        <v>1700</v>
      </c>
    </row>
    <row r="1994" spans="1:14" ht="14.4">
      <c r="A1994">
        <v>13369</v>
      </c>
      <c r="B1994">
        <v>13370</v>
      </c>
      <c r="C1994">
        <v>4087</v>
      </c>
      <c r="D1994" t="s">
        <v>836</v>
      </c>
      <c r="E1994" t="s">
        <v>845</v>
      </c>
      <c r="F1994">
        <v>6512</v>
      </c>
      <c r="G1994" t="s">
        <v>838</v>
      </c>
      <c r="H1994" t="s">
        <v>144</v>
      </c>
      <c r="I1994">
        <v>2613884</v>
      </c>
      <c r="J1994">
        <v>2061059</v>
      </c>
      <c r="K1994">
        <v>552825</v>
      </c>
      <c r="L1994">
        <v>1491500</v>
      </c>
      <c r="M1994">
        <v>1208900</v>
      </c>
      <c r="N1994">
        <v>282600</v>
      </c>
    </row>
    <row r="1995" spans="1:14" ht="14.4">
      <c r="A1995">
        <v>13369</v>
      </c>
      <c r="B1995">
        <v>13370</v>
      </c>
      <c r="C1995">
        <v>4087</v>
      </c>
      <c r="D1995" t="s">
        <v>836</v>
      </c>
      <c r="E1995" t="s">
        <v>1761</v>
      </c>
      <c r="F1995">
        <v>6612</v>
      </c>
      <c r="G1995" t="s">
        <v>143</v>
      </c>
      <c r="H1995" t="s">
        <v>144</v>
      </c>
      <c r="I1995">
        <v>219782</v>
      </c>
      <c r="J1995">
        <v>206615</v>
      </c>
      <c r="K1995">
        <v>13167</v>
      </c>
      <c r="L1995">
        <v>219900</v>
      </c>
      <c r="M1995">
        <v>206700</v>
      </c>
      <c r="N1995">
        <v>13200</v>
      </c>
    </row>
    <row r="1996" spans="1:14" ht="14.4">
      <c r="A1996">
        <v>13369</v>
      </c>
      <c r="B1996">
        <v>13370</v>
      </c>
      <c r="C1996">
        <v>4087</v>
      </c>
      <c r="D1996" t="s">
        <v>836</v>
      </c>
      <c r="E1996" t="s">
        <v>1762</v>
      </c>
      <c r="F1996">
        <v>6824</v>
      </c>
      <c r="G1996" t="s">
        <v>143</v>
      </c>
      <c r="H1996" t="s">
        <v>144</v>
      </c>
      <c r="I1996">
        <v>82819</v>
      </c>
      <c r="J1996">
        <v>69759</v>
      </c>
      <c r="K1996">
        <v>13060</v>
      </c>
      <c r="L1996">
        <v>0</v>
      </c>
      <c r="M1996">
        <v>0</v>
      </c>
      <c r="N1996">
        <v>0</v>
      </c>
    </row>
    <row r="1997" spans="1:14" ht="14.4">
      <c r="A1997">
        <v>13369</v>
      </c>
      <c r="B1997">
        <v>13370</v>
      </c>
      <c r="C1997">
        <v>4087</v>
      </c>
      <c r="D1997" t="s">
        <v>836</v>
      </c>
      <c r="E1997" t="s">
        <v>143</v>
      </c>
      <c r="F1997">
        <v>6824</v>
      </c>
      <c r="G1997" t="s">
        <v>143</v>
      </c>
      <c r="H1997" t="s">
        <v>144</v>
      </c>
      <c r="I1997">
        <v>21173508</v>
      </c>
      <c r="J1997">
        <v>15932806</v>
      </c>
      <c r="K1997">
        <v>5240702</v>
      </c>
      <c r="L1997">
        <v>12043500</v>
      </c>
      <c r="M1997">
        <v>8678400</v>
      </c>
      <c r="N1997">
        <v>3365100</v>
      </c>
    </row>
    <row r="1998" spans="1:14" ht="14.4">
      <c r="A1998">
        <v>13369</v>
      </c>
      <c r="B1998">
        <v>13370</v>
      </c>
      <c r="C1998">
        <v>4087</v>
      </c>
      <c r="D1998" t="s">
        <v>836</v>
      </c>
      <c r="E1998" t="s">
        <v>143</v>
      </c>
      <c r="F1998">
        <v>6825</v>
      </c>
      <c r="G1998" t="s">
        <v>143</v>
      </c>
      <c r="H1998" t="s">
        <v>144</v>
      </c>
      <c r="I1998">
        <v>151695</v>
      </c>
      <c r="J1998">
        <v>120580</v>
      </c>
      <c r="K1998">
        <v>31115</v>
      </c>
      <c r="L1998">
        <v>8400</v>
      </c>
      <c r="M1998">
        <v>6500</v>
      </c>
      <c r="N1998">
        <v>1900</v>
      </c>
    </row>
    <row r="1999" spans="1:14" ht="14.4">
      <c r="A1999">
        <v>13369</v>
      </c>
      <c r="B1999">
        <v>13370</v>
      </c>
      <c r="C1999">
        <v>4087</v>
      </c>
      <c r="D1999" t="s">
        <v>836</v>
      </c>
      <c r="E1999" t="s">
        <v>526</v>
      </c>
      <c r="F1999">
        <v>6830</v>
      </c>
      <c r="G1999" t="s">
        <v>143</v>
      </c>
      <c r="H1999" t="s">
        <v>144</v>
      </c>
      <c r="I1999">
        <v>303859</v>
      </c>
      <c r="J1999">
        <v>277204</v>
      </c>
      <c r="K1999">
        <v>26655</v>
      </c>
      <c r="L1999">
        <v>163900</v>
      </c>
      <c r="M1999">
        <v>156200</v>
      </c>
      <c r="N1999">
        <v>7700</v>
      </c>
    </row>
    <row r="2000" spans="1:14" ht="14.4">
      <c r="A2000">
        <v>13369</v>
      </c>
      <c r="B2000">
        <v>13370</v>
      </c>
      <c r="C2000">
        <v>4087</v>
      </c>
      <c r="D2000" t="s">
        <v>836</v>
      </c>
      <c r="E2000" t="s">
        <v>526</v>
      </c>
      <c r="F2000">
        <v>6831</v>
      </c>
      <c r="G2000" t="s">
        <v>143</v>
      </c>
      <c r="H2000" t="s">
        <v>144</v>
      </c>
      <c r="I2000">
        <v>361651</v>
      </c>
      <c r="J2000">
        <v>343661</v>
      </c>
      <c r="K2000">
        <v>17990</v>
      </c>
      <c r="L2000">
        <v>900</v>
      </c>
      <c r="M2000">
        <v>0</v>
      </c>
      <c r="N2000">
        <v>900</v>
      </c>
    </row>
    <row r="2001" spans="1:14" ht="14.4">
      <c r="A2001">
        <v>13369</v>
      </c>
      <c r="B2001">
        <v>13370</v>
      </c>
      <c r="C2001">
        <v>4087</v>
      </c>
      <c r="D2001" t="s">
        <v>836</v>
      </c>
      <c r="E2001" t="s">
        <v>1763</v>
      </c>
      <c r="F2001">
        <v>6351</v>
      </c>
      <c r="G2001" t="s">
        <v>847</v>
      </c>
      <c r="H2001" t="s">
        <v>144</v>
      </c>
      <c r="I2001">
        <v>98319</v>
      </c>
      <c r="J2001">
        <v>84819</v>
      </c>
      <c r="K2001">
        <v>13500</v>
      </c>
      <c r="L2001">
        <v>53100</v>
      </c>
      <c r="M2001">
        <v>39600</v>
      </c>
      <c r="N2001">
        <v>13500</v>
      </c>
    </row>
    <row r="2002" spans="1:14" ht="14.4">
      <c r="A2002">
        <v>13369</v>
      </c>
      <c r="B2002">
        <v>13370</v>
      </c>
      <c r="C2002">
        <v>4087</v>
      </c>
      <c r="D2002" t="s">
        <v>836</v>
      </c>
      <c r="E2002" t="s">
        <v>846</v>
      </c>
      <c r="F2002">
        <v>6340</v>
      </c>
      <c r="G2002" t="s">
        <v>847</v>
      </c>
      <c r="H2002" t="s">
        <v>144</v>
      </c>
      <c r="I2002">
        <v>469765</v>
      </c>
      <c r="J2002">
        <v>340465</v>
      </c>
      <c r="K2002">
        <v>129300</v>
      </c>
      <c r="L2002">
        <v>250600</v>
      </c>
      <c r="M2002">
        <v>168700</v>
      </c>
      <c r="N2002">
        <v>81900</v>
      </c>
    </row>
    <row r="2003" spans="1:14" ht="14.4">
      <c r="A2003">
        <v>13369</v>
      </c>
      <c r="B2003">
        <v>13370</v>
      </c>
      <c r="C2003">
        <v>4087</v>
      </c>
      <c r="D2003" t="s">
        <v>836</v>
      </c>
      <c r="E2003" t="s">
        <v>846</v>
      </c>
      <c r="F2003">
        <v>6430</v>
      </c>
      <c r="G2003" t="s">
        <v>847</v>
      </c>
      <c r="H2003" t="s">
        <v>144</v>
      </c>
      <c r="I2003">
        <v>32714</v>
      </c>
      <c r="J2003">
        <v>32714</v>
      </c>
      <c r="K2003">
        <v>0</v>
      </c>
      <c r="L2003">
        <v>0</v>
      </c>
      <c r="M2003">
        <v>0</v>
      </c>
      <c r="N2003">
        <v>0</v>
      </c>
    </row>
    <row r="2004" spans="1:14" ht="14.4">
      <c r="A2004">
        <v>13369</v>
      </c>
      <c r="B2004">
        <v>13370</v>
      </c>
      <c r="C2004">
        <v>4087</v>
      </c>
      <c r="D2004" t="s">
        <v>836</v>
      </c>
      <c r="E2004" t="s">
        <v>1764</v>
      </c>
      <c r="F2004">
        <v>6437</v>
      </c>
      <c r="G2004" t="s">
        <v>838</v>
      </c>
      <c r="H2004" t="s">
        <v>144</v>
      </c>
      <c r="I2004">
        <v>419381</v>
      </c>
      <c r="J2004">
        <v>320316</v>
      </c>
      <c r="K2004">
        <v>99065</v>
      </c>
      <c r="L2004">
        <v>182300</v>
      </c>
      <c r="M2004">
        <v>131600</v>
      </c>
      <c r="N2004">
        <v>50700</v>
      </c>
    </row>
    <row r="2005" spans="1:14" ht="14.4">
      <c r="A2005">
        <v>13369</v>
      </c>
      <c r="B2005">
        <v>13370</v>
      </c>
      <c r="C2005">
        <v>4087</v>
      </c>
      <c r="D2005" t="s">
        <v>836</v>
      </c>
      <c r="E2005" t="s">
        <v>1765</v>
      </c>
      <c r="F2005">
        <v>6514</v>
      </c>
      <c r="G2005" t="s">
        <v>838</v>
      </c>
      <c r="H2005" t="s">
        <v>144</v>
      </c>
      <c r="I2005">
        <v>391074</v>
      </c>
      <c r="J2005">
        <v>324724</v>
      </c>
      <c r="K2005">
        <v>66350</v>
      </c>
      <c r="L2005">
        <v>256800</v>
      </c>
      <c r="M2005">
        <v>216800</v>
      </c>
      <c r="N2005">
        <v>40000</v>
      </c>
    </row>
    <row r="2006" spans="1:14" ht="14.4">
      <c r="A2006">
        <v>13369</v>
      </c>
      <c r="B2006">
        <v>13370</v>
      </c>
      <c r="C2006">
        <v>4087</v>
      </c>
      <c r="D2006" t="s">
        <v>836</v>
      </c>
      <c r="E2006" t="s">
        <v>1765</v>
      </c>
      <c r="F2006">
        <v>6517</v>
      </c>
      <c r="G2006" t="s">
        <v>838</v>
      </c>
      <c r="H2006" t="s">
        <v>144</v>
      </c>
      <c r="I2006">
        <v>18000</v>
      </c>
      <c r="J2006">
        <v>18000</v>
      </c>
      <c r="K2006">
        <v>0</v>
      </c>
      <c r="L2006">
        <v>13700</v>
      </c>
      <c r="M2006">
        <v>13700</v>
      </c>
      <c r="N2006">
        <v>0</v>
      </c>
    </row>
    <row r="2007" spans="1:14" ht="14.4">
      <c r="A2007">
        <v>13369</v>
      </c>
      <c r="B2007">
        <v>13370</v>
      </c>
      <c r="C2007">
        <v>4087</v>
      </c>
      <c r="D2007" t="s">
        <v>836</v>
      </c>
      <c r="E2007" t="s">
        <v>1766</v>
      </c>
      <c r="F2007">
        <v>6339</v>
      </c>
      <c r="G2007" t="s">
        <v>847</v>
      </c>
      <c r="H2007" t="s">
        <v>144</v>
      </c>
      <c r="I2007">
        <v>70092</v>
      </c>
      <c r="J2007">
        <v>70092</v>
      </c>
      <c r="K2007">
        <v>0</v>
      </c>
      <c r="L2007">
        <v>70100</v>
      </c>
      <c r="M2007">
        <v>70100</v>
      </c>
      <c r="N2007">
        <v>0</v>
      </c>
    </row>
    <row r="2008" spans="1:14" ht="14.4">
      <c r="A2008">
        <v>13369</v>
      </c>
      <c r="B2008">
        <v>13370</v>
      </c>
      <c r="C2008">
        <v>4087</v>
      </c>
      <c r="D2008" t="s">
        <v>836</v>
      </c>
      <c r="E2008" t="s">
        <v>848</v>
      </c>
      <c r="F2008">
        <v>6443</v>
      </c>
      <c r="G2008" t="s">
        <v>838</v>
      </c>
      <c r="H2008" t="s">
        <v>144</v>
      </c>
      <c r="I2008">
        <v>79174</v>
      </c>
      <c r="J2008">
        <v>78674</v>
      </c>
      <c r="K2008">
        <v>500</v>
      </c>
      <c r="L2008">
        <v>500</v>
      </c>
      <c r="M2008">
        <v>0</v>
      </c>
      <c r="N2008">
        <v>500</v>
      </c>
    </row>
    <row r="2009" spans="1:14" ht="14.4">
      <c r="A2009">
        <v>13369</v>
      </c>
      <c r="B2009">
        <v>13370</v>
      </c>
      <c r="C2009">
        <v>4087</v>
      </c>
      <c r="D2009" t="s">
        <v>836</v>
      </c>
      <c r="E2009" t="s">
        <v>1767</v>
      </c>
      <c r="F2009">
        <v>6450</v>
      </c>
      <c r="G2009" t="s">
        <v>838</v>
      </c>
      <c r="H2009" t="s">
        <v>144</v>
      </c>
      <c r="I2009">
        <v>27183</v>
      </c>
      <c r="J2009">
        <v>0</v>
      </c>
      <c r="K2009">
        <v>27183</v>
      </c>
      <c r="L2009">
        <v>0</v>
      </c>
      <c r="M2009">
        <v>0</v>
      </c>
      <c r="N2009">
        <v>0</v>
      </c>
    </row>
    <row r="2010" spans="1:14" ht="14.4">
      <c r="A2010">
        <v>13369</v>
      </c>
      <c r="B2010">
        <v>13370</v>
      </c>
      <c r="C2010">
        <v>4087</v>
      </c>
      <c r="D2010" t="s">
        <v>836</v>
      </c>
      <c r="E2010" t="s">
        <v>226</v>
      </c>
      <c r="F2010">
        <v>6457</v>
      </c>
      <c r="G2010" t="s">
        <v>406</v>
      </c>
      <c r="H2010" t="s">
        <v>144</v>
      </c>
      <c r="I2010">
        <v>14773</v>
      </c>
      <c r="J2010">
        <v>14773</v>
      </c>
      <c r="K2010">
        <v>0</v>
      </c>
      <c r="L2010">
        <v>9900</v>
      </c>
      <c r="M2010">
        <v>9900</v>
      </c>
      <c r="N2010">
        <v>0</v>
      </c>
    </row>
    <row r="2011" spans="1:14" ht="14.4">
      <c r="A2011">
        <v>13369</v>
      </c>
      <c r="B2011">
        <v>13370</v>
      </c>
      <c r="C2011">
        <v>4087</v>
      </c>
      <c r="D2011" t="s">
        <v>836</v>
      </c>
      <c r="E2011" t="s">
        <v>1768</v>
      </c>
      <c r="F2011">
        <v>6460</v>
      </c>
      <c r="G2011" t="s">
        <v>838</v>
      </c>
      <c r="H2011" t="s">
        <v>144</v>
      </c>
      <c r="I2011">
        <v>42748</v>
      </c>
      <c r="J2011">
        <v>38578</v>
      </c>
      <c r="K2011">
        <v>4170</v>
      </c>
      <c r="L2011">
        <v>37400</v>
      </c>
      <c r="M2011">
        <v>33600</v>
      </c>
      <c r="N2011">
        <v>3800</v>
      </c>
    </row>
    <row r="2012" spans="1:14" ht="14.4">
      <c r="A2012">
        <v>13369</v>
      </c>
      <c r="B2012">
        <v>13370</v>
      </c>
      <c r="C2012">
        <v>4087</v>
      </c>
      <c r="D2012" t="s">
        <v>836</v>
      </c>
      <c r="E2012" t="s">
        <v>849</v>
      </c>
      <c r="F2012">
        <v>6460</v>
      </c>
      <c r="G2012" t="s">
        <v>143</v>
      </c>
      <c r="H2012" t="s">
        <v>144</v>
      </c>
      <c r="I2012">
        <v>105021</v>
      </c>
      <c r="J2012">
        <v>83781</v>
      </c>
      <c r="K2012">
        <v>21240</v>
      </c>
      <c r="L2012">
        <v>0</v>
      </c>
      <c r="M2012">
        <v>0</v>
      </c>
      <c r="N2012">
        <v>0</v>
      </c>
    </row>
    <row r="2013" spans="1:14" ht="14.4">
      <c r="A2013">
        <v>13369</v>
      </c>
      <c r="B2013">
        <v>13370</v>
      </c>
      <c r="C2013">
        <v>4087</v>
      </c>
      <c r="D2013" t="s">
        <v>836</v>
      </c>
      <c r="E2013" t="s">
        <v>849</v>
      </c>
      <c r="F2013">
        <v>6460</v>
      </c>
      <c r="G2013" t="s">
        <v>838</v>
      </c>
      <c r="H2013" t="s">
        <v>144</v>
      </c>
      <c r="I2013">
        <v>14317671</v>
      </c>
      <c r="J2013">
        <v>10683567</v>
      </c>
      <c r="K2013">
        <v>3634104</v>
      </c>
      <c r="L2013">
        <v>6221000</v>
      </c>
      <c r="M2013">
        <v>4309700</v>
      </c>
      <c r="N2013">
        <v>1824000</v>
      </c>
    </row>
    <row r="2014" spans="1:14" ht="14.4">
      <c r="A2014">
        <v>13369</v>
      </c>
      <c r="B2014">
        <v>13370</v>
      </c>
      <c r="C2014">
        <v>4087</v>
      </c>
      <c r="D2014" t="s">
        <v>836</v>
      </c>
      <c r="E2014" t="s">
        <v>849</v>
      </c>
      <c r="F2014">
        <v>6461</v>
      </c>
      <c r="G2014" t="s">
        <v>838</v>
      </c>
      <c r="H2014" t="s">
        <v>144</v>
      </c>
      <c r="I2014">
        <v>29249</v>
      </c>
      <c r="J2014">
        <v>28449</v>
      </c>
      <c r="K2014">
        <v>800</v>
      </c>
      <c r="L2014">
        <v>13400</v>
      </c>
      <c r="M2014">
        <v>12600</v>
      </c>
      <c r="N2014">
        <v>800</v>
      </c>
    </row>
    <row r="2015" spans="1:14" ht="14.4">
      <c r="A2015">
        <v>13369</v>
      </c>
      <c r="B2015">
        <v>13370</v>
      </c>
      <c r="C2015">
        <v>4087</v>
      </c>
      <c r="D2015" t="s">
        <v>836</v>
      </c>
      <c r="E2015" t="s">
        <v>229</v>
      </c>
      <c r="F2015">
        <v>6468</v>
      </c>
      <c r="G2015" t="s">
        <v>143</v>
      </c>
      <c r="H2015" t="s">
        <v>144</v>
      </c>
      <c r="I2015">
        <v>87997</v>
      </c>
      <c r="J2015">
        <v>78077</v>
      </c>
      <c r="K2015">
        <v>9920</v>
      </c>
      <c r="L2015">
        <v>0</v>
      </c>
      <c r="M2015">
        <v>0</v>
      </c>
      <c r="N2015">
        <v>0</v>
      </c>
    </row>
    <row r="2016" spans="1:14" ht="14.4">
      <c r="A2016">
        <v>13369</v>
      </c>
      <c r="B2016">
        <v>13370</v>
      </c>
      <c r="C2016">
        <v>4087</v>
      </c>
      <c r="D2016" t="s">
        <v>836</v>
      </c>
      <c r="E2016" t="s">
        <v>850</v>
      </c>
      <c r="F2016">
        <v>6355</v>
      </c>
      <c r="G2016" t="s">
        <v>847</v>
      </c>
      <c r="H2016" t="s">
        <v>144</v>
      </c>
      <c r="I2016">
        <v>278033</v>
      </c>
      <c r="J2016">
        <v>211613</v>
      </c>
      <c r="K2016">
        <v>66420</v>
      </c>
      <c r="L2016">
        <v>70300</v>
      </c>
      <c r="M2016">
        <v>49900</v>
      </c>
      <c r="N2016">
        <v>20400</v>
      </c>
    </row>
    <row r="2017" spans="1:14" ht="14.4">
      <c r="A2017">
        <v>13369</v>
      </c>
      <c r="B2017">
        <v>13370</v>
      </c>
      <c r="C2017">
        <v>4087</v>
      </c>
      <c r="D2017" t="s">
        <v>836</v>
      </c>
      <c r="E2017" t="s">
        <v>850</v>
      </c>
      <c r="F2017">
        <v>6388</v>
      </c>
      <c r="G2017" t="s">
        <v>847</v>
      </c>
      <c r="H2017" t="s">
        <v>144</v>
      </c>
      <c r="I2017">
        <v>41221</v>
      </c>
      <c r="J2017">
        <v>29396</v>
      </c>
      <c r="K2017">
        <v>11825</v>
      </c>
      <c r="L2017">
        <v>0</v>
      </c>
      <c r="M2017">
        <v>0</v>
      </c>
      <c r="N2017">
        <v>0</v>
      </c>
    </row>
    <row r="2018" spans="1:14" ht="14.4">
      <c r="A2018">
        <v>13369</v>
      </c>
      <c r="B2018">
        <v>13370</v>
      </c>
      <c r="C2018">
        <v>4087</v>
      </c>
      <c r="D2018" t="s">
        <v>836</v>
      </c>
      <c r="E2018" t="s">
        <v>1769</v>
      </c>
      <c r="F2018">
        <v>6359</v>
      </c>
      <c r="G2018" t="s">
        <v>847</v>
      </c>
      <c r="H2018" t="s">
        <v>144</v>
      </c>
      <c r="I2018">
        <v>16604</v>
      </c>
      <c r="J2018">
        <v>16604</v>
      </c>
      <c r="K2018">
        <v>0</v>
      </c>
      <c r="L2018">
        <v>6400</v>
      </c>
      <c r="M2018">
        <v>6400</v>
      </c>
      <c r="N2018">
        <v>0</v>
      </c>
    </row>
    <row r="2019" spans="1:14" ht="14.4">
      <c r="A2019">
        <v>13369</v>
      </c>
      <c r="B2019">
        <v>13370</v>
      </c>
      <c r="C2019">
        <v>4087</v>
      </c>
      <c r="D2019" t="s">
        <v>836</v>
      </c>
      <c r="E2019" t="s">
        <v>851</v>
      </c>
      <c r="F2019">
        <v>6840</v>
      </c>
      <c r="G2019" t="s">
        <v>143</v>
      </c>
      <c r="H2019" t="s">
        <v>144</v>
      </c>
      <c r="I2019">
        <v>47063</v>
      </c>
      <c r="J2019">
        <v>45013</v>
      </c>
      <c r="K2019">
        <v>2050</v>
      </c>
      <c r="L2019">
        <v>0</v>
      </c>
      <c r="M2019">
        <v>0</v>
      </c>
      <c r="N2019">
        <v>0</v>
      </c>
    </row>
    <row r="2020" spans="1:14" ht="14.4">
      <c r="A2020">
        <v>13369</v>
      </c>
      <c r="B2020">
        <v>13370</v>
      </c>
      <c r="C2020">
        <v>4087</v>
      </c>
      <c r="D2020" t="s">
        <v>836</v>
      </c>
      <c r="E2020" t="s">
        <v>1770</v>
      </c>
      <c r="F2020">
        <v>6812</v>
      </c>
      <c r="G2020" t="s">
        <v>143</v>
      </c>
      <c r="H2020" t="s">
        <v>144</v>
      </c>
      <c r="I2020">
        <v>3813</v>
      </c>
      <c r="J2020">
        <v>3813</v>
      </c>
      <c r="K2020">
        <v>0</v>
      </c>
      <c r="L2020">
        <v>3900</v>
      </c>
      <c r="M2020">
        <v>3900</v>
      </c>
      <c r="N2020">
        <v>0</v>
      </c>
    </row>
    <row r="2021" spans="1:14" ht="14.4">
      <c r="A2021">
        <v>13369</v>
      </c>
      <c r="B2021">
        <v>13370</v>
      </c>
      <c r="C2021">
        <v>4087</v>
      </c>
      <c r="D2021" t="s">
        <v>836</v>
      </c>
      <c r="E2021" t="s">
        <v>838</v>
      </c>
      <c r="F2021">
        <v>6511</v>
      </c>
      <c r="G2021" t="s">
        <v>838</v>
      </c>
      <c r="H2021" t="s">
        <v>144</v>
      </c>
      <c r="I2021">
        <v>77546</v>
      </c>
      <c r="J2021">
        <v>72746</v>
      </c>
      <c r="K2021">
        <v>4800</v>
      </c>
      <c r="L2021">
        <v>1800</v>
      </c>
      <c r="M2021">
        <v>1800</v>
      </c>
      <c r="N2021">
        <v>0</v>
      </c>
    </row>
    <row r="2022" spans="1:14" ht="14.4">
      <c r="A2022">
        <v>13369</v>
      </c>
      <c r="B2022">
        <v>13370</v>
      </c>
      <c r="C2022">
        <v>4087</v>
      </c>
      <c r="D2022" t="s">
        <v>836</v>
      </c>
      <c r="E2022" t="s">
        <v>838</v>
      </c>
      <c r="F2022">
        <v>6512</v>
      </c>
      <c r="G2022" t="s">
        <v>838</v>
      </c>
      <c r="H2022" t="s">
        <v>144</v>
      </c>
      <c r="I2022">
        <v>9300</v>
      </c>
      <c r="J2022">
        <v>9150</v>
      </c>
      <c r="K2022">
        <v>150</v>
      </c>
      <c r="L2022">
        <v>8400</v>
      </c>
      <c r="M2022">
        <v>8300</v>
      </c>
      <c r="N2022">
        <v>100</v>
      </c>
    </row>
    <row r="2023" spans="1:14" ht="14.4">
      <c r="A2023">
        <v>13369</v>
      </c>
      <c r="B2023">
        <v>13370</v>
      </c>
      <c r="C2023">
        <v>4087</v>
      </c>
      <c r="D2023" t="s">
        <v>836</v>
      </c>
      <c r="E2023" t="s">
        <v>838</v>
      </c>
      <c r="F2023">
        <v>6513</v>
      </c>
      <c r="G2023" t="s">
        <v>838</v>
      </c>
      <c r="H2023" t="s">
        <v>144</v>
      </c>
      <c r="I2023">
        <v>41300</v>
      </c>
      <c r="J2023">
        <v>29995</v>
      </c>
      <c r="K2023">
        <v>11305</v>
      </c>
      <c r="L2023">
        <v>33200</v>
      </c>
      <c r="M2023">
        <v>21900</v>
      </c>
      <c r="N2023">
        <v>11300</v>
      </c>
    </row>
    <row r="2024" spans="1:14" ht="14.4">
      <c r="A2024">
        <v>13369</v>
      </c>
      <c r="B2024">
        <v>13370</v>
      </c>
      <c r="C2024">
        <v>4087</v>
      </c>
      <c r="D2024" t="s">
        <v>836</v>
      </c>
      <c r="E2024" t="s">
        <v>838</v>
      </c>
      <c r="F2024">
        <v>6515</v>
      </c>
      <c r="G2024" t="s">
        <v>838</v>
      </c>
      <c r="H2024" t="s">
        <v>144</v>
      </c>
      <c r="I2024">
        <v>82537</v>
      </c>
      <c r="J2024">
        <v>71187</v>
      </c>
      <c r="K2024">
        <v>11350</v>
      </c>
      <c r="L2024">
        <v>12100</v>
      </c>
      <c r="M2024">
        <v>12100</v>
      </c>
      <c r="N2024">
        <v>0</v>
      </c>
    </row>
    <row r="2025" spans="1:14" ht="14.4">
      <c r="A2025">
        <v>13369</v>
      </c>
      <c r="B2025">
        <v>13370</v>
      </c>
      <c r="C2025">
        <v>4087</v>
      </c>
      <c r="D2025" t="s">
        <v>836</v>
      </c>
      <c r="E2025" t="s">
        <v>838</v>
      </c>
      <c r="F2025">
        <v>6519</v>
      </c>
      <c r="G2025" t="s">
        <v>838</v>
      </c>
      <c r="H2025" t="s">
        <v>144</v>
      </c>
      <c r="I2025">
        <v>22676</v>
      </c>
      <c r="J2025">
        <v>22426</v>
      </c>
      <c r="K2025">
        <v>250</v>
      </c>
      <c r="L2025">
        <v>19700</v>
      </c>
      <c r="M2025">
        <v>19400</v>
      </c>
      <c r="N2025">
        <v>300</v>
      </c>
    </row>
    <row r="2026" spans="1:14" ht="14.4">
      <c r="A2026">
        <v>13369</v>
      </c>
      <c r="B2026">
        <v>13370</v>
      </c>
      <c r="C2026">
        <v>4087</v>
      </c>
      <c r="D2026" t="s">
        <v>836</v>
      </c>
      <c r="E2026" t="s">
        <v>847</v>
      </c>
      <c r="F2026">
        <v>6320</v>
      </c>
      <c r="G2026" t="s">
        <v>847</v>
      </c>
      <c r="H2026" t="s">
        <v>144</v>
      </c>
      <c r="I2026">
        <v>388747</v>
      </c>
      <c r="J2026">
        <v>330954</v>
      </c>
      <c r="K2026">
        <v>57793</v>
      </c>
      <c r="L2026">
        <v>325200</v>
      </c>
      <c r="M2026">
        <v>270700</v>
      </c>
      <c r="N2026">
        <v>54500</v>
      </c>
    </row>
    <row r="2027" spans="1:14" ht="14.4">
      <c r="A2027">
        <v>13369</v>
      </c>
      <c r="B2027">
        <v>13370</v>
      </c>
      <c r="C2027">
        <v>4087</v>
      </c>
      <c r="D2027" t="s">
        <v>836</v>
      </c>
      <c r="E2027" t="s">
        <v>852</v>
      </c>
      <c r="F2027">
        <v>6357</v>
      </c>
      <c r="G2027" t="s">
        <v>847</v>
      </c>
      <c r="H2027" t="s">
        <v>144</v>
      </c>
      <c r="I2027">
        <v>859033</v>
      </c>
      <c r="J2027">
        <v>642080</v>
      </c>
      <c r="K2027">
        <v>216953</v>
      </c>
      <c r="L2027">
        <v>533600</v>
      </c>
      <c r="M2027">
        <v>402000</v>
      </c>
      <c r="N2027">
        <v>131600</v>
      </c>
    </row>
    <row r="2028" spans="1:14" ht="14.4">
      <c r="A2028">
        <v>13369</v>
      </c>
      <c r="B2028">
        <v>13370</v>
      </c>
      <c r="C2028">
        <v>4087</v>
      </c>
      <c r="D2028" t="s">
        <v>836</v>
      </c>
      <c r="E2028" t="s">
        <v>1771</v>
      </c>
      <c r="F2028">
        <v>6359</v>
      </c>
      <c r="G2028" t="s">
        <v>847</v>
      </c>
      <c r="H2028" t="s">
        <v>144</v>
      </c>
      <c r="I2028">
        <v>11306</v>
      </c>
      <c r="J2028">
        <v>10806</v>
      </c>
      <c r="K2028">
        <v>500</v>
      </c>
      <c r="L2028">
        <v>8500</v>
      </c>
      <c r="M2028">
        <v>8000</v>
      </c>
      <c r="N2028">
        <v>500</v>
      </c>
    </row>
    <row r="2029" spans="1:14" ht="14.4">
      <c r="A2029">
        <v>13369</v>
      </c>
      <c r="B2029">
        <v>13370</v>
      </c>
      <c r="C2029">
        <v>4087</v>
      </c>
      <c r="D2029" t="s">
        <v>836</v>
      </c>
      <c r="E2029" t="s">
        <v>1772</v>
      </c>
      <c r="F2029">
        <v>6472</v>
      </c>
      <c r="G2029" t="s">
        <v>838</v>
      </c>
      <c r="H2029" t="s">
        <v>144</v>
      </c>
      <c r="I2029">
        <v>2700</v>
      </c>
      <c r="J2029">
        <v>0</v>
      </c>
      <c r="K2029">
        <v>2700</v>
      </c>
      <c r="L2029">
        <v>2700</v>
      </c>
      <c r="M2029">
        <v>0</v>
      </c>
      <c r="N2029">
        <v>2700</v>
      </c>
    </row>
    <row r="2030" spans="1:14" ht="14.4">
      <c r="A2030">
        <v>13369</v>
      </c>
      <c r="B2030">
        <v>13370</v>
      </c>
      <c r="C2030">
        <v>4087</v>
      </c>
      <c r="D2030" t="s">
        <v>836</v>
      </c>
      <c r="E2030" t="s">
        <v>1773</v>
      </c>
      <c r="F2030">
        <v>6850</v>
      </c>
      <c r="G2030" t="s">
        <v>143</v>
      </c>
      <c r="H2030" t="s">
        <v>144</v>
      </c>
      <c r="I2030">
        <v>7568</v>
      </c>
      <c r="J2030">
        <v>7568</v>
      </c>
      <c r="K2030">
        <v>0</v>
      </c>
      <c r="L2030">
        <v>0</v>
      </c>
      <c r="M2030">
        <v>0</v>
      </c>
      <c r="N2030">
        <v>0</v>
      </c>
    </row>
    <row r="2031" spans="1:14" ht="14.4">
      <c r="A2031">
        <v>13369</v>
      </c>
      <c r="B2031">
        <v>13370</v>
      </c>
      <c r="C2031">
        <v>4087</v>
      </c>
      <c r="D2031" t="s">
        <v>836</v>
      </c>
      <c r="E2031" t="s">
        <v>853</v>
      </c>
      <c r="F2031">
        <v>6850</v>
      </c>
      <c r="G2031" t="s">
        <v>143</v>
      </c>
      <c r="H2031" t="s">
        <v>144</v>
      </c>
      <c r="I2031">
        <v>227117</v>
      </c>
      <c r="J2031">
        <v>222167</v>
      </c>
      <c r="K2031">
        <v>4950</v>
      </c>
      <c r="L2031">
        <v>151700</v>
      </c>
      <c r="M2031">
        <v>149600</v>
      </c>
      <c r="N2031">
        <v>2100</v>
      </c>
    </row>
    <row r="2032" spans="1:14" ht="14.4">
      <c r="A2032">
        <v>13369</v>
      </c>
      <c r="B2032">
        <v>13370</v>
      </c>
      <c r="C2032">
        <v>4087</v>
      </c>
      <c r="D2032" t="s">
        <v>836</v>
      </c>
      <c r="E2032" t="s">
        <v>853</v>
      </c>
      <c r="F2032">
        <v>6851</v>
      </c>
      <c r="G2032" t="s">
        <v>143</v>
      </c>
      <c r="H2032" t="s">
        <v>144</v>
      </c>
      <c r="I2032">
        <v>316401</v>
      </c>
      <c r="J2032">
        <v>273436</v>
      </c>
      <c r="K2032">
        <v>42965</v>
      </c>
      <c r="L2032">
        <v>91600</v>
      </c>
      <c r="M2032">
        <v>89000</v>
      </c>
      <c r="N2032">
        <v>2600</v>
      </c>
    </row>
    <row r="2033" spans="1:14" ht="14.4">
      <c r="A2033">
        <v>13369</v>
      </c>
      <c r="B2033">
        <v>13370</v>
      </c>
      <c r="C2033">
        <v>4087</v>
      </c>
      <c r="D2033" t="s">
        <v>836</v>
      </c>
      <c r="E2033" t="s">
        <v>853</v>
      </c>
      <c r="F2033">
        <v>6853</v>
      </c>
      <c r="G2033" t="s">
        <v>143</v>
      </c>
      <c r="H2033" t="s">
        <v>144</v>
      </c>
      <c r="I2033">
        <v>2092165</v>
      </c>
      <c r="J2033">
        <v>1649050</v>
      </c>
      <c r="K2033">
        <v>443115</v>
      </c>
      <c r="L2033">
        <v>1037100</v>
      </c>
      <c r="M2033">
        <v>796300</v>
      </c>
      <c r="N2033">
        <v>240800</v>
      </c>
    </row>
    <row r="2034" spans="1:14" ht="14.4">
      <c r="A2034">
        <v>13369</v>
      </c>
      <c r="B2034">
        <v>13370</v>
      </c>
      <c r="C2034">
        <v>4087</v>
      </c>
      <c r="D2034" t="s">
        <v>836</v>
      </c>
      <c r="E2034" t="s">
        <v>853</v>
      </c>
      <c r="F2034">
        <v>6854</v>
      </c>
      <c r="G2034" t="s">
        <v>143</v>
      </c>
      <c r="H2034" t="s">
        <v>144</v>
      </c>
      <c r="I2034">
        <v>4586225</v>
      </c>
      <c r="J2034">
        <v>3530870</v>
      </c>
      <c r="K2034">
        <v>1055355</v>
      </c>
      <c r="L2034">
        <v>2068600</v>
      </c>
      <c r="M2034">
        <v>1489600</v>
      </c>
      <c r="N2034">
        <v>579000</v>
      </c>
    </row>
    <row r="2035" spans="1:14" ht="14.4">
      <c r="A2035">
        <v>13369</v>
      </c>
      <c r="B2035">
        <v>13370</v>
      </c>
      <c r="C2035">
        <v>4087</v>
      </c>
      <c r="D2035" t="s">
        <v>836</v>
      </c>
      <c r="E2035" t="s">
        <v>853</v>
      </c>
      <c r="F2035">
        <v>6855</v>
      </c>
      <c r="G2035" t="s">
        <v>143</v>
      </c>
      <c r="H2035" t="s">
        <v>144</v>
      </c>
      <c r="I2035">
        <v>1720646</v>
      </c>
      <c r="J2035">
        <v>1287736</v>
      </c>
      <c r="K2035">
        <v>432910</v>
      </c>
      <c r="L2035">
        <v>1054700</v>
      </c>
      <c r="M2035">
        <v>780000</v>
      </c>
      <c r="N2035">
        <v>274700</v>
      </c>
    </row>
    <row r="2036" spans="1:14" ht="14.4">
      <c r="A2036">
        <v>13369</v>
      </c>
      <c r="B2036">
        <v>13370</v>
      </c>
      <c r="C2036">
        <v>4087</v>
      </c>
      <c r="D2036" t="s">
        <v>836</v>
      </c>
      <c r="E2036" t="s">
        <v>853</v>
      </c>
      <c r="F2036">
        <v>6859</v>
      </c>
      <c r="G2036" t="s">
        <v>143</v>
      </c>
      <c r="H2036" t="s">
        <v>144</v>
      </c>
      <c r="I2036">
        <v>170361</v>
      </c>
      <c r="J2036">
        <v>118066</v>
      </c>
      <c r="K2036">
        <v>52295</v>
      </c>
      <c r="L2036">
        <v>74800</v>
      </c>
      <c r="M2036">
        <v>59500</v>
      </c>
      <c r="N2036">
        <v>15300</v>
      </c>
    </row>
    <row r="2037" spans="1:14" ht="14.4">
      <c r="A2037">
        <v>13369</v>
      </c>
      <c r="B2037">
        <v>13370</v>
      </c>
      <c r="C2037">
        <v>4087</v>
      </c>
      <c r="D2037" t="s">
        <v>836</v>
      </c>
      <c r="E2037" t="s">
        <v>853</v>
      </c>
      <c r="F2037">
        <v>6951</v>
      </c>
      <c r="G2037" t="s">
        <v>143</v>
      </c>
      <c r="H2037" t="s">
        <v>144</v>
      </c>
      <c r="I2037">
        <v>17798</v>
      </c>
      <c r="J2037">
        <v>17798</v>
      </c>
      <c r="K2037">
        <v>0</v>
      </c>
      <c r="L2037">
        <v>0</v>
      </c>
      <c r="M2037">
        <v>0</v>
      </c>
      <c r="N2037">
        <v>0</v>
      </c>
    </row>
    <row r="2038" spans="1:14" ht="14.4">
      <c r="A2038">
        <v>13369</v>
      </c>
      <c r="B2038">
        <v>13370</v>
      </c>
      <c r="C2038">
        <v>4087</v>
      </c>
      <c r="D2038" t="s">
        <v>836</v>
      </c>
      <c r="E2038" t="s">
        <v>854</v>
      </c>
      <c r="F2038">
        <v>6360</v>
      </c>
      <c r="G2038" t="s">
        <v>847</v>
      </c>
      <c r="H2038" t="s">
        <v>144</v>
      </c>
      <c r="I2038">
        <v>122972</v>
      </c>
      <c r="J2038">
        <v>107872</v>
      </c>
      <c r="K2038">
        <v>15100</v>
      </c>
      <c r="L2038">
        <v>32900</v>
      </c>
      <c r="M2038">
        <v>19600</v>
      </c>
      <c r="N2038">
        <v>13300</v>
      </c>
    </row>
    <row r="2039" spans="1:14" ht="14.4">
      <c r="A2039">
        <v>13369</v>
      </c>
      <c r="B2039">
        <v>13370</v>
      </c>
      <c r="C2039">
        <v>4087</v>
      </c>
      <c r="D2039" t="s">
        <v>836</v>
      </c>
      <c r="E2039" t="s">
        <v>1774</v>
      </c>
      <c r="F2039">
        <v>6360</v>
      </c>
      <c r="G2039" t="s">
        <v>847</v>
      </c>
      <c r="H2039" t="s">
        <v>144</v>
      </c>
      <c r="I2039">
        <v>10077</v>
      </c>
      <c r="J2039">
        <v>10077</v>
      </c>
      <c r="K2039">
        <v>0</v>
      </c>
      <c r="L2039">
        <v>8600</v>
      </c>
      <c r="M2039">
        <v>8600</v>
      </c>
      <c r="N2039">
        <v>0</v>
      </c>
    </row>
    <row r="2040" spans="1:14" ht="14.4">
      <c r="A2040">
        <v>13369</v>
      </c>
      <c r="B2040">
        <v>13370</v>
      </c>
      <c r="C2040">
        <v>4087</v>
      </c>
      <c r="D2040" t="s">
        <v>836</v>
      </c>
      <c r="E2040" t="s">
        <v>260</v>
      </c>
      <c r="F2040">
        <v>6370</v>
      </c>
      <c r="G2040" t="s">
        <v>847</v>
      </c>
      <c r="H2040" t="s">
        <v>144</v>
      </c>
      <c r="I2040">
        <v>29331</v>
      </c>
      <c r="J2040">
        <v>23006</v>
      </c>
      <c r="K2040">
        <v>6325</v>
      </c>
      <c r="L2040">
        <v>16300</v>
      </c>
      <c r="M2040">
        <v>11100</v>
      </c>
      <c r="N2040">
        <v>5200</v>
      </c>
    </row>
    <row r="2041" spans="1:14" ht="14.4">
      <c r="A2041">
        <v>13369</v>
      </c>
      <c r="B2041">
        <v>13370</v>
      </c>
      <c r="C2041">
        <v>4087</v>
      </c>
      <c r="D2041" t="s">
        <v>836</v>
      </c>
      <c r="E2041" t="s">
        <v>855</v>
      </c>
      <c r="F2041">
        <v>6870</v>
      </c>
      <c r="G2041" t="s">
        <v>143</v>
      </c>
      <c r="H2041" t="s">
        <v>144</v>
      </c>
      <c r="I2041">
        <v>5172177</v>
      </c>
      <c r="J2041">
        <v>3764357</v>
      </c>
      <c r="K2041">
        <v>1407820</v>
      </c>
      <c r="L2041">
        <v>2391700</v>
      </c>
      <c r="M2041">
        <v>1738900</v>
      </c>
      <c r="N2041">
        <v>652800</v>
      </c>
    </row>
    <row r="2042" spans="1:14" ht="14.4">
      <c r="A2042">
        <v>13369</v>
      </c>
      <c r="B2042">
        <v>13370</v>
      </c>
      <c r="C2042">
        <v>4087</v>
      </c>
      <c r="D2042" t="s">
        <v>836</v>
      </c>
      <c r="E2042" t="s">
        <v>856</v>
      </c>
      <c r="F2042">
        <v>6371</v>
      </c>
      <c r="G2042" t="s">
        <v>406</v>
      </c>
      <c r="H2042" t="s">
        <v>144</v>
      </c>
      <c r="I2042">
        <v>129259</v>
      </c>
      <c r="J2042">
        <v>85884</v>
      </c>
      <c r="K2042">
        <v>43375</v>
      </c>
      <c r="L2042">
        <v>0</v>
      </c>
      <c r="M2042">
        <v>0</v>
      </c>
      <c r="N2042">
        <v>0</v>
      </c>
    </row>
    <row r="2043" spans="1:14" ht="14.4">
      <c r="A2043">
        <v>13369</v>
      </c>
      <c r="B2043">
        <v>13370</v>
      </c>
      <c r="C2043">
        <v>4087</v>
      </c>
      <c r="D2043" t="s">
        <v>836</v>
      </c>
      <c r="E2043" t="s">
        <v>856</v>
      </c>
      <c r="F2043">
        <v>6371</v>
      </c>
      <c r="G2043" t="s">
        <v>847</v>
      </c>
      <c r="H2043" t="s">
        <v>144</v>
      </c>
      <c r="I2043">
        <v>1136477</v>
      </c>
      <c r="J2043">
        <v>934042</v>
      </c>
      <c r="K2043">
        <v>202435</v>
      </c>
      <c r="L2043">
        <v>245000</v>
      </c>
      <c r="M2043">
        <v>179900</v>
      </c>
      <c r="N2043">
        <v>65100</v>
      </c>
    </row>
    <row r="2044" spans="1:14" ht="14.4">
      <c r="A2044">
        <v>13369</v>
      </c>
      <c r="B2044">
        <v>13370</v>
      </c>
      <c r="C2044">
        <v>4087</v>
      </c>
      <c r="D2044" t="s">
        <v>836</v>
      </c>
      <c r="E2044" t="s">
        <v>857</v>
      </c>
      <c r="F2044">
        <v>6475</v>
      </c>
      <c r="G2044" t="s">
        <v>406</v>
      </c>
      <c r="H2044" t="s">
        <v>144</v>
      </c>
      <c r="I2044">
        <v>1339480</v>
      </c>
      <c r="J2044">
        <v>987632</v>
      </c>
      <c r="K2044">
        <v>351848</v>
      </c>
      <c r="L2044">
        <v>493500</v>
      </c>
      <c r="M2044">
        <v>335300</v>
      </c>
      <c r="N2044">
        <v>158200</v>
      </c>
    </row>
    <row r="2045" spans="1:14" ht="14.4">
      <c r="A2045">
        <v>13369</v>
      </c>
      <c r="B2045">
        <v>13370</v>
      </c>
      <c r="C2045">
        <v>4087</v>
      </c>
      <c r="D2045" t="s">
        <v>836</v>
      </c>
      <c r="E2045" t="s">
        <v>51</v>
      </c>
      <c r="F2045">
        <v>6477</v>
      </c>
      <c r="G2045" t="s">
        <v>838</v>
      </c>
      <c r="H2045" t="s">
        <v>144</v>
      </c>
      <c r="I2045">
        <v>63235</v>
      </c>
      <c r="J2045">
        <v>59535</v>
      </c>
      <c r="K2045">
        <v>3700</v>
      </c>
      <c r="L2045">
        <v>40700</v>
      </c>
      <c r="M2045">
        <v>40200</v>
      </c>
      <c r="N2045">
        <v>500</v>
      </c>
    </row>
    <row r="2046" spans="1:14" ht="14.4">
      <c r="A2046">
        <v>13369</v>
      </c>
      <c r="B2046">
        <v>13370</v>
      </c>
      <c r="C2046">
        <v>4087</v>
      </c>
      <c r="D2046" t="s">
        <v>836</v>
      </c>
      <c r="E2046" t="s">
        <v>1775</v>
      </c>
      <c r="F2046">
        <v>6379</v>
      </c>
      <c r="G2046" t="s">
        <v>847</v>
      </c>
      <c r="H2046" t="s">
        <v>144</v>
      </c>
      <c r="I2046">
        <v>57043</v>
      </c>
      <c r="J2046">
        <v>56293</v>
      </c>
      <c r="K2046">
        <v>750</v>
      </c>
      <c r="L2046">
        <v>31200</v>
      </c>
      <c r="M2046">
        <v>30400</v>
      </c>
      <c r="N2046">
        <v>800</v>
      </c>
    </row>
    <row r="2047" spans="1:14" ht="14.4">
      <c r="A2047">
        <v>13369</v>
      </c>
      <c r="B2047">
        <v>13370</v>
      </c>
      <c r="C2047">
        <v>4087</v>
      </c>
      <c r="D2047" t="s">
        <v>836</v>
      </c>
      <c r="E2047" t="s">
        <v>1776</v>
      </c>
      <c r="F2047">
        <v>6365</v>
      </c>
      <c r="G2047" t="s">
        <v>847</v>
      </c>
      <c r="H2047" t="s">
        <v>144</v>
      </c>
      <c r="I2047">
        <v>12995</v>
      </c>
      <c r="J2047">
        <v>12495</v>
      </c>
      <c r="K2047">
        <v>500</v>
      </c>
      <c r="L2047">
        <v>0</v>
      </c>
      <c r="M2047">
        <v>0</v>
      </c>
      <c r="N2047">
        <v>0</v>
      </c>
    </row>
    <row r="2048" spans="1:14" ht="14.4">
      <c r="A2048">
        <v>13369</v>
      </c>
      <c r="B2048">
        <v>13370</v>
      </c>
      <c r="C2048">
        <v>4087</v>
      </c>
      <c r="D2048" t="s">
        <v>836</v>
      </c>
      <c r="E2048" t="s">
        <v>1777</v>
      </c>
      <c r="F2048">
        <v>6896</v>
      </c>
      <c r="G2048" t="s">
        <v>143</v>
      </c>
      <c r="H2048" t="s">
        <v>144</v>
      </c>
      <c r="I2048">
        <v>14518</v>
      </c>
      <c r="J2048">
        <v>14518</v>
      </c>
      <c r="K2048">
        <v>0</v>
      </c>
      <c r="L2048">
        <v>14000</v>
      </c>
      <c r="M2048">
        <v>14000</v>
      </c>
      <c r="N2048">
        <v>0</v>
      </c>
    </row>
    <row r="2049" spans="1:14" ht="14.4">
      <c r="A2049">
        <v>13369</v>
      </c>
      <c r="B2049">
        <v>13370</v>
      </c>
      <c r="C2049">
        <v>4087</v>
      </c>
      <c r="D2049" t="s">
        <v>836</v>
      </c>
      <c r="E2049" t="s">
        <v>1670</v>
      </c>
      <c r="F2049">
        <v>6877</v>
      </c>
      <c r="G2049" t="s">
        <v>143</v>
      </c>
      <c r="H2049" t="s">
        <v>144</v>
      </c>
      <c r="I2049">
        <v>698174</v>
      </c>
      <c r="J2049">
        <v>584979</v>
      </c>
      <c r="K2049">
        <v>113195</v>
      </c>
      <c r="L2049">
        <v>192400</v>
      </c>
      <c r="M2049">
        <v>141300</v>
      </c>
      <c r="N2049">
        <v>51100</v>
      </c>
    </row>
    <row r="2050" spans="1:14" ht="14.4">
      <c r="A2050">
        <v>13369</v>
      </c>
      <c r="B2050">
        <v>13370</v>
      </c>
      <c r="C2050">
        <v>4087</v>
      </c>
      <c r="D2050" t="s">
        <v>836</v>
      </c>
      <c r="E2050" t="s">
        <v>986</v>
      </c>
      <c r="F2050">
        <v>6878</v>
      </c>
      <c r="G2050" t="s">
        <v>143</v>
      </c>
      <c r="H2050" t="s">
        <v>144</v>
      </c>
      <c r="I2050">
        <v>131948</v>
      </c>
      <c r="J2050">
        <v>122448</v>
      </c>
      <c r="K2050">
        <v>9500</v>
      </c>
      <c r="L2050">
        <v>105500</v>
      </c>
      <c r="M2050">
        <v>96500</v>
      </c>
      <c r="N2050">
        <v>9000</v>
      </c>
    </row>
    <row r="2051" spans="1:14" ht="14.4">
      <c r="A2051">
        <v>13369</v>
      </c>
      <c r="B2051">
        <v>13370</v>
      </c>
      <c r="C2051">
        <v>4087</v>
      </c>
      <c r="D2051" t="s">
        <v>836</v>
      </c>
      <c r="E2051" t="s">
        <v>859</v>
      </c>
      <c r="F2051">
        <v>6853</v>
      </c>
      <c r="G2051" t="s">
        <v>143</v>
      </c>
      <c r="H2051" t="s">
        <v>144</v>
      </c>
      <c r="I2051">
        <v>760966</v>
      </c>
      <c r="J2051">
        <v>626251</v>
      </c>
      <c r="K2051">
        <v>134715</v>
      </c>
      <c r="L2051">
        <v>279800</v>
      </c>
      <c r="M2051">
        <v>198600</v>
      </c>
      <c r="N2051">
        <v>81200</v>
      </c>
    </row>
    <row r="2052" spans="1:14" ht="14.4">
      <c r="A2052">
        <v>13369</v>
      </c>
      <c r="B2052">
        <v>13370</v>
      </c>
      <c r="C2052">
        <v>4087</v>
      </c>
      <c r="D2052" t="s">
        <v>836</v>
      </c>
      <c r="E2052" t="s">
        <v>1778</v>
      </c>
      <c r="F2052">
        <v>6483</v>
      </c>
      <c r="G2052" t="s">
        <v>838</v>
      </c>
      <c r="H2052" t="s">
        <v>144</v>
      </c>
      <c r="I2052">
        <v>25860</v>
      </c>
      <c r="J2052">
        <v>23610</v>
      </c>
      <c r="K2052">
        <v>2250</v>
      </c>
      <c r="L2052">
        <v>25700</v>
      </c>
      <c r="M2052">
        <v>23700</v>
      </c>
      <c r="N2052">
        <v>2000</v>
      </c>
    </row>
    <row r="2053" spans="1:14" ht="14.4">
      <c r="A2053">
        <v>13369</v>
      </c>
      <c r="B2053">
        <v>13370</v>
      </c>
      <c r="C2053">
        <v>4087</v>
      </c>
      <c r="D2053" t="s">
        <v>836</v>
      </c>
      <c r="E2053" t="s">
        <v>860</v>
      </c>
      <c r="F2053">
        <v>6484</v>
      </c>
      <c r="G2053" t="s">
        <v>143</v>
      </c>
      <c r="H2053" t="s">
        <v>144</v>
      </c>
      <c r="I2053">
        <v>228715</v>
      </c>
      <c r="J2053">
        <v>174125</v>
      </c>
      <c r="K2053">
        <v>54590</v>
      </c>
      <c r="L2053">
        <v>68900</v>
      </c>
      <c r="M2053">
        <v>33700</v>
      </c>
      <c r="N2053">
        <v>35200</v>
      </c>
    </row>
    <row r="2054" spans="1:14" ht="14.4">
      <c r="A2054">
        <v>13369</v>
      </c>
      <c r="B2054">
        <v>13370</v>
      </c>
      <c r="C2054">
        <v>4087</v>
      </c>
      <c r="D2054" t="s">
        <v>836</v>
      </c>
      <c r="E2054" t="s">
        <v>862</v>
      </c>
      <c r="F2054">
        <v>6890</v>
      </c>
      <c r="G2054" t="s">
        <v>143</v>
      </c>
      <c r="H2054" t="s">
        <v>144</v>
      </c>
      <c r="I2054">
        <v>42889</v>
      </c>
      <c r="J2054">
        <v>29439</v>
      </c>
      <c r="K2054">
        <v>13450</v>
      </c>
      <c r="L2054">
        <v>31200</v>
      </c>
      <c r="M2054">
        <v>21100</v>
      </c>
      <c r="N2054">
        <v>10100</v>
      </c>
    </row>
    <row r="2055" spans="1:14" ht="14.4">
      <c r="A2055">
        <v>13369</v>
      </c>
      <c r="B2055">
        <v>13370</v>
      </c>
      <c r="C2055">
        <v>4087</v>
      </c>
      <c r="D2055" t="s">
        <v>836</v>
      </c>
      <c r="E2055" t="s">
        <v>863</v>
      </c>
      <c r="F2055">
        <v>6902</v>
      </c>
      <c r="G2055" t="s">
        <v>143</v>
      </c>
      <c r="H2055" t="s">
        <v>144</v>
      </c>
      <c r="I2055">
        <v>2091338</v>
      </c>
      <c r="J2055">
        <v>1625053</v>
      </c>
      <c r="K2055">
        <v>466285</v>
      </c>
      <c r="L2055">
        <v>448100</v>
      </c>
      <c r="M2055">
        <v>329000</v>
      </c>
      <c r="N2055">
        <v>119100</v>
      </c>
    </row>
    <row r="2056" spans="1:14" ht="14.4">
      <c r="A2056">
        <v>13369</v>
      </c>
      <c r="B2056">
        <v>13370</v>
      </c>
      <c r="C2056">
        <v>4087</v>
      </c>
      <c r="D2056" t="s">
        <v>836</v>
      </c>
      <c r="E2056" t="s">
        <v>863</v>
      </c>
      <c r="F2056">
        <v>6903</v>
      </c>
      <c r="G2056" t="s">
        <v>143</v>
      </c>
      <c r="H2056" t="s">
        <v>144</v>
      </c>
      <c r="I2056">
        <v>77260</v>
      </c>
      <c r="J2056">
        <v>74010</v>
      </c>
      <c r="K2056">
        <v>3250</v>
      </c>
      <c r="L2056">
        <v>49600</v>
      </c>
      <c r="M2056">
        <v>49600</v>
      </c>
      <c r="N2056">
        <v>0</v>
      </c>
    </row>
    <row r="2057" spans="1:14" ht="14.4">
      <c r="A2057">
        <v>13369</v>
      </c>
      <c r="B2057">
        <v>13370</v>
      </c>
      <c r="C2057">
        <v>4087</v>
      </c>
      <c r="D2057" t="s">
        <v>836</v>
      </c>
      <c r="E2057" t="s">
        <v>863</v>
      </c>
      <c r="F2057">
        <v>6905</v>
      </c>
      <c r="G2057" t="s">
        <v>143</v>
      </c>
      <c r="H2057" t="s">
        <v>144</v>
      </c>
      <c r="I2057">
        <v>103751</v>
      </c>
      <c r="J2057">
        <v>80001</v>
      </c>
      <c r="K2057">
        <v>23750</v>
      </c>
      <c r="L2057">
        <v>4300</v>
      </c>
      <c r="M2057">
        <v>3000</v>
      </c>
      <c r="N2057">
        <v>1300</v>
      </c>
    </row>
    <row r="2058" spans="1:14" ht="14.4">
      <c r="A2058">
        <v>13369</v>
      </c>
      <c r="B2058">
        <v>13370</v>
      </c>
      <c r="C2058">
        <v>4087</v>
      </c>
      <c r="D2058" t="s">
        <v>836</v>
      </c>
      <c r="E2058" t="s">
        <v>863</v>
      </c>
      <c r="F2058">
        <v>6906</v>
      </c>
      <c r="G2058" t="s">
        <v>143</v>
      </c>
      <c r="H2058" t="s">
        <v>144</v>
      </c>
      <c r="I2058">
        <v>80559</v>
      </c>
      <c r="J2058">
        <v>74624</v>
      </c>
      <c r="K2058">
        <v>5935</v>
      </c>
      <c r="L2058">
        <v>1900</v>
      </c>
      <c r="M2058">
        <v>1900</v>
      </c>
      <c r="N2058">
        <v>0</v>
      </c>
    </row>
    <row r="2059" spans="1:14" ht="14.4">
      <c r="A2059">
        <v>13369</v>
      </c>
      <c r="B2059">
        <v>13370</v>
      </c>
      <c r="C2059">
        <v>4087</v>
      </c>
      <c r="D2059" t="s">
        <v>836</v>
      </c>
      <c r="E2059" t="s">
        <v>863</v>
      </c>
      <c r="F2059">
        <v>6907</v>
      </c>
      <c r="G2059" t="s">
        <v>143</v>
      </c>
      <c r="H2059" t="s">
        <v>144</v>
      </c>
      <c r="I2059">
        <v>18500</v>
      </c>
      <c r="J2059">
        <v>18500</v>
      </c>
      <c r="K2059">
        <v>0</v>
      </c>
      <c r="L2059">
        <v>14000</v>
      </c>
      <c r="M2059">
        <v>14000</v>
      </c>
      <c r="N2059">
        <v>0</v>
      </c>
    </row>
    <row r="2060" spans="1:14" ht="14.4">
      <c r="A2060">
        <v>13369</v>
      </c>
      <c r="B2060">
        <v>13370</v>
      </c>
      <c r="C2060">
        <v>4087</v>
      </c>
      <c r="D2060" t="s">
        <v>836</v>
      </c>
      <c r="E2060" t="s">
        <v>1779</v>
      </c>
      <c r="F2060">
        <v>6378</v>
      </c>
      <c r="G2060" t="s">
        <v>847</v>
      </c>
      <c r="H2060" t="s">
        <v>144</v>
      </c>
      <c r="I2060">
        <v>616159</v>
      </c>
      <c r="J2060">
        <v>479549</v>
      </c>
      <c r="K2060">
        <v>136610</v>
      </c>
      <c r="L2060">
        <v>240900</v>
      </c>
      <c r="M2060">
        <v>167400</v>
      </c>
      <c r="N2060">
        <v>73500</v>
      </c>
    </row>
    <row r="2061" spans="1:14" ht="14.4">
      <c r="A2061">
        <v>13369</v>
      </c>
      <c r="B2061">
        <v>13370</v>
      </c>
      <c r="C2061">
        <v>4087</v>
      </c>
      <c r="D2061" t="s">
        <v>836</v>
      </c>
      <c r="E2061" t="s">
        <v>864</v>
      </c>
      <c r="F2061">
        <v>6614</v>
      </c>
      <c r="G2061" t="s">
        <v>143</v>
      </c>
      <c r="H2061" t="s">
        <v>144</v>
      </c>
      <c r="I2061">
        <v>177218</v>
      </c>
      <c r="J2061">
        <v>164398</v>
      </c>
      <c r="K2061">
        <v>12820</v>
      </c>
      <c r="L2061">
        <v>102000</v>
      </c>
      <c r="M2061">
        <v>100000</v>
      </c>
      <c r="N2061">
        <v>2000</v>
      </c>
    </row>
    <row r="2062" spans="1:14" ht="14.4">
      <c r="A2062">
        <v>13369</v>
      </c>
      <c r="B2062">
        <v>13370</v>
      </c>
      <c r="C2062">
        <v>4087</v>
      </c>
      <c r="D2062" t="s">
        <v>836</v>
      </c>
      <c r="E2062" t="s">
        <v>864</v>
      </c>
      <c r="F2062">
        <v>6615</v>
      </c>
      <c r="G2062" t="s">
        <v>143</v>
      </c>
      <c r="H2062" t="s">
        <v>144</v>
      </c>
      <c r="I2062">
        <v>432631</v>
      </c>
      <c r="J2062">
        <v>363681</v>
      </c>
      <c r="K2062">
        <v>68950</v>
      </c>
      <c r="L2062">
        <v>94600</v>
      </c>
      <c r="M2062">
        <v>70300</v>
      </c>
      <c r="N2062">
        <v>24300</v>
      </c>
    </row>
    <row r="2063" spans="1:14" ht="14.4">
      <c r="A2063">
        <v>13369</v>
      </c>
      <c r="B2063">
        <v>13370</v>
      </c>
      <c r="C2063">
        <v>4087</v>
      </c>
      <c r="D2063" t="s">
        <v>836</v>
      </c>
      <c r="E2063" t="s">
        <v>864</v>
      </c>
      <c r="F2063">
        <v>6615</v>
      </c>
      <c r="G2063" t="s">
        <v>838</v>
      </c>
      <c r="H2063" t="s">
        <v>144</v>
      </c>
      <c r="I2063">
        <v>36125</v>
      </c>
      <c r="J2063">
        <v>0</v>
      </c>
      <c r="K2063">
        <v>36125</v>
      </c>
      <c r="L2063">
        <v>36200</v>
      </c>
      <c r="M2063">
        <v>0</v>
      </c>
      <c r="N2063">
        <v>36200</v>
      </c>
    </row>
    <row r="2064" spans="1:14" ht="14.4">
      <c r="A2064">
        <v>13369</v>
      </c>
      <c r="B2064">
        <v>13370</v>
      </c>
      <c r="C2064">
        <v>4087</v>
      </c>
      <c r="D2064" t="s">
        <v>836</v>
      </c>
      <c r="E2064" t="s">
        <v>1780</v>
      </c>
      <c r="F2064">
        <v>6611</v>
      </c>
      <c r="G2064" t="s">
        <v>143</v>
      </c>
      <c r="H2064" t="s">
        <v>144</v>
      </c>
      <c r="I2064">
        <v>520951</v>
      </c>
      <c r="J2064">
        <v>497006</v>
      </c>
      <c r="K2064">
        <v>23945</v>
      </c>
      <c r="L2064">
        <v>245800</v>
      </c>
      <c r="M2064">
        <v>236100</v>
      </c>
      <c r="N2064">
        <v>9700</v>
      </c>
    </row>
    <row r="2065" spans="1:14" ht="14.4">
      <c r="A2065">
        <v>13369</v>
      </c>
      <c r="B2065">
        <v>13370</v>
      </c>
      <c r="C2065">
        <v>4087</v>
      </c>
      <c r="D2065" t="s">
        <v>836</v>
      </c>
      <c r="E2065" t="s">
        <v>1781</v>
      </c>
      <c r="F2065">
        <v>6382</v>
      </c>
      <c r="G2065" t="s">
        <v>847</v>
      </c>
      <c r="H2065" t="s">
        <v>144</v>
      </c>
      <c r="I2065">
        <v>12325</v>
      </c>
      <c r="J2065">
        <v>0</v>
      </c>
      <c r="K2065">
        <v>12325</v>
      </c>
      <c r="L2065">
        <v>0</v>
      </c>
      <c r="M2065">
        <v>0</v>
      </c>
      <c r="N2065">
        <v>0</v>
      </c>
    </row>
    <row r="2066" spans="1:14" ht="14.4">
      <c r="A2066">
        <v>13369</v>
      </c>
      <c r="B2066">
        <v>13370</v>
      </c>
      <c r="C2066">
        <v>4087</v>
      </c>
      <c r="D2066" t="s">
        <v>836</v>
      </c>
      <c r="E2066" t="s">
        <v>865</v>
      </c>
      <c r="F2066">
        <v>6705</v>
      </c>
      <c r="G2066" t="s">
        <v>838</v>
      </c>
      <c r="H2066" t="s">
        <v>144</v>
      </c>
      <c r="I2066">
        <v>19467</v>
      </c>
      <c r="J2066">
        <v>19467</v>
      </c>
      <c r="K2066">
        <v>0</v>
      </c>
      <c r="L2066">
        <v>0</v>
      </c>
      <c r="M2066">
        <v>0</v>
      </c>
      <c r="N2066">
        <v>0</v>
      </c>
    </row>
    <row r="2067" spans="1:14" ht="14.4">
      <c r="A2067">
        <v>13369</v>
      </c>
      <c r="B2067">
        <v>13370</v>
      </c>
      <c r="C2067">
        <v>4087</v>
      </c>
      <c r="D2067" t="s">
        <v>836</v>
      </c>
      <c r="E2067" t="s">
        <v>865</v>
      </c>
      <c r="F2067">
        <v>6706</v>
      </c>
      <c r="G2067" t="s">
        <v>838</v>
      </c>
      <c r="H2067" t="s">
        <v>144</v>
      </c>
      <c r="I2067">
        <v>39285</v>
      </c>
      <c r="J2067">
        <v>39285</v>
      </c>
      <c r="K2067">
        <v>0</v>
      </c>
      <c r="L2067">
        <v>0</v>
      </c>
      <c r="M2067">
        <v>0</v>
      </c>
      <c r="N2067">
        <v>0</v>
      </c>
    </row>
    <row r="2068" spans="1:14" ht="14.4">
      <c r="A2068">
        <v>13369</v>
      </c>
      <c r="B2068">
        <v>13370</v>
      </c>
      <c r="C2068">
        <v>4087</v>
      </c>
      <c r="D2068" t="s">
        <v>836</v>
      </c>
      <c r="E2068" t="s">
        <v>865</v>
      </c>
      <c r="F2068">
        <v>6708</v>
      </c>
      <c r="G2068" t="s">
        <v>838</v>
      </c>
      <c r="H2068" t="s">
        <v>144</v>
      </c>
      <c r="I2068">
        <v>2892</v>
      </c>
      <c r="J2068">
        <v>2892</v>
      </c>
      <c r="K2068">
        <v>0</v>
      </c>
      <c r="L2068">
        <v>0</v>
      </c>
      <c r="M2068">
        <v>0</v>
      </c>
      <c r="N2068">
        <v>0</v>
      </c>
    </row>
    <row r="2069" spans="1:14" ht="14.4">
      <c r="A2069">
        <v>13369</v>
      </c>
      <c r="B2069">
        <v>13370</v>
      </c>
      <c r="C2069">
        <v>4087</v>
      </c>
      <c r="D2069" t="s">
        <v>836</v>
      </c>
      <c r="E2069" t="s">
        <v>865</v>
      </c>
      <c r="F2069">
        <v>6710</v>
      </c>
      <c r="G2069" t="s">
        <v>838</v>
      </c>
      <c r="H2069" t="s">
        <v>144</v>
      </c>
      <c r="I2069">
        <v>16211</v>
      </c>
      <c r="J2069">
        <v>16211</v>
      </c>
      <c r="K2069">
        <v>0</v>
      </c>
      <c r="L2069">
        <v>0</v>
      </c>
      <c r="M2069">
        <v>0</v>
      </c>
      <c r="N2069">
        <v>0</v>
      </c>
    </row>
    <row r="2070" spans="1:14" ht="14.4">
      <c r="A2070">
        <v>13369</v>
      </c>
      <c r="B2070">
        <v>13370</v>
      </c>
      <c r="C2070">
        <v>4087</v>
      </c>
      <c r="D2070" t="s">
        <v>836</v>
      </c>
      <c r="E2070" t="s">
        <v>1782</v>
      </c>
      <c r="F2070">
        <v>6385</v>
      </c>
      <c r="G2070" t="s">
        <v>847</v>
      </c>
      <c r="H2070" t="s">
        <v>144</v>
      </c>
      <c r="I2070">
        <v>90702</v>
      </c>
      <c r="J2070">
        <v>81927</v>
      </c>
      <c r="K2070">
        <v>8775</v>
      </c>
      <c r="L2070">
        <v>27600</v>
      </c>
      <c r="M2070">
        <v>20600</v>
      </c>
      <c r="N2070">
        <v>7000</v>
      </c>
    </row>
    <row r="2071" spans="1:14" ht="14.4">
      <c r="A2071">
        <v>13369</v>
      </c>
      <c r="B2071">
        <v>13370</v>
      </c>
      <c r="C2071">
        <v>4087</v>
      </c>
      <c r="D2071" t="s">
        <v>836</v>
      </c>
      <c r="E2071" t="s">
        <v>866</v>
      </c>
      <c r="F2071">
        <v>6516</v>
      </c>
      <c r="G2071" t="s">
        <v>838</v>
      </c>
      <c r="H2071" t="s">
        <v>144</v>
      </c>
      <c r="I2071">
        <v>728403</v>
      </c>
      <c r="J2071">
        <v>535363</v>
      </c>
      <c r="K2071">
        <v>193040</v>
      </c>
      <c r="L2071">
        <v>233100</v>
      </c>
      <c r="M2071">
        <v>170800</v>
      </c>
      <c r="N2071">
        <v>62300</v>
      </c>
    </row>
    <row r="2072" spans="1:14" ht="14.4">
      <c r="A2072">
        <v>13369</v>
      </c>
      <c r="B2072">
        <v>13370</v>
      </c>
      <c r="C2072">
        <v>4087</v>
      </c>
      <c r="D2072" t="s">
        <v>836</v>
      </c>
      <c r="E2072" t="s">
        <v>868</v>
      </c>
      <c r="F2072">
        <v>6498</v>
      </c>
      <c r="G2072" t="s">
        <v>406</v>
      </c>
      <c r="H2072" t="s">
        <v>144</v>
      </c>
      <c r="I2072">
        <v>317720</v>
      </c>
      <c r="J2072">
        <v>184521</v>
      </c>
      <c r="K2072">
        <v>133199</v>
      </c>
      <c r="L2072">
        <v>142200</v>
      </c>
      <c r="M2072">
        <v>52200</v>
      </c>
      <c r="N2072">
        <v>90000</v>
      </c>
    </row>
    <row r="2073" spans="1:14" ht="14.4">
      <c r="A2073">
        <v>13369</v>
      </c>
      <c r="B2073">
        <v>13370</v>
      </c>
      <c r="C2073">
        <v>4087</v>
      </c>
      <c r="D2073" t="s">
        <v>836</v>
      </c>
      <c r="E2073" t="s">
        <v>1783</v>
      </c>
      <c r="F2073">
        <v>6883</v>
      </c>
      <c r="G2073" t="s">
        <v>143</v>
      </c>
      <c r="H2073" t="s">
        <v>144</v>
      </c>
      <c r="I2073">
        <v>294318</v>
      </c>
      <c r="J2073">
        <v>269893</v>
      </c>
      <c r="K2073">
        <v>24425</v>
      </c>
      <c r="L2073">
        <v>97800</v>
      </c>
      <c r="M2073">
        <v>81500</v>
      </c>
      <c r="N2073">
        <v>16300</v>
      </c>
    </row>
    <row r="2074" spans="1:14" ht="14.4">
      <c r="A2074">
        <v>13369</v>
      </c>
      <c r="B2074">
        <v>13370</v>
      </c>
      <c r="C2074">
        <v>4087</v>
      </c>
      <c r="D2074" t="s">
        <v>836</v>
      </c>
      <c r="E2074" t="s">
        <v>869</v>
      </c>
      <c r="F2074">
        <v>6880</v>
      </c>
      <c r="G2074" t="s">
        <v>143</v>
      </c>
      <c r="H2074" t="s">
        <v>144</v>
      </c>
      <c r="I2074">
        <v>7207530</v>
      </c>
      <c r="J2074">
        <v>5493835</v>
      </c>
      <c r="K2074">
        <v>1713695</v>
      </c>
      <c r="L2074">
        <v>3228600</v>
      </c>
      <c r="M2074">
        <v>2356200</v>
      </c>
      <c r="N2074">
        <v>844900</v>
      </c>
    </row>
    <row r="2075" spans="1:14" ht="14.4">
      <c r="A2075">
        <v>13369</v>
      </c>
      <c r="B2075">
        <v>13370</v>
      </c>
      <c r="C2075">
        <v>4087</v>
      </c>
      <c r="D2075" t="s">
        <v>836</v>
      </c>
      <c r="E2075" t="s">
        <v>869</v>
      </c>
      <c r="F2075">
        <v>6883</v>
      </c>
      <c r="G2075" t="s">
        <v>143</v>
      </c>
      <c r="H2075" t="s">
        <v>144</v>
      </c>
      <c r="I2075">
        <v>199148</v>
      </c>
      <c r="J2075">
        <v>140348</v>
      </c>
      <c r="K2075">
        <v>58800</v>
      </c>
      <c r="L2075">
        <v>0</v>
      </c>
      <c r="M2075">
        <v>0</v>
      </c>
      <c r="N2075">
        <v>0</v>
      </c>
    </row>
    <row r="2076" spans="1:14" ht="14.4">
      <c r="A2076">
        <v>13369</v>
      </c>
      <c r="B2076">
        <v>13370</v>
      </c>
      <c r="C2076">
        <v>4087</v>
      </c>
      <c r="D2076" t="s">
        <v>836</v>
      </c>
      <c r="E2076" t="s">
        <v>870</v>
      </c>
      <c r="F2076">
        <v>6824</v>
      </c>
      <c r="G2076" t="s">
        <v>143</v>
      </c>
      <c r="H2076" t="s">
        <v>144</v>
      </c>
      <c r="I2076">
        <v>25768</v>
      </c>
      <c r="J2076">
        <v>20468</v>
      </c>
      <c r="K2076">
        <v>5300</v>
      </c>
      <c r="L2076">
        <v>0</v>
      </c>
      <c r="M2076">
        <v>0</v>
      </c>
      <c r="N2076">
        <v>0</v>
      </c>
    </row>
    <row r="2077" spans="1:14" ht="14.4">
      <c r="A2077">
        <v>13369</v>
      </c>
      <c r="B2077">
        <v>13370</v>
      </c>
      <c r="C2077">
        <v>4087</v>
      </c>
      <c r="D2077" t="s">
        <v>836</v>
      </c>
      <c r="E2077" t="s">
        <v>870</v>
      </c>
      <c r="F2077">
        <v>6897</v>
      </c>
      <c r="G2077" t="s">
        <v>143</v>
      </c>
      <c r="H2077" t="s">
        <v>144</v>
      </c>
      <c r="I2077">
        <v>25592</v>
      </c>
      <c r="J2077">
        <v>22592</v>
      </c>
      <c r="K2077">
        <v>3000</v>
      </c>
      <c r="L2077">
        <v>21900</v>
      </c>
      <c r="M2077">
        <v>18900</v>
      </c>
      <c r="N2077">
        <v>3000</v>
      </c>
    </row>
    <row r="2078" spans="1:14" ht="14.4">
      <c r="A2078">
        <v>13387</v>
      </c>
      <c r="B2078">
        <v>13388</v>
      </c>
      <c r="C2078">
        <v>4089</v>
      </c>
      <c r="D2078" t="s">
        <v>871</v>
      </c>
      <c r="E2078" t="s">
        <v>1784</v>
      </c>
      <c r="F2078">
        <v>2807</v>
      </c>
      <c r="G2078" t="s">
        <v>817</v>
      </c>
      <c r="H2078" t="s">
        <v>873</v>
      </c>
      <c r="I2078">
        <v>118471</v>
      </c>
      <c r="J2078">
        <v>118471</v>
      </c>
      <c r="K2078">
        <v>0</v>
      </c>
      <c r="L2078">
        <v>0</v>
      </c>
      <c r="M2078">
        <v>0</v>
      </c>
      <c r="N2078">
        <v>0</v>
      </c>
    </row>
    <row r="2079" spans="1:14" ht="14.4">
      <c r="A2079">
        <v>13387</v>
      </c>
      <c r="B2079">
        <v>13388</v>
      </c>
      <c r="C2079">
        <v>4089</v>
      </c>
      <c r="D2079" t="s">
        <v>871</v>
      </c>
      <c r="E2079" t="s">
        <v>1785</v>
      </c>
      <c r="F2079">
        <v>2812</v>
      </c>
      <c r="G2079" t="s">
        <v>817</v>
      </c>
      <c r="H2079" t="s">
        <v>873</v>
      </c>
      <c r="I2079">
        <v>7873</v>
      </c>
      <c r="J2079">
        <v>7873</v>
      </c>
      <c r="K2079">
        <v>0</v>
      </c>
      <c r="L2079">
        <v>0</v>
      </c>
      <c r="M2079">
        <v>0</v>
      </c>
      <c r="N2079">
        <v>0</v>
      </c>
    </row>
    <row r="2080" spans="1:14" ht="14.4">
      <c r="A2080">
        <v>13387</v>
      </c>
      <c r="B2080">
        <v>13388</v>
      </c>
      <c r="C2080">
        <v>4089</v>
      </c>
      <c r="D2080" t="s">
        <v>871</v>
      </c>
      <c r="E2080" t="s">
        <v>872</v>
      </c>
      <c r="F2080">
        <v>2813</v>
      </c>
      <c r="G2080" t="s">
        <v>817</v>
      </c>
      <c r="H2080" t="s">
        <v>873</v>
      </c>
      <c r="I2080">
        <v>241089</v>
      </c>
      <c r="J2080">
        <v>196689</v>
      </c>
      <c r="K2080">
        <v>44400</v>
      </c>
      <c r="L2080">
        <v>57300</v>
      </c>
      <c r="M2080">
        <v>56800</v>
      </c>
      <c r="N2080">
        <v>500</v>
      </c>
    </row>
    <row r="2081" spans="1:14" ht="14.4">
      <c r="A2081">
        <v>13387</v>
      </c>
      <c r="B2081">
        <v>13388</v>
      </c>
      <c r="C2081">
        <v>4089</v>
      </c>
      <c r="D2081" t="s">
        <v>871</v>
      </c>
      <c r="E2081" t="s">
        <v>1786</v>
      </c>
      <c r="F2081">
        <v>2832</v>
      </c>
      <c r="G2081" t="s">
        <v>817</v>
      </c>
      <c r="H2081" t="s">
        <v>873</v>
      </c>
      <c r="I2081">
        <v>9755</v>
      </c>
      <c r="J2081">
        <v>9755</v>
      </c>
      <c r="K2081">
        <v>0</v>
      </c>
      <c r="L2081">
        <v>0</v>
      </c>
      <c r="M2081">
        <v>0</v>
      </c>
      <c r="N2081">
        <v>0</v>
      </c>
    </row>
    <row r="2082" spans="1:14" ht="14.4">
      <c r="A2082">
        <v>13387</v>
      </c>
      <c r="B2082">
        <v>13388</v>
      </c>
      <c r="C2082">
        <v>4089</v>
      </c>
      <c r="D2082" t="s">
        <v>871</v>
      </c>
      <c r="E2082" t="s">
        <v>1787</v>
      </c>
      <c r="F2082">
        <v>2879</v>
      </c>
      <c r="G2082" t="s">
        <v>817</v>
      </c>
      <c r="H2082" t="s">
        <v>873</v>
      </c>
      <c r="I2082">
        <v>2891</v>
      </c>
      <c r="J2082">
        <v>2891</v>
      </c>
      <c r="K2082">
        <v>0</v>
      </c>
      <c r="L2082">
        <v>0</v>
      </c>
      <c r="M2082">
        <v>0</v>
      </c>
      <c r="N2082">
        <v>0</v>
      </c>
    </row>
    <row r="2083" spans="1:14" ht="14.4">
      <c r="A2083">
        <v>13387</v>
      </c>
      <c r="B2083">
        <v>13388</v>
      </c>
      <c r="C2083">
        <v>4089</v>
      </c>
      <c r="D2083" t="s">
        <v>871</v>
      </c>
      <c r="E2083" t="s">
        <v>226</v>
      </c>
      <c r="F2083">
        <v>2842</v>
      </c>
      <c r="G2083" t="s">
        <v>655</v>
      </c>
      <c r="H2083" t="s">
        <v>873</v>
      </c>
      <c r="I2083">
        <v>37964</v>
      </c>
      <c r="J2083">
        <v>37964</v>
      </c>
      <c r="K2083">
        <v>0</v>
      </c>
      <c r="L2083">
        <v>0</v>
      </c>
      <c r="M2083">
        <v>0</v>
      </c>
      <c r="N2083">
        <v>0</v>
      </c>
    </row>
    <row r="2084" spans="1:14" ht="14.4">
      <c r="A2084">
        <v>13387</v>
      </c>
      <c r="B2084">
        <v>13388</v>
      </c>
      <c r="C2084">
        <v>4089</v>
      </c>
      <c r="D2084" t="s">
        <v>871</v>
      </c>
      <c r="E2084" t="s">
        <v>874</v>
      </c>
      <c r="F2084">
        <v>2879</v>
      </c>
      <c r="G2084" t="s">
        <v>817</v>
      </c>
      <c r="H2084" t="s">
        <v>873</v>
      </c>
      <c r="I2084">
        <v>88016</v>
      </c>
      <c r="J2084">
        <v>50966</v>
      </c>
      <c r="K2084">
        <v>37050</v>
      </c>
      <c r="L2084">
        <v>88100</v>
      </c>
      <c r="M2084">
        <v>51000</v>
      </c>
      <c r="N2084">
        <v>37100</v>
      </c>
    </row>
    <row r="2085" spans="1:14" ht="14.4">
      <c r="A2085">
        <v>13387</v>
      </c>
      <c r="B2085">
        <v>13388</v>
      </c>
      <c r="C2085">
        <v>4089</v>
      </c>
      <c r="D2085" t="s">
        <v>871</v>
      </c>
      <c r="E2085" t="s">
        <v>874</v>
      </c>
      <c r="F2085">
        <v>2882</v>
      </c>
      <c r="G2085" t="s">
        <v>817</v>
      </c>
      <c r="H2085" t="s">
        <v>873</v>
      </c>
      <c r="I2085">
        <v>219278</v>
      </c>
      <c r="J2085">
        <v>178483</v>
      </c>
      <c r="K2085">
        <v>40795</v>
      </c>
      <c r="L2085">
        <v>123100</v>
      </c>
      <c r="M2085">
        <v>86000</v>
      </c>
      <c r="N2085">
        <v>37100</v>
      </c>
    </row>
    <row r="2086" spans="1:14" ht="14.4">
      <c r="A2086">
        <v>13387</v>
      </c>
      <c r="B2086">
        <v>13388</v>
      </c>
      <c r="C2086">
        <v>4089</v>
      </c>
      <c r="D2086" t="s">
        <v>871</v>
      </c>
      <c r="E2086" t="s">
        <v>655</v>
      </c>
      <c r="F2086">
        <v>2840</v>
      </c>
      <c r="G2086" t="s">
        <v>655</v>
      </c>
      <c r="H2086" t="s">
        <v>873</v>
      </c>
      <c r="I2086">
        <v>116554</v>
      </c>
      <c r="J2086">
        <v>95497</v>
      </c>
      <c r="K2086">
        <v>21057</v>
      </c>
      <c r="L2086">
        <v>16900</v>
      </c>
      <c r="M2086">
        <v>16900</v>
      </c>
      <c r="N2086">
        <v>0</v>
      </c>
    </row>
    <row r="2087" spans="1:14" ht="14.4">
      <c r="A2087">
        <v>13387</v>
      </c>
      <c r="B2087">
        <v>13388</v>
      </c>
      <c r="C2087">
        <v>4089</v>
      </c>
      <c r="D2087" t="s">
        <v>871</v>
      </c>
      <c r="E2087" t="s">
        <v>1788</v>
      </c>
      <c r="F2087">
        <v>2852</v>
      </c>
      <c r="G2087" t="s">
        <v>817</v>
      </c>
      <c r="H2087" t="s">
        <v>873</v>
      </c>
      <c r="I2087">
        <v>119893</v>
      </c>
      <c r="J2087">
        <v>88693</v>
      </c>
      <c r="K2087">
        <v>31200</v>
      </c>
      <c r="L2087">
        <v>56400</v>
      </c>
      <c r="M2087">
        <v>50600</v>
      </c>
      <c r="N2087">
        <v>5800</v>
      </c>
    </row>
    <row r="2088" spans="1:14" ht="14.4">
      <c r="A2088">
        <v>13387</v>
      </c>
      <c r="B2088">
        <v>13388</v>
      </c>
      <c r="C2088">
        <v>4089</v>
      </c>
      <c r="D2088" t="s">
        <v>871</v>
      </c>
      <c r="E2088" t="s">
        <v>1789</v>
      </c>
      <c r="F2088">
        <v>2879</v>
      </c>
      <c r="G2088" t="s">
        <v>817</v>
      </c>
      <c r="H2088" t="s">
        <v>873</v>
      </c>
      <c r="I2088">
        <v>9150</v>
      </c>
      <c r="J2088">
        <v>9150</v>
      </c>
      <c r="K2088">
        <v>0</v>
      </c>
      <c r="L2088">
        <v>2700</v>
      </c>
      <c r="M2088">
        <v>2700</v>
      </c>
      <c r="N2088">
        <v>0</v>
      </c>
    </row>
    <row r="2089" spans="1:14" ht="14.4">
      <c r="A2089">
        <v>13387</v>
      </c>
      <c r="B2089">
        <v>13388</v>
      </c>
      <c r="C2089">
        <v>4089</v>
      </c>
      <c r="D2089" t="s">
        <v>871</v>
      </c>
      <c r="E2089" t="s">
        <v>1790</v>
      </c>
      <c r="F2089">
        <v>2871</v>
      </c>
      <c r="G2089" t="s">
        <v>655</v>
      </c>
      <c r="H2089" t="s">
        <v>873</v>
      </c>
      <c r="I2089">
        <v>172097</v>
      </c>
      <c r="J2089">
        <v>140747</v>
      </c>
      <c r="K2089">
        <v>31350</v>
      </c>
      <c r="L2089">
        <v>57500</v>
      </c>
      <c r="M2089">
        <v>41600</v>
      </c>
      <c r="N2089">
        <v>15900</v>
      </c>
    </row>
    <row r="2090" spans="1:14" ht="14.4">
      <c r="A2090">
        <v>13387</v>
      </c>
      <c r="B2090">
        <v>13388</v>
      </c>
      <c r="C2090">
        <v>4089</v>
      </c>
      <c r="D2090" t="s">
        <v>871</v>
      </c>
      <c r="E2090" t="s">
        <v>875</v>
      </c>
      <c r="F2090">
        <v>2879</v>
      </c>
      <c r="G2090" t="s">
        <v>817</v>
      </c>
      <c r="H2090" t="s">
        <v>873</v>
      </c>
      <c r="I2090">
        <v>44253</v>
      </c>
      <c r="J2090">
        <v>35453</v>
      </c>
      <c r="K2090">
        <v>8800</v>
      </c>
      <c r="L2090">
        <v>44300</v>
      </c>
      <c r="M2090">
        <v>35500</v>
      </c>
      <c r="N2090">
        <v>8800</v>
      </c>
    </row>
    <row r="2091" spans="1:14" ht="14.4">
      <c r="A2091">
        <v>13387</v>
      </c>
      <c r="B2091">
        <v>13388</v>
      </c>
      <c r="C2091">
        <v>4089</v>
      </c>
      <c r="D2091" t="s">
        <v>871</v>
      </c>
      <c r="E2091" t="s">
        <v>1791</v>
      </c>
      <c r="F2091">
        <v>2878</v>
      </c>
      <c r="G2091" t="s">
        <v>655</v>
      </c>
      <c r="H2091" t="s">
        <v>873</v>
      </c>
      <c r="I2091">
        <v>39551</v>
      </c>
      <c r="J2091">
        <v>39551</v>
      </c>
      <c r="K2091">
        <v>0</v>
      </c>
      <c r="L2091">
        <v>31800</v>
      </c>
      <c r="M2091">
        <v>31800</v>
      </c>
      <c r="N2091">
        <v>0</v>
      </c>
    </row>
    <row r="2092" spans="1:14" ht="14.4">
      <c r="A2092">
        <v>13387</v>
      </c>
      <c r="B2092">
        <v>13388</v>
      </c>
      <c r="C2092">
        <v>4089</v>
      </c>
      <c r="D2092" t="s">
        <v>871</v>
      </c>
      <c r="E2092" t="s">
        <v>876</v>
      </c>
      <c r="F2092">
        <v>2879</v>
      </c>
      <c r="G2092" t="s">
        <v>817</v>
      </c>
      <c r="H2092" t="s">
        <v>873</v>
      </c>
      <c r="I2092">
        <v>405397</v>
      </c>
      <c r="J2092">
        <v>360922</v>
      </c>
      <c r="K2092">
        <v>44475</v>
      </c>
      <c r="L2092">
        <v>91500</v>
      </c>
      <c r="M2092">
        <v>53000</v>
      </c>
      <c r="N2092">
        <v>38500</v>
      </c>
    </row>
    <row r="2093" spans="1:14" ht="14.4">
      <c r="A2093">
        <v>13387</v>
      </c>
      <c r="B2093">
        <v>13388</v>
      </c>
      <c r="C2093">
        <v>4089</v>
      </c>
      <c r="D2093" t="s">
        <v>871</v>
      </c>
      <c r="E2093" t="s">
        <v>877</v>
      </c>
      <c r="F2093">
        <v>2891</v>
      </c>
      <c r="G2093" t="s">
        <v>817</v>
      </c>
      <c r="H2093" t="s">
        <v>873</v>
      </c>
      <c r="I2093">
        <v>1717665</v>
      </c>
      <c r="J2093">
        <v>1265220</v>
      </c>
      <c r="K2093">
        <v>452445</v>
      </c>
      <c r="L2093">
        <v>708400</v>
      </c>
      <c r="M2093">
        <v>526300</v>
      </c>
      <c r="N2093">
        <v>182100</v>
      </c>
    </row>
    <row r="2094" spans="1:14" ht="14.4">
      <c r="A2094">
        <v>13425</v>
      </c>
      <c r="B2094">
        <v>13426</v>
      </c>
      <c r="C2094">
        <v>4091</v>
      </c>
      <c r="D2094" t="s">
        <v>878</v>
      </c>
      <c r="F2094">
        <v>21817</v>
      </c>
      <c r="G2094" t="s">
        <v>413</v>
      </c>
      <c r="H2094" t="s">
        <v>880</v>
      </c>
      <c r="I2094">
        <v>26873</v>
      </c>
      <c r="J2094">
        <v>25873</v>
      </c>
      <c r="K2094">
        <v>1000</v>
      </c>
      <c r="L2094">
        <v>0</v>
      </c>
      <c r="M2094">
        <v>0</v>
      </c>
      <c r="N2094">
        <v>0</v>
      </c>
    </row>
    <row r="2095" spans="1:14" ht="14.4">
      <c r="A2095">
        <v>13425</v>
      </c>
      <c r="B2095">
        <v>13426</v>
      </c>
      <c r="C2095">
        <v>4091</v>
      </c>
      <c r="D2095" t="s">
        <v>878</v>
      </c>
      <c r="E2095" t="s">
        <v>1792</v>
      </c>
      <c r="F2095">
        <v>21821</v>
      </c>
      <c r="G2095" t="s">
        <v>413</v>
      </c>
      <c r="H2095" t="s">
        <v>880</v>
      </c>
      <c r="I2095">
        <v>239303</v>
      </c>
      <c r="J2095">
        <v>222828</v>
      </c>
      <c r="K2095">
        <v>16475</v>
      </c>
      <c r="L2095">
        <v>104200</v>
      </c>
      <c r="M2095">
        <v>88100</v>
      </c>
      <c r="N2095">
        <v>16100</v>
      </c>
    </row>
    <row r="2096" spans="1:14" ht="14.4">
      <c r="A2096">
        <v>13425</v>
      </c>
      <c r="B2096">
        <v>13426</v>
      </c>
      <c r="C2096">
        <v>4091</v>
      </c>
      <c r="D2096" t="s">
        <v>878</v>
      </c>
      <c r="E2096" t="s">
        <v>1793</v>
      </c>
      <c r="F2096">
        <v>21817</v>
      </c>
      <c r="G2096" t="s">
        <v>413</v>
      </c>
      <c r="H2096" t="s">
        <v>880</v>
      </c>
      <c r="I2096">
        <v>60900</v>
      </c>
      <c r="J2096">
        <v>60400</v>
      </c>
      <c r="K2096">
        <v>500</v>
      </c>
      <c r="L2096">
        <v>14500</v>
      </c>
      <c r="M2096">
        <v>14500</v>
      </c>
      <c r="N2096">
        <v>0</v>
      </c>
    </row>
    <row r="2097" spans="1:14" ht="14.4">
      <c r="A2097">
        <v>13425</v>
      </c>
      <c r="B2097">
        <v>13426</v>
      </c>
      <c r="C2097">
        <v>4091</v>
      </c>
      <c r="D2097" t="s">
        <v>878</v>
      </c>
      <c r="E2097" t="s">
        <v>879</v>
      </c>
      <c r="F2097">
        <v>21817</v>
      </c>
      <c r="G2097" t="s">
        <v>413</v>
      </c>
      <c r="H2097" t="s">
        <v>880</v>
      </c>
      <c r="I2097">
        <v>3704423</v>
      </c>
      <c r="J2097">
        <v>2492733</v>
      </c>
      <c r="K2097">
        <v>1211690</v>
      </c>
      <c r="L2097">
        <v>1264400</v>
      </c>
      <c r="M2097">
        <v>808700</v>
      </c>
      <c r="N2097">
        <v>455700</v>
      </c>
    </row>
    <row r="2098" spans="1:14" ht="14.4">
      <c r="A2098">
        <v>13425</v>
      </c>
      <c r="B2098">
        <v>13426</v>
      </c>
      <c r="C2098">
        <v>4091</v>
      </c>
      <c r="D2098" t="s">
        <v>878</v>
      </c>
      <c r="E2098" t="s">
        <v>1794</v>
      </c>
      <c r="F2098">
        <v>21817</v>
      </c>
      <c r="G2098" t="s">
        <v>413</v>
      </c>
      <c r="H2098" t="s">
        <v>880</v>
      </c>
      <c r="I2098">
        <v>12450</v>
      </c>
      <c r="J2098">
        <v>0</v>
      </c>
      <c r="K2098">
        <v>12450</v>
      </c>
      <c r="L2098">
        <v>0</v>
      </c>
      <c r="M2098">
        <v>0</v>
      </c>
      <c r="N2098">
        <v>0</v>
      </c>
    </row>
    <row r="2099" spans="1:14" ht="14.4">
      <c r="A2099">
        <v>13425</v>
      </c>
      <c r="B2099">
        <v>13426</v>
      </c>
      <c r="C2099">
        <v>4091</v>
      </c>
      <c r="D2099" t="s">
        <v>878</v>
      </c>
      <c r="E2099" t="s">
        <v>881</v>
      </c>
      <c r="F2099">
        <v>21821</v>
      </c>
      <c r="G2099" t="s">
        <v>413</v>
      </c>
      <c r="H2099" t="s">
        <v>880</v>
      </c>
      <c r="I2099">
        <v>217344</v>
      </c>
      <c r="J2099">
        <v>188319</v>
      </c>
      <c r="K2099">
        <v>29025</v>
      </c>
      <c r="L2099">
        <v>130300</v>
      </c>
      <c r="M2099">
        <v>116400</v>
      </c>
      <c r="N2099">
        <v>13900</v>
      </c>
    </row>
    <row r="2100" spans="1:14" ht="14.4">
      <c r="A2100">
        <v>13425</v>
      </c>
      <c r="B2100">
        <v>13426</v>
      </c>
      <c r="C2100">
        <v>4091</v>
      </c>
      <c r="D2100" t="s">
        <v>878</v>
      </c>
      <c r="E2100" t="s">
        <v>882</v>
      </c>
      <c r="F2100">
        <v>21824</v>
      </c>
      <c r="G2100" t="s">
        <v>413</v>
      </c>
      <c r="H2100" t="s">
        <v>880</v>
      </c>
      <c r="I2100">
        <v>265833</v>
      </c>
      <c r="J2100">
        <v>258258</v>
      </c>
      <c r="K2100">
        <v>7575</v>
      </c>
      <c r="L2100">
        <v>74800</v>
      </c>
      <c r="M2100">
        <v>67200</v>
      </c>
      <c r="N2100">
        <v>7600</v>
      </c>
    </row>
    <row r="2101" spans="1:14" ht="14.4">
      <c r="A2101">
        <v>13425</v>
      </c>
      <c r="B2101">
        <v>13426</v>
      </c>
      <c r="C2101">
        <v>4091</v>
      </c>
      <c r="D2101" t="s">
        <v>878</v>
      </c>
      <c r="E2101" t="s">
        <v>1795</v>
      </c>
      <c r="F2101">
        <v>21838</v>
      </c>
      <c r="G2101" t="s">
        <v>413</v>
      </c>
      <c r="H2101" t="s">
        <v>880</v>
      </c>
      <c r="I2101">
        <v>375488</v>
      </c>
      <c r="J2101">
        <v>277003</v>
      </c>
      <c r="K2101">
        <v>98485</v>
      </c>
      <c r="L2101">
        <v>0</v>
      </c>
      <c r="M2101">
        <v>0</v>
      </c>
      <c r="N2101">
        <v>0</v>
      </c>
    </row>
    <row r="2102" spans="1:14" ht="14.4">
      <c r="A2102">
        <v>13425</v>
      </c>
      <c r="B2102">
        <v>13426</v>
      </c>
      <c r="C2102">
        <v>4091</v>
      </c>
      <c r="D2102" t="s">
        <v>878</v>
      </c>
      <c r="E2102" t="s">
        <v>883</v>
      </c>
      <c r="F2102">
        <v>21838</v>
      </c>
      <c r="G2102" t="s">
        <v>413</v>
      </c>
      <c r="H2102" t="s">
        <v>880</v>
      </c>
      <c r="I2102">
        <v>779579</v>
      </c>
      <c r="J2102">
        <v>597792</v>
      </c>
      <c r="K2102">
        <v>181787</v>
      </c>
      <c r="L2102">
        <v>49600</v>
      </c>
      <c r="M2102">
        <v>48600</v>
      </c>
      <c r="N2102">
        <v>1000</v>
      </c>
    </row>
    <row r="2103" spans="1:14" ht="14.4">
      <c r="A2103">
        <v>13425</v>
      </c>
      <c r="B2103">
        <v>13426</v>
      </c>
      <c r="C2103">
        <v>4091</v>
      </c>
      <c r="D2103" t="s">
        <v>878</v>
      </c>
      <c r="E2103" t="s">
        <v>884</v>
      </c>
      <c r="F2103">
        <v>21851</v>
      </c>
      <c r="G2103" t="s">
        <v>413</v>
      </c>
      <c r="H2103" t="s">
        <v>880</v>
      </c>
      <c r="I2103">
        <v>82870</v>
      </c>
      <c r="J2103">
        <v>79870</v>
      </c>
      <c r="K2103">
        <v>3000</v>
      </c>
      <c r="L2103">
        <v>0</v>
      </c>
      <c r="M2103">
        <v>0</v>
      </c>
      <c r="N2103">
        <v>0</v>
      </c>
    </row>
    <row r="2104" spans="1:14" ht="14.4">
      <c r="A2104">
        <v>13425</v>
      </c>
      <c r="B2104">
        <v>13426</v>
      </c>
      <c r="C2104">
        <v>4091</v>
      </c>
      <c r="D2104" t="s">
        <v>878</v>
      </c>
      <c r="E2104" t="s">
        <v>1796</v>
      </c>
      <c r="F2104">
        <v>21853</v>
      </c>
      <c r="G2104" t="s">
        <v>413</v>
      </c>
      <c r="H2104" t="s">
        <v>880</v>
      </c>
      <c r="I2104">
        <v>10681</v>
      </c>
      <c r="J2104">
        <v>7131</v>
      </c>
      <c r="K2104">
        <v>3550</v>
      </c>
      <c r="L2104">
        <v>10700</v>
      </c>
      <c r="M2104">
        <v>7200</v>
      </c>
      <c r="N2104">
        <v>3500</v>
      </c>
    </row>
    <row r="2105" spans="1:14" ht="14.4">
      <c r="A2105">
        <v>13425</v>
      </c>
      <c r="B2105">
        <v>13426</v>
      </c>
      <c r="C2105">
        <v>4091</v>
      </c>
      <c r="D2105" t="s">
        <v>878</v>
      </c>
      <c r="E2105" t="s">
        <v>1797</v>
      </c>
      <c r="F2105">
        <v>21853</v>
      </c>
      <c r="G2105" t="s">
        <v>413</v>
      </c>
      <c r="H2105" t="s">
        <v>880</v>
      </c>
      <c r="I2105">
        <v>95393</v>
      </c>
      <c r="J2105">
        <v>59603</v>
      </c>
      <c r="K2105">
        <v>35790</v>
      </c>
      <c r="L2105">
        <v>0</v>
      </c>
      <c r="M2105">
        <v>0</v>
      </c>
      <c r="N2105">
        <v>0</v>
      </c>
    </row>
    <row r="2106" spans="1:14" ht="14.4">
      <c r="A2106">
        <v>13425</v>
      </c>
      <c r="B2106">
        <v>13426</v>
      </c>
      <c r="C2106">
        <v>4091</v>
      </c>
      <c r="D2106" t="s">
        <v>878</v>
      </c>
      <c r="E2106" t="s">
        <v>1798</v>
      </c>
      <c r="F2106">
        <v>21853</v>
      </c>
      <c r="G2106" t="s">
        <v>413</v>
      </c>
      <c r="H2106" t="s">
        <v>880</v>
      </c>
      <c r="I2106">
        <v>591790</v>
      </c>
      <c r="J2106">
        <v>500705</v>
      </c>
      <c r="K2106">
        <v>91085</v>
      </c>
      <c r="L2106">
        <v>241900</v>
      </c>
      <c r="M2106">
        <v>221700</v>
      </c>
      <c r="N2106">
        <v>20200</v>
      </c>
    </row>
    <row r="2107" spans="1:14" ht="14.4">
      <c r="A2107">
        <v>13425</v>
      </c>
      <c r="B2107">
        <v>13426</v>
      </c>
      <c r="C2107">
        <v>4091</v>
      </c>
      <c r="D2107" t="s">
        <v>878</v>
      </c>
      <c r="E2107" t="s">
        <v>885</v>
      </c>
      <c r="F2107">
        <v>21866</v>
      </c>
      <c r="G2107" t="s">
        <v>413</v>
      </c>
      <c r="H2107" t="s">
        <v>880</v>
      </c>
      <c r="I2107">
        <v>18691</v>
      </c>
      <c r="J2107">
        <v>18691</v>
      </c>
      <c r="K2107">
        <v>0</v>
      </c>
      <c r="L2107">
        <v>8400</v>
      </c>
      <c r="M2107">
        <v>8400</v>
      </c>
      <c r="N2107">
        <v>0</v>
      </c>
    </row>
    <row r="2108" spans="1:14" ht="14.4">
      <c r="A2108">
        <v>13425</v>
      </c>
      <c r="B2108">
        <v>13426</v>
      </c>
      <c r="C2108">
        <v>4091</v>
      </c>
      <c r="D2108" t="s">
        <v>878</v>
      </c>
      <c r="E2108" t="s">
        <v>1799</v>
      </c>
      <c r="F2108">
        <v>21867</v>
      </c>
      <c r="G2108" t="s">
        <v>413</v>
      </c>
      <c r="H2108" t="s">
        <v>880</v>
      </c>
      <c r="I2108">
        <v>11292</v>
      </c>
      <c r="J2108">
        <v>7692</v>
      </c>
      <c r="K2108">
        <v>3600</v>
      </c>
      <c r="L2108">
        <v>8100</v>
      </c>
      <c r="M2108">
        <v>4500</v>
      </c>
      <c r="N2108">
        <v>3600</v>
      </c>
    </row>
    <row r="2109" spans="1:14" ht="14.4">
      <c r="A2109">
        <v>13425</v>
      </c>
      <c r="B2109">
        <v>13426</v>
      </c>
      <c r="C2109">
        <v>4091</v>
      </c>
      <c r="D2109" t="s">
        <v>878</v>
      </c>
      <c r="E2109" t="s">
        <v>887</v>
      </c>
      <c r="F2109">
        <v>21871</v>
      </c>
      <c r="G2109" t="s">
        <v>413</v>
      </c>
      <c r="H2109" t="s">
        <v>880</v>
      </c>
      <c r="I2109">
        <v>635170</v>
      </c>
      <c r="J2109">
        <v>405610</v>
      </c>
      <c r="K2109">
        <v>229560</v>
      </c>
      <c r="L2109">
        <v>143600</v>
      </c>
      <c r="M2109">
        <v>92900</v>
      </c>
      <c r="N2109">
        <v>50700</v>
      </c>
    </row>
    <row r="2110" spans="1:14" ht="14.4">
      <c r="A2110">
        <v>13492</v>
      </c>
      <c r="B2110">
        <v>13493</v>
      </c>
      <c r="C2110">
        <v>4101</v>
      </c>
      <c r="D2110" t="s">
        <v>888</v>
      </c>
      <c r="E2110" t="s">
        <v>1800</v>
      </c>
      <c r="F2110">
        <v>39322</v>
      </c>
      <c r="G2110" t="s">
        <v>819</v>
      </c>
      <c r="H2110" t="s">
        <v>891</v>
      </c>
      <c r="I2110">
        <v>212909</v>
      </c>
      <c r="J2110">
        <v>153559</v>
      </c>
      <c r="K2110">
        <v>59350</v>
      </c>
      <c r="L2110">
        <v>100800</v>
      </c>
      <c r="M2110">
        <v>60800</v>
      </c>
      <c r="N2110">
        <v>40000</v>
      </c>
    </row>
    <row r="2111" spans="1:14" ht="14.4">
      <c r="A2111">
        <v>13492</v>
      </c>
      <c r="B2111">
        <v>13493</v>
      </c>
      <c r="C2111">
        <v>4101</v>
      </c>
      <c r="D2111" t="s">
        <v>888</v>
      </c>
      <c r="E2111" t="s">
        <v>62</v>
      </c>
      <c r="F2111">
        <v>39429</v>
      </c>
      <c r="G2111" t="s">
        <v>1795</v>
      </c>
      <c r="H2111" t="s">
        <v>891</v>
      </c>
      <c r="I2111">
        <v>69633</v>
      </c>
      <c r="J2111">
        <v>69633</v>
      </c>
      <c r="K2111">
        <v>0</v>
      </c>
      <c r="L2111">
        <v>0</v>
      </c>
      <c r="M2111">
        <v>0</v>
      </c>
      <c r="N2111">
        <v>0</v>
      </c>
    </row>
    <row r="2112" spans="1:14" ht="14.4">
      <c r="A2112">
        <v>13492</v>
      </c>
      <c r="B2112">
        <v>13493</v>
      </c>
      <c r="C2112">
        <v>4101</v>
      </c>
      <c r="D2112" t="s">
        <v>888</v>
      </c>
      <c r="E2112" t="s">
        <v>889</v>
      </c>
      <c r="F2112">
        <v>39401</v>
      </c>
      <c r="G2112" t="s">
        <v>890</v>
      </c>
      <c r="H2112" t="s">
        <v>891</v>
      </c>
      <c r="I2112">
        <v>3803190</v>
      </c>
      <c r="J2112">
        <v>2889118</v>
      </c>
      <c r="K2112">
        <v>914072</v>
      </c>
      <c r="L2112">
        <v>835300</v>
      </c>
      <c r="M2112">
        <v>618400</v>
      </c>
      <c r="N2112">
        <v>216900</v>
      </c>
    </row>
    <row r="2113" spans="1:14" ht="14.4">
      <c r="A2113">
        <v>13492</v>
      </c>
      <c r="B2113">
        <v>13493</v>
      </c>
      <c r="C2113">
        <v>4101</v>
      </c>
      <c r="D2113" t="s">
        <v>888</v>
      </c>
      <c r="E2113" t="s">
        <v>889</v>
      </c>
      <c r="F2113">
        <v>39401</v>
      </c>
      <c r="G2113" t="s">
        <v>892</v>
      </c>
      <c r="H2113" t="s">
        <v>891</v>
      </c>
      <c r="I2113">
        <v>158939</v>
      </c>
      <c r="J2113">
        <v>106464</v>
      </c>
      <c r="K2113">
        <v>52475</v>
      </c>
      <c r="L2113">
        <v>33600</v>
      </c>
      <c r="M2113">
        <v>33600</v>
      </c>
      <c r="N2113">
        <v>0</v>
      </c>
    </row>
    <row r="2114" spans="1:14" ht="14.4">
      <c r="A2114">
        <v>13492</v>
      </c>
      <c r="B2114">
        <v>13493</v>
      </c>
      <c r="C2114">
        <v>4101</v>
      </c>
      <c r="D2114" t="s">
        <v>888</v>
      </c>
      <c r="E2114" t="s">
        <v>889</v>
      </c>
      <c r="F2114">
        <v>39402</v>
      </c>
      <c r="G2114" t="s">
        <v>890</v>
      </c>
      <c r="H2114" t="s">
        <v>891</v>
      </c>
      <c r="I2114">
        <v>1109513</v>
      </c>
      <c r="J2114">
        <v>839088</v>
      </c>
      <c r="K2114">
        <v>270425</v>
      </c>
      <c r="L2114">
        <v>168300</v>
      </c>
      <c r="M2114">
        <v>89600</v>
      </c>
      <c r="N2114">
        <v>78700</v>
      </c>
    </row>
    <row r="2115" spans="1:14" ht="14.4">
      <c r="A2115">
        <v>13492</v>
      </c>
      <c r="B2115">
        <v>13493</v>
      </c>
      <c r="C2115">
        <v>4101</v>
      </c>
      <c r="D2115" t="s">
        <v>888</v>
      </c>
      <c r="E2115" t="s">
        <v>889</v>
      </c>
      <c r="F2115">
        <v>39402</v>
      </c>
      <c r="G2115" t="s">
        <v>892</v>
      </c>
      <c r="H2115" t="s">
        <v>891</v>
      </c>
      <c r="I2115">
        <v>4483612</v>
      </c>
      <c r="J2115">
        <v>3571657</v>
      </c>
      <c r="K2115">
        <v>911955</v>
      </c>
      <c r="L2115">
        <v>1473700</v>
      </c>
      <c r="M2115">
        <v>1134800</v>
      </c>
      <c r="N2115">
        <v>338900</v>
      </c>
    </row>
    <row r="2116" spans="1:14" ht="14.4">
      <c r="A2116">
        <v>13492</v>
      </c>
      <c r="B2116">
        <v>13493</v>
      </c>
      <c r="C2116">
        <v>4101</v>
      </c>
      <c r="D2116" t="s">
        <v>888</v>
      </c>
      <c r="E2116" t="s">
        <v>889</v>
      </c>
      <c r="F2116">
        <v>39404</v>
      </c>
      <c r="G2116" t="s">
        <v>890</v>
      </c>
      <c r="H2116" t="s">
        <v>891</v>
      </c>
      <c r="I2116">
        <v>7600</v>
      </c>
      <c r="J2116">
        <v>0</v>
      </c>
      <c r="K2116">
        <v>7600</v>
      </c>
      <c r="L2116">
        <v>6600</v>
      </c>
      <c r="M2116">
        <v>0</v>
      </c>
      <c r="N2116">
        <v>6600</v>
      </c>
    </row>
    <row r="2117" spans="1:14" ht="14.4">
      <c r="A2117">
        <v>13492</v>
      </c>
      <c r="B2117">
        <v>13493</v>
      </c>
      <c r="C2117">
        <v>4101</v>
      </c>
      <c r="D2117" t="s">
        <v>888</v>
      </c>
      <c r="E2117" t="s">
        <v>889</v>
      </c>
      <c r="F2117">
        <v>39406</v>
      </c>
      <c r="G2117" t="s">
        <v>890</v>
      </c>
      <c r="H2117" t="s">
        <v>891</v>
      </c>
      <c r="I2117">
        <v>10090</v>
      </c>
      <c r="J2117">
        <v>0</v>
      </c>
      <c r="K2117">
        <v>10090</v>
      </c>
      <c r="L2117">
        <v>10100</v>
      </c>
      <c r="M2117">
        <v>0</v>
      </c>
      <c r="N2117">
        <v>10100</v>
      </c>
    </row>
    <row r="2118" spans="1:14" ht="14.4">
      <c r="A2118">
        <v>13492</v>
      </c>
      <c r="B2118">
        <v>13493</v>
      </c>
      <c r="C2118">
        <v>4101</v>
      </c>
      <c r="D2118" t="s">
        <v>888</v>
      </c>
      <c r="E2118" t="s">
        <v>1801</v>
      </c>
      <c r="F2118">
        <v>39456</v>
      </c>
      <c r="G2118" t="s">
        <v>70</v>
      </c>
      <c r="H2118" t="s">
        <v>891</v>
      </c>
      <c r="I2118">
        <v>23580</v>
      </c>
      <c r="J2118">
        <v>12305</v>
      </c>
      <c r="K2118">
        <v>11275</v>
      </c>
      <c r="L2118">
        <v>12600</v>
      </c>
      <c r="M2118">
        <v>12400</v>
      </c>
      <c r="N2118">
        <v>200</v>
      </c>
    </row>
    <row r="2119" spans="1:14" ht="14.4">
      <c r="A2119">
        <v>13492</v>
      </c>
      <c r="B2119">
        <v>13493</v>
      </c>
      <c r="C2119">
        <v>4101</v>
      </c>
      <c r="D2119" t="s">
        <v>888</v>
      </c>
      <c r="E2119" t="s">
        <v>1802</v>
      </c>
      <c r="F2119">
        <v>39464</v>
      </c>
      <c r="G2119" t="s">
        <v>1803</v>
      </c>
      <c r="H2119" t="s">
        <v>891</v>
      </c>
      <c r="I2119">
        <v>35635</v>
      </c>
      <c r="J2119">
        <v>24885</v>
      </c>
      <c r="K2119">
        <v>10750</v>
      </c>
      <c r="L2119">
        <v>0</v>
      </c>
      <c r="M2119">
        <v>0</v>
      </c>
      <c r="N2119">
        <v>0</v>
      </c>
    </row>
    <row r="2120" spans="1:14" ht="14.4">
      <c r="A2120">
        <v>13492</v>
      </c>
      <c r="B2120">
        <v>13493</v>
      </c>
      <c r="C2120">
        <v>4101</v>
      </c>
      <c r="D2120" t="s">
        <v>888</v>
      </c>
      <c r="E2120" t="s">
        <v>893</v>
      </c>
      <c r="F2120">
        <v>39465</v>
      </c>
      <c r="G2120" t="s">
        <v>890</v>
      </c>
      <c r="H2120" t="s">
        <v>891</v>
      </c>
      <c r="I2120">
        <v>2542515</v>
      </c>
      <c r="J2120">
        <v>1824198</v>
      </c>
      <c r="K2120">
        <v>718317</v>
      </c>
      <c r="L2120">
        <v>1174700</v>
      </c>
      <c r="M2120">
        <v>847200</v>
      </c>
      <c r="N2120">
        <v>327500</v>
      </c>
    </row>
    <row r="2121" spans="1:14" ht="14.4">
      <c r="A2121">
        <v>13492</v>
      </c>
      <c r="B2121">
        <v>13493</v>
      </c>
      <c r="C2121">
        <v>4101</v>
      </c>
      <c r="D2121" t="s">
        <v>888</v>
      </c>
      <c r="E2121" t="s">
        <v>736</v>
      </c>
      <c r="F2121">
        <v>39478</v>
      </c>
      <c r="G2121" t="s">
        <v>1795</v>
      </c>
      <c r="H2121" t="s">
        <v>891</v>
      </c>
      <c r="I2121">
        <v>29780</v>
      </c>
      <c r="J2121">
        <v>24230</v>
      </c>
      <c r="K2121">
        <v>5550</v>
      </c>
      <c r="L2121">
        <v>26000</v>
      </c>
      <c r="M2121">
        <v>20500</v>
      </c>
      <c r="N2121">
        <v>5500</v>
      </c>
    </row>
    <row r="2122" spans="1:14" ht="14.4">
      <c r="A2122">
        <v>13492</v>
      </c>
      <c r="B2122">
        <v>13493</v>
      </c>
      <c r="C2122">
        <v>4101</v>
      </c>
      <c r="D2122" t="s">
        <v>888</v>
      </c>
      <c r="E2122" t="s">
        <v>896</v>
      </c>
      <c r="F2122">
        <v>39367</v>
      </c>
      <c r="G2122" t="s">
        <v>819</v>
      </c>
      <c r="H2122" t="s">
        <v>891</v>
      </c>
      <c r="I2122">
        <v>378683</v>
      </c>
      <c r="J2122">
        <v>328008</v>
      </c>
      <c r="K2122">
        <v>50675</v>
      </c>
      <c r="L2122">
        <v>199900</v>
      </c>
      <c r="M2122">
        <v>156300</v>
      </c>
      <c r="N2122">
        <v>43600</v>
      </c>
    </row>
    <row r="2123" spans="1:14" ht="14.4">
      <c r="A2123">
        <v>13559</v>
      </c>
      <c r="B2123">
        <v>13560</v>
      </c>
      <c r="C2123">
        <v>3363</v>
      </c>
      <c r="D2123" t="s">
        <v>1804</v>
      </c>
      <c r="E2123" t="s">
        <v>1805</v>
      </c>
      <c r="F2123">
        <v>76645</v>
      </c>
      <c r="G2123" t="s">
        <v>1806</v>
      </c>
      <c r="H2123" t="s">
        <v>1807</v>
      </c>
      <c r="I2123">
        <v>21837</v>
      </c>
      <c r="J2123">
        <v>21837</v>
      </c>
      <c r="K2123">
        <v>0</v>
      </c>
      <c r="L2123">
        <v>9900</v>
      </c>
      <c r="M2123">
        <v>9900</v>
      </c>
      <c r="N2123">
        <v>0</v>
      </c>
    </row>
    <row r="2124" spans="1:14" ht="14.4">
      <c r="A2124">
        <v>13559</v>
      </c>
      <c r="B2124">
        <v>13560</v>
      </c>
      <c r="C2124">
        <v>3363</v>
      </c>
      <c r="D2124" t="s">
        <v>1804</v>
      </c>
      <c r="E2124" t="s">
        <v>1406</v>
      </c>
      <c r="F2124">
        <v>76691</v>
      </c>
      <c r="G2124" t="s">
        <v>1808</v>
      </c>
      <c r="H2124" t="s">
        <v>1807</v>
      </c>
      <c r="I2124">
        <v>28525719</v>
      </c>
      <c r="J2124">
        <v>21885268</v>
      </c>
      <c r="K2124">
        <v>6640451</v>
      </c>
      <c r="L2124">
        <v>8432800</v>
      </c>
      <c r="M2124">
        <v>6630800</v>
      </c>
      <c r="N2124">
        <v>1802000</v>
      </c>
    </row>
    <row r="2125" spans="1:14" ht="14.4">
      <c r="A2125">
        <v>13579</v>
      </c>
      <c r="B2125">
        <v>13580</v>
      </c>
      <c r="C2125">
        <v>4116</v>
      </c>
      <c r="D2125" t="s">
        <v>897</v>
      </c>
      <c r="E2125" t="s">
        <v>1809</v>
      </c>
      <c r="F2125">
        <v>61410</v>
      </c>
      <c r="G2125" t="s">
        <v>946</v>
      </c>
      <c r="H2125" t="s">
        <v>900</v>
      </c>
      <c r="I2125">
        <v>99953</v>
      </c>
      <c r="J2125">
        <v>73763</v>
      </c>
      <c r="K2125">
        <v>26190</v>
      </c>
      <c r="L2125">
        <v>56000</v>
      </c>
      <c r="M2125">
        <v>37400</v>
      </c>
      <c r="N2125">
        <v>18600</v>
      </c>
    </row>
    <row r="2126" spans="1:14" ht="14.4">
      <c r="A2126">
        <v>13579</v>
      </c>
      <c r="B2126">
        <v>13580</v>
      </c>
      <c r="C2126">
        <v>4116</v>
      </c>
      <c r="D2126" t="s">
        <v>897</v>
      </c>
      <c r="E2126" t="s">
        <v>1810</v>
      </c>
      <c r="F2126">
        <v>61411</v>
      </c>
      <c r="G2126" t="s">
        <v>962</v>
      </c>
      <c r="H2126" t="s">
        <v>900</v>
      </c>
      <c r="I2126">
        <v>20837</v>
      </c>
      <c r="J2126">
        <v>13707</v>
      </c>
      <c r="K2126">
        <v>7130</v>
      </c>
      <c r="L2126">
        <v>14000</v>
      </c>
      <c r="M2126">
        <v>13800</v>
      </c>
      <c r="N2126">
        <v>200</v>
      </c>
    </row>
    <row r="2127" spans="1:14" ht="14.4">
      <c r="A2127">
        <v>13579</v>
      </c>
      <c r="B2127">
        <v>13580</v>
      </c>
      <c r="C2127">
        <v>4116</v>
      </c>
      <c r="D2127" t="s">
        <v>897</v>
      </c>
      <c r="E2127" t="s">
        <v>898</v>
      </c>
      <c r="F2127">
        <v>60101</v>
      </c>
      <c r="G2127" t="s">
        <v>899</v>
      </c>
      <c r="H2127" t="s">
        <v>900</v>
      </c>
      <c r="I2127">
        <v>230819</v>
      </c>
      <c r="J2127">
        <v>160444</v>
      </c>
      <c r="K2127">
        <v>70375</v>
      </c>
      <c r="L2127">
        <v>171100</v>
      </c>
      <c r="M2127">
        <v>128600</v>
      </c>
      <c r="N2127">
        <v>42500</v>
      </c>
    </row>
    <row r="2128" spans="1:14" ht="14.4">
      <c r="A2128">
        <v>13579</v>
      </c>
      <c r="B2128">
        <v>13580</v>
      </c>
      <c r="C2128">
        <v>4116</v>
      </c>
      <c r="D2128" t="s">
        <v>897</v>
      </c>
      <c r="E2128" t="s">
        <v>1811</v>
      </c>
      <c r="F2128">
        <v>60102</v>
      </c>
      <c r="G2128" t="s">
        <v>906</v>
      </c>
      <c r="H2128" t="s">
        <v>900</v>
      </c>
      <c r="I2128">
        <v>46680</v>
      </c>
      <c r="J2128">
        <v>39080</v>
      </c>
      <c r="K2128">
        <v>7600</v>
      </c>
      <c r="L2128">
        <v>0</v>
      </c>
      <c r="M2128">
        <v>0</v>
      </c>
      <c r="N2128">
        <v>0</v>
      </c>
    </row>
    <row r="2129" spans="1:14" ht="14.4">
      <c r="A2129">
        <v>13579</v>
      </c>
      <c r="B2129">
        <v>13580</v>
      </c>
      <c r="C2129">
        <v>4116</v>
      </c>
      <c r="D2129" t="s">
        <v>897</v>
      </c>
      <c r="E2129" t="s">
        <v>1811</v>
      </c>
      <c r="F2129">
        <v>60102</v>
      </c>
      <c r="G2129" t="s">
        <v>1812</v>
      </c>
      <c r="H2129" t="s">
        <v>900</v>
      </c>
      <c r="I2129">
        <v>131981</v>
      </c>
      <c r="J2129">
        <v>86076</v>
      </c>
      <c r="K2129">
        <v>45905</v>
      </c>
      <c r="L2129">
        <v>93600</v>
      </c>
      <c r="M2129">
        <v>48800</v>
      </c>
      <c r="N2129">
        <v>44800</v>
      </c>
    </row>
    <row r="2130" spans="1:14" ht="14.4">
      <c r="A2130">
        <v>13579</v>
      </c>
      <c r="B2130">
        <v>13580</v>
      </c>
      <c r="C2130">
        <v>4116</v>
      </c>
      <c r="D2130" t="s">
        <v>897</v>
      </c>
      <c r="E2130" t="s">
        <v>1813</v>
      </c>
      <c r="F2130">
        <v>60803</v>
      </c>
      <c r="G2130" t="s">
        <v>914</v>
      </c>
      <c r="H2130" t="s">
        <v>900</v>
      </c>
      <c r="I2130">
        <v>39355</v>
      </c>
      <c r="J2130">
        <v>15545</v>
      </c>
      <c r="K2130">
        <v>23810</v>
      </c>
      <c r="L2130">
        <v>13000</v>
      </c>
      <c r="M2130">
        <v>6800</v>
      </c>
      <c r="N2130">
        <v>6200</v>
      </c>
    </row>
    <row r="2131" spans="1:14" ht="14.4">
      <c r="A2131">
        <v>13579</v>
      </c>
      <c r="B2131">
        <v>13580</v>
      </c>
      <c r="C2131">
        <v>4116</v>
      </c>
      <c r="D2131" t="s">
        <v>897</v>
      </c>
      <c r="E2131" t="s">
        <v>1814</v>
      </c>
      <c r="F2131">
        <v>61311</v>
      </c>
      <c r="G2131" t="s">
        <v>592</v>
      </c>
      <c r="H2131" t="s">
        <v>900</v>
      </c>
      <c r="I2131">
        <v>27103</v>
      </c>
      <c r="J2131">
        <v>13393</v>
      </c>
      <c r="K2131">
        <v>13710</v>
      </c>
      <c r="L2131">
        <v>24900</v>
      </c>
      <c r="M2131">
        <v>11200</v>
      </c>
      <c r="N2131">
        <v>13700</v>
      </c>
    </row>
    <row r="2132" spans="1:14" ht="14.4">
      <c r="A2132">
        <v>13579</v>
      </c>
      <c r="B2132">
        <v>13580</v>
      </c>
      <c r="C2132">
        <v>4116</v>
      </c>
      <c r="D2132" t="s">
        <v>897</v>
      </c>
      <c r="E2132" t="s">
        <v>901</v>
      </c>
      <c r="F2132">
        <v>60002</v>
      </c>
      <c r="G2132" t="s">
        <v>902</v>
      </c>
      <c r="H2132" t="s">
        <v>900</v>
      </c>
      <c r="I2132">
        <v>114926</v>
      </c>
      <c r="J2132">
        <v>103841</v>
      </c>
      <c r="K2132">
        <v>11085</v>
      </c>
      <c r="L2132">
        <v>38600</v>
      </c>
      <c r="M2132">
        <v>31200</v>
      </c>
      <c r="N2132">
        <v>7400</v>
      </c>
    </row>
    <row r="2133" spans="1:14" ht="14.4">
      <c r="A2133">
        <v>13579</v>
      </c>
      <c r="B2133">
        <v>13580</v>
      </c>
      <c r="C2133">
        <v>4116</v>
      </c>
      <c r="D2133" t="s">
        <v>897</v>
      </c>
      <c r="E2133" t="s">
        <v>1815</v>
      </c>
      <c r="F2133">
        <v>60005</v>
      </c>
      <c r="G2133" t="s">
        <v>914</v>
      </c>
      <c r="H2133" t="s">
        <v>900</v>
      </c>
      <c r="I2133">
        <v>39844</v>
      </c>
      <c r="J2133">
        <v>31169</v>
      </c>
      <c r="K2133">
        <v>8675</v>
      </c>
      <c r="L2133">
        <v>37900</v>
      </c>
      <c r="M2133">
        <v>29200</v>
      </c>
      <c r="N2133">
        <v>8700</v>
      </c>
    </row>
    <row r="2134" spans="1:14" ht="14.4">
      <c r="A2134">
        <v>13579</v>
      </c>
      <c r="B2134">
        <v>13580</v>
      </c>
      <c r="C2134">
        <v>4116</v>
      </c>
      <c r="D2134" t="s">
        <v>897</v>
      </c>
      <c r="E2134" t="s">
        <v>903</v>
      </c>
      <c r="F2134">
        <v>61235</v>
      </c>
      <c r="G2134" t="s">
        <v>904</v>
      </c>
      <c r="H2134" t="s">
        <v>900</v>
      </c>
      <c r="I2134">
        <v>40373</v>
      </c>
      <c r="J2134">
        <v>32748</v>
      </c>
      <c r="K2134">
        <v>7625</v>
      </c>
      <c r="L2134">
        <v>38600</v>
      </c>
      <c r="M2134">
        <v>30900</v>
      </c>
      <c r="N2134">
        <v>7700</v>
      </c>
    </row>
    <row r="2135" spans="1:14" ht="14.4">
      <c r="A2135">
        <v>13579</v>
      </c>
      <c r="B2135">
        <v>13580</v>
      </c>
      <c r="C2135">
        <v>4116</v>
      </c>
      <c r="D2135" t="s">
        <v>897</v>
      </c>
      <c r="E2135" t="s">
        <v>905</v>
      </c>
      <c r="F2135">
        <v>60502</v>
      </c>
      <c r="G2135" t="s">
        <v>899</v>
      </c>
      <c r="H2135" t="s">
        <v>900</v>
      </c>
      <c r="I2135">
        <v>71849</v>
      </c>
      <c r="J2135">
        <v>50524</v>
      </c>
      <c r="K2135">
        <v>21325</v>
      </c>
      <c r="L2135">
        <v>49900</v>
      </c>
      <c r="M2135">
        <v>34300</v>
      </c>
      <c r="N2135">
        <v>15600</v>
      </c>
    </row>
    <row r="2136" spans="1:14" ht="14.4">
      <c r="A2136">
        <v>13579</v>
      </c>
      <c r="B2136">
        <v>13580</v>
      </c>
      <c r="C2136">
        <v>4116</v>
      </c>
      <c r="D2136" t="s">
        <v>897</v>
      </c>
      <c r="E2136" t="s">
        <v>905</v>
      </c>
      <c r="F2136">
        <v>60503</v>
      </c>
      <c r="G2136" t="s">
        <v>906</v>
      </c>
      <c r="H2136" t="s">
        <v>900</v>
      </c>
      <c r="I2136">
        <v>31088</v>
      </c>
      <c r="J2136">
        <v>16713</v>
      </c>
      <c r="K2136">
        <v>14375</v>
      </c>
      <c r="L2136">
        <v>28100</v>
      </c>
      <c r="M2136">
        <v>13800</v>
      </c>
      <c r="N2136">
        <v>14300</v>
      </c>
    </row>
    <row r="2137" spans="1:14" ht="14.4">
      <c r="A2137">
        <v>13579</v>
      </c>
      <c r="B2137">
        <v>13580</v>
      </c>
      <c r="C2137">
        <v>4116</v>
      </c>
      <c r="D2137" t="s">
        <v>897</v>
      </c>
      <c r="E2137" t="s">
        <v>905</v>
      </c>
      <c r="F2137">
        <v>60503</v>
      </c>
      <c r="G2137" t="s">
        <v>973</v>
      </c>
      <c r="H2137" t="s">
        <v>900</v>
      </c>
      <c r="I2137">
        <v>40911</v>
      </c>
      <c r="J2137">
        <v>36691</v>
      </c>
      <c r="K2137">
        <v>4220</v>
      </c>
      <c r="L2137">
        <v>39400</v>
      </c>
      <c r="M2137">
        <v>35200</v>
      </c>
      <c r="N2137">
        <v>4200</v>
      </c>
    </row>
    <row r="2138" spans="1:14" ht="14.4">
      <c r="A2138">
        <v>13579</v>
      </c>
      <c r="B2138">
        <v>13580</v>
      </c>
      <c r="C2138">
        <v>4116</v>
      </c>
      <c r="D2138" t="s">
        <v>897</v>
      </c>
      <c r="E2138" t="s">
        <v>905</v>
      </c>
      <c r="F2138">
        <v>60503</v>
      </c>
      <c r="G2138" t="s">
        <v>917</v>
      </c>
      <c r="H2138" t="s">
        <v>900</v>
      </c>
      <c r="I2138">
        <v>11200</v>
      </c>
      <c r="J2138">
        <v>10450</v>
      </c>
      <c r="K2138">
        <v>750</v>
      </c>
      <c r="L2138">
        <v>0</v>
      </c>
      <c r="M2138">
        <v>0</v>
      </c>
      <c r="N2138">
        <v>0</v>
      </c>
    </row>
    <row r="2139" spans="1:14" ht="14.4">
      <c r="A2139">
        <v>13579</v>
      </c>
      <c r="B2139">
        <v>13580</v>
      </c>
      <c r="C2139">
        <v>4116</v>
      </c>
      <c r="D2139" t="s">
        <v>897</v>
      </c>
      <c r="E2139" t="s">
        <v>905</v>
      </c>
      <c r="F2139">
        <v>60504</v>
      </c>
      <c r="G2139" t="s">
        <v>899</v>
      </c>
      <c r="H2139" t="s">
        <v>900</v>
      </c>
      <c r="I2139">
        <v>71891</v>
      </c>
      <c r="J2139">
        <v>51446</v>
      </c>
      <c r="K2139">
        <v>20445</v>
      </c>
      <c r="L2139">
        <v>67400</v>
      </c>
      <c r="M2139">
        <v>46900</v>
      </c>
      <c r="N2139">
        <v>20500</v>
      </c>
    </row>
    <row r="2140" spans="1:14" ht="14.4">
      <c r="A2140">
        <v>13579</v>
      </c>
      <c r="B2140">
        <v>13580</v>
      </c>
      <c r="C2140">
        <v>4116</v>
      </c>
      <c r="D2140" t="s">
        <v>897</v>
      </c>
      <c r="E2140" t="s">
        <v>905</v>
      </c>
      <c r="F2140">
        <v>60504</v>
      </c>
      <c r="G2140" t="s">
        <v>906</v>
      </c>
      <c r="H2140" t="s">
        <v>900</v>
      </c>
      <c r="I2140">
        <v>8710</v>
      </c>
      <c r="J2140">
        <v>1960</v>
      </c>
      <c r="K2140">
        <v>6750</v>
      </c>
      <c r="L2140">
        <v>0</v>
      </c>
      <c r="M2140">
        <v>0</v>
      </c>
      <c r="N2140">
        <v>0</v>
      </c>
    </row>
    <row r="2141" spans="1:14" ht="14.4">
      <c r="A2141">
        <v>13579</v>
      </c>
      <c r="B2141">
        <v>13580</v>
      </c>
      <c r="C2141">
        <v>4116</v>
      </c>
      <c r="D2141" t="s">
        <v>897</v>
      </c>
      <c r="E2141" t="s">
        <v>905</v>
      </c>
      <c r="F2141">
        <v>60505</v>
      </c>
      <c r="G2141" t="s">
        <v>906</v>
      </c>
      <c r="H2141" t="s">
        <v>900</v>
      </c>
      <c r="I2141">
        <v>377954</v>
      </c>
      <c r="J2141">
        <v>270939</v>
      </c>
      <c r="K2141">
        <v>107015</v>
      </c>
      <c r="L2141">
        <v>181300</v>
      </c>
      <c r="M2141">
        <v>122200</v>
      </c>
      <c r="N2141">
        <v>59100</v>
      </c>
    </row>
    <row r="2142" spans="1:14" ht="14.4">
      <c r="A2142">
        <v>13579</v>
      </c>
      <c r="B2142">
        <v>13580</v>
      </c>
      <c r="C2142">
        <v>4116</v>
      </c>
      <c r="D2142" t="s">
        <v>897</v>
      </c>
      <c r="E2142" t="s">
        <v>905</v>
      </c>
      <c r="F2142">
        <v>60506</v>
      </c>
      <c r="G2142" t="s">
        <v>906</v>
      </c>
      <c r="H2142" t="s">
        <v>900</v>
      </c>
      <c r="I2142">
        <v>586750</v>
      </c>
      <c r="J2142">
        <v>364525</v>
      </c>
      <c r="K2142">
        <v>222225</v>
      </c>
      <c r="L2142">
        <v>311300</v>
      </c>
      <c r="M2142">
        <v>194200</v>
      </c>
      <c r="N2142">
        <v>117100</v>
      </c>
    </row>
    <row r="2143" spans="1:14" ht="14.4">
      <c r="A2143">
        <v>13579</v>
      </c>
      <c r="B2143">
        <v>13580</v>
      </c>
      <c r="C2143">
        <v>4116</v>
      </c>
      <c r="D2143" t="s">
        <v>897</v>
      </c>
      <c r="E2143" t="s">
        <v>1816</v>
      </c>
      <c r="F2143">
        <v>61520</v>
      </c>
      <c r="G2143" t="s">
        <v>930</v>
      </c>
      <c r="H2143" t="s">
        <v>900</v>
      </c>
      <c r="I2143">
        <v>46034</v>
      </c>
      <c r="J2143">
        <v>46034</v>
      </c>
      <c r="K2143">
        <v>0</v>
      </c>
      <c r="L2143">
        <v>0</v>
      </c>
      <c r="M2143">
        <v>0</v>
      </c>
      <c r="N2143">
        <v>0</v>
      </c>
    </row>
    <row r="2144" spans="1:14" ht="14.4">
      <c r="A2144">
        <v>13579</v>
      </c>
      <c r="B2144">
        <v>13580</v>
      </c>
      <c r="C2144">
        <v>4116</v>
      </c>
      <c r="D2144" t="s">
        <v>897</v>
      </c>
      <c r="E2144" t="s">
        <v>1817</v>
      </c>
      <c r="F2144">
        <v>60010</v>
      </c>
      <c r="G2144" t="s">
        <v>914</v>
      </c>
      <c r="H2144" t="s">
        <v>900</v>
      </c>
      <c r="I2144">
        <v>33228</v>
      </c>
      <c r="J2144">
        <v>21773</v>
      </c>
      <c r="K2144">
        <v>11455</v>
      </c>
      <c r="L2144">
        <v>27000</v>
      </c>
      <c r="M2144">
        <v>15600</v>
      </c>
      <c r="N2144">
        <v>11400</v>
      </c>
    </row>
    <row r="2145" spans="1:14" ht="14.4">
      <c r="A2145">
        <v>13579</v>
      </c>
      <c r="B2145">
        <v>13580</v>
      </c>
      <c r="C2145">
        <v>4116</v>
      </c>
      <c r="D2145" t="s">
        <v>897</v>
      </c>
      <c r="E2145" t="s">
        <v>1817</v>
      </c>
      <c r="F2145">
        <v>60010</v>
      </c>
      <c r="G2145" t="s">
        <v>1812</v>
      </c>
      <c r="H2145" t="s">
        <v>900</v>
      </c>
      <c r="I2145">
        <v>53024</v>
      </c>
      <c r="J2145">
        <v>53024</v>
      </c>
      <c r="K2145">
        <v>0</v>
      </c>
      <c r="L2145">
        <v>53100</v>
      </c>
      <c r="M2145">
        <v>53100</v>
      </c>
      <c r="N2145">
        <v>0</v>
      </c>
    </row>
    <row r="2146" spans="1:14" ht="14.4">
      <c r="A2146">
        <v>13579</v>
      </c>
      <c r="B2146">
        <v>13580</v>
      </c>
      <c r="C2146">
        <v>4116</v>
      </c>
      <c r="D2146" t="s">
        <v>897</v>
      </c>
      <c r="E2146" t="s">
        <v>1818</v>
      </c>
      <c r="F2146">
        <v>61236</v>
      </c>
      <c r="G2146" t="s">
        <v>937</v>
      </c>
      <c r="H2146" t="s">
        <v>900</v>
      </c>
      <c r="I2146">
        <v>86979</v>
      </c>
      <c r="J2146">
        <v>67579</v>
      </c>
      <c r="K2146">
        <v>19400</v>
      </c>
      <c r="L2146">
        <v>25300</v>
      </c>
      <c r="M2146">
        <v>5900</v>
      </c>
      <c r="N2146">
        <v>19400</v>
      </c>
    </row>
    <row r="2147" spans="1:14" ht="14.4">
      <c r="A2147">
        <v>13579</v>
      </c>
      <c r="B2147">
        <v>13580</v>
      </c>
      <c r="C2147">
        <v>4116</v>
      </c>
      <c r="D2147" t="s">
        <v>897</v>
      </c>
      <c r="E2147" t="s">
        <v>1819</v>
      </c>
      <c r="F2147">
        <v>60103</v>
      </c>
      <c r="G2147" t="s">
        <v>914</v>
      </c>
      <c r="H2147" t="s">
        <v>900</v>
      </c>
      <c r="I2147">
        <v>39395</v>
      </c>
      <c r="J2147">
        <v>33055</v>
      </c>
      <c r="K2147">
        <v>6340</v>
      </c>
      <c r="L2147">
        <v>0</v>
      </c>
      <c r="M2147">
        <v>0</v>
      </c>
      <c r="N2147">
        <v>0</v>
      </c>
    </row>
    <row r="2148" spans="1:14" ht="14.4">
      <c r="A2148">
        <v>13579</v>
      </c>
      <c r="B2148">
        <v>13580</v>
      </c>
      <c r="C2148">
        <v>4116</v>
      </c>
      <c r="D2148" t="s">
        <v>897</v>
      </c>
      <c r="E2148" t="s">
        <v>1819</v>
      </c>
      <c r="F2148">
        <v>60103</v>
      </c>
      <c r="G2148" t="s">
        <v>899</v>
      </c>
      <c r="H2148" t="s">
        <v>900</v>
      </c>
      <c r="I2148">
        <v>13395</v>
      </c>
      <c r="J2148">
        <v>10350</v>
      </c>
      <c r="K2148">
        <v>3045</v>
      </c>
      <c r="L2148">
        <v>12300</v>
      </c>
      <c r="M2148">
        <v>9300</v>
      </c>
      <c r="N2148">
        <v>3000</v>
      </c>
    </row>
    <row r="2149" spans="1:14" ht="14.4">
      <c r="A2149">
        <v>13579</v>
      </c>
      <c r="B2149">
        <v>13580</v>
      </c>
      <c r="C2149">
        <v>4116</v>
      </c>
      <c r="D2149" t="s">
        <v>897</v>
      </c>
      <c r="E2149" t="s">
        <v>907</v>
      </c>
      <c r="F2149">
        <v>61607</v>
      </c>
      <c r="G2149" t="s">
        <v>908</v>
      </c>
      <c r="H2149" t="s">
        <v>900</v>
      </c>
      <c r="I2149">
        <v>69161</v>
      </c>
      <c r="J2149">
        <v>59471</v>
      </c>
      <c r="K2149">
        <v>9690</v>
      </c>
      <c r="L2149">
        <v>0</v>
      </c>
      <c r="M2149">
        <v>0</v>
      </c>
      <c r="N2149">
        <v>0</v>
      </c>
    </row>
    <row r="2150" spans="1:14" ht="14.4">
      <c r="A2150">
        <v>13579</v>
      </c>
      <c r="B2150">
        <v>13580</v>
      </c>
      <c r="C2150">
        <v>4116</v>
      </c>
      <c r="D2150" t="s">
        <v>897</v>
      </c>
      <c r="E2150" t="s">
        <v>909</v>
      </c>
      <c r="F2150">
        <v>60510</v>
      </c>
      <c r="G2150" t="s">
        <v>906</v>
      </c>
      <c r="H2150" t="s">
        <v>900</v>
      </c>
      <c r="I2150">
        <v>29977</v>
      </c>
      <c r="J2150">
        <v>26677</v>
      </c>
      <c r="K2150">
        <v>3300</v>
      </c>
      <c r="L2150">
        <v>18500</v>
      </c>
      <c r="M2150">
        <v>18500</v>
      </c>
      <c r="N2150">
        <v>0</v>
      </c>
    </row>
    <row r="2151" spans="1:14" ht="14.4">
      <c r="A2151">
        <v>13579</v>
      </c>
      <c r="B2151">
        <v>13580</v>
      </c>
      <c r="C2151">
        <v>4116</v>
      </c>
      <c r="D2151" t="s">
        <v>897</v>
      </c>
      <c r="E2151" t="s">
        <v>1820</v>
      </c>
      <c r="F2151">
        <v>62617</v>
      </c>
      <c r="G2151" t="s">
        <v>1821</v>
      </c>
      <c r="H2151" t="s">
        <v>900</v>
      </c>
      <c r="I2151">
        <v>847425</v>
      </c>
      <c r="J2151">
        <v>775480</v>
      </c>
      <c r="K2151">
        <v>71945</v>
      </c>
      <c r="L2151">
        <v>221700</v>
      </c>
      <c r="M2151">
        <v>173100</v>
      </c>
      <c r="N2151">
        <v>48600</v>
      </c>
    </row>
    <row r="2152" spans="1:14" ht="14.4">
      <c r="A2152">
        <v>13579</v>
      </c>
      <c r="B2152">
        <v>13580</v>
      </c>
      <c r="C2152">
        <v>4116</v>
      </c>
      <c r="D2152" t="s">
        <v>897</v>
      </c>
      <c r="E2152" t="s">
        <v>913</v>
      </c>
      <c r="F2152">
        <v>60104</v>
      </c>
      <c r="G2152" t="s">
        <v>914</v>
      </c>
      <c r="H2152" t="s">
        <v>900</v>
      </c>
      <c r="I2152">
        <v>3967644</v>
      </c>
      <c r="J2152">
        <v>2778299</v>
      </c>
      <c r="K2152">
        <v>1189345</v>
      </c>
      <c r="L2152">
        <v>1622600</v>
      </c>
      <c r="M2152">
        <v>1102300</v>
      </c>
      <c r="N2152">
        <v>520300</v>
      </c>
    </row>
    <row r="2153" spans="1:14" ht="14.4">
      <c r="A2153">
        <v>13579</v>
      </c>
      <c r="B2153">
        <v>13580</v>
      </c>
      <c r="C2153">
        <v>4116</v>
      </c>
      <c r="D2153" t="s">
        <v>897</v>
      </c>
      <c r="E2153" t="s">
        <v>913</v>
      </c>
      <c r="F2153">
        <v>60140</v>
      </c>
      <c r="G2153" t="s">
        <v>914</v>
      </c>
      <c r="H2153" t="s">
        <v>900</v>
      </c>
      <c r="I2153">
        <v>39517</v>
      </c>
      <c r="J2153">
        <v>27097</v>
      </c>
      <c r="K2153">
        <v>12420</v>
      </c>
      <c r="L2153">
        <v>0</v>
      </c>
      <c r="M2153">
        <v>0</v>
      </c>
      <c r="N2153">
        <v>0</v>
      </c>
    </row>
    <row r="2154" spans="1:14" ht="14.4">
      <c r="A2154">
        <v>13579</v>
      </c>
      <c r="B2154">
        <v>13580</v>
      </c>
      <c r="C2154">
        <v>4116</v>
      </c>
      <c r="D2154" t="s">
        <v>897</v>
      </c>
      <c r="E2154" t="s">
        <v>1822</v>
      </c>
      <c r="F2154">
        <v>60106</v>
      </c>
      <c r="G2154" t="s">
        <v>899</v>
      </c>
      <c r="H2154" t="s">
        <v>900</v>
      </c>
      <c r="I2154">
        <v>120916</v>
      </c>
      <c r="J2154">
        <v>94921</v>
      </c>
      <c r="K2154">
        <v>25995</v>
      </c>
      <c r="L2154">
        <v>48400</v>
      </c>
      <c r="M2154">
        <v>35400</v>
      </c>
      <c r="N2154">
        <v>13000</v>
      </c>
    </row>
    <row r="2155" spans="1:14" ht="14.4">
      <c r="A2155">
        <v>13579</v>
      </c>
      <c r="B2155">
        <v>13580</v>
      </c>
      <c r="C2155">
        <v>4116</v>
      </c>
      <c r="D2155" t="s">
        <v>897</v>
      </c>
      <c r="E2155" t="s">
        <v>915</v>
      </c>
      <c r="F2155">
        <v>60163</v>
      </c>
      <c r="G2155" t="s">
        <v>914</v>
      </c>
      <c r="H2155" t="s">
        <v>900</v>
      </c>
      <c r="I2155">
        <v>913161</v>
      </c>
      <c r="J2155">
        <v>627816</v>
      </c>
      <c r="K2155">
        <v>285345</v>
      </c>
      <c r="L2155">
        <v>343700</v>
      </c>
      <c r="M2155">
        <v>239900</v>
      </c>
      <c r="N2155">
        <v>103800</v>
      </c>
    </row>
    <row r="2156" spans="1:14" ht="14.4">
      <c r="A2156">
        <v>13579</v>
      </c>
      <c r="B2156">
        <v>13580</v>
      </c>
      <c r="C2156">
        <v>4116</v>
      </c>
      <c r="D2156" t="s">
        <v>897</v>
      </c>
      <c r="E2156" t="s">
        <v>1823</v>
      </c>
      <c r="F2156">
        <v>60402</v>
      </c>
      <c r="G2156" t="s">
        <v>914</v>
      </c>
      <c r="H2156" t="s">
        <v>900</v>
      </c>
      <c r="I2156">
        <v>911247</v>
      </c>
      <c r="J2156">
        <v>656537</v>
      </c>
      <c r="K2156">
        <v>254710</v>
      </c>
      <c r="L2156">
        <v>350900</v>
      </c>
      <c r="M2156">
        <v>248800</v>
      </c>
      <c r="N2156">
        <v>102100</v>
      </c>
    </row>
    <row r="2157" spans="1:14" ht="14.4">
      <c r="A2157">
        <v>13579</v>
      </c>
      <c r="B2157">
        <v>13580</v>
      </c>
      <c r="C2157">
        <v>4116</v>
      </c>
      <c r="D2157" t="s">
        <v>897</v>
      </c>
      <c r="E2157" t="s">
        <v>1824</v>
      </c>
      <c r="F2157">
        <v>60108</v>
      </c>
      <c r="G2157" t="s">
        <v>899</v>
      </c>
      <c r="H2157" t="s">
        <v>900</v>
      </c>
      <c r="I2157">
        <v>26975</v>
      </c>
      <c r="J2157">
        <v>19025</v>
      </c>
      <c r="K2157">
        <v>7950</v>
      </c>
      <c r="L2157">
        <v>17800</v>
      </c>
      <c r="M2157">
        <v>9900</v>
      </c>
      <c r="N2157">
        <v>7900</v>
      </c>
    </row>
    <row r="2158" spans="1:14" ht="14.4">
      <c r="A2158">
        <v>13579</v>
      </c>
      <c r="B2158">
        <v>13580</v>
      </c>
      <c r="C2158">
        <v>4116</v>
      </c>
      <c r="D2158" t="s">
        <v>897</v>
      </c>
      <c r="E2158" t="s">
        <v>1825</v>
      </c>
      <c r="F2158">
        <v>60406</v>
      </c>
      <c r="G2158" t="s">
        <v>914</v>
      </c>
      <c r="H2158" t="s">
        <v>900</v>
      </c>
      <c r="I2158">
        <v>250805</v>
      </c>
      <c r="J2158">
        <v>190665</v>
      </c>
      <c r="K2158">
        <v>60140</v>
      </c>
      <c r="L2158">
        <v>147700</v>
      </c>
      <c r="M2158">
        <v>119200</v>
      </c>
      <c r="N2158">
        <v>28500</v>
      </c>
    </row>
    <row r="2159" spans="1:14" ht="14.4">
      <c r="A2159">
        <v>13579</v>
      </c>
      <c r="B2159">
        <v>13580</v>
      </c>
      <c r="C2159">
        <v>4116</v>
      </c>
      <c r="D2159" t="s">
        <v>897</v>
      </c>
      <c r="E2159" t="s">
        <v>916</v>
      </c>
      <c r="F2159">
        <v>60440</v>
      </c>
      <c r="G2159" t="s">
        <v>917</v>
      </c>
      <c r="H2159" t="s">
        <v>900</v>
      </c>
      <c r="I2159">
        <v>289525</v>
      </c>
      <c r="J2159">
        <v>197825</v>
      </c>
      <c r="K2159">
        <v>91700</v>
      </c>
      <c r="L2159">
        <v>104400</v>
      </c>
      <c r="M2159">
        <v>57500</v>
      </c>
      <c r="N2159">
        <v>46900</v>
      </c>
    </row>
    <row r="2160" spans="1:14" ht="14.4">
      <c r="A2160">
        <v>13579</v>
      </c>
      <c r="B2160">
        <v>13580</v>
      </c>
      <c r="C2160">
        <v>4116</v>
      </c>
      <c r="D2160" t="s">
        <v>897</v>
      </c>
      <c r="E2160" t="s">
        <v>916</v>
      </c>
      <c r="F2160">
        <v>60490</v>
      </c>
      <c r="G2160" t="s">
        <v>917</v>
      </c>
      <c r="H2160" t="s">
        <v>900</v>
      </c>
      <c r="I2160">
        <v>118104</v>
      </c>
      <c r="J2160">
        <v>60579</v>
      </c>
      <c r="K2160">
        <v>57525</v>
      </c>
      <c r="L2160">
        <v>13400</v>
      </c>
      <c r="M2160">
        <v>5100</v>
      </c>
      <c r="N2160">
        <v>8300</v>
      </c>
    </row>
    <row r="2161" spans="1:14" ht="14.4">
      <c r="A2161">
        <v>13579</v>
      </c>
      <c r="B2161">
        <v>13580</v>
      </c>
      <c r="C2161">
        <v>4116</v>
      </c>
      <c r="D2161" t="s">
        <v>897</v>
      </c>
      <c r="E2161" t="s">
        <v>1826</v>
      </c>
      <c r="F2161">
        <v>61421</v>
      </c>
      <c r="G2161" t="s">
        <v>1827</v>
      </c>
      <c r="H2161" t="s">
        <v>900</v>
      </c>
      <c r="I2161">
        <v>61980</v>
      </c>
      <c r="J2161">
        <v>41935</v>
      </c>
      <c r="K2161">
        <v>20045</v>
      </c>
      <c r="L2161">
        <v>37900</v>
      </c>
      <c r="M2161">
        <v>29700</v>
      </c>
      <c r="N2161">
        <v>8200</v>
      </c>
    </row>
    <row r="2162" spans="1:14" ht="14.4">
      <c r="A2162">
        <v>13579</v>
      </c>
      <c r="B2162">
        <v>13580</v>
      </c>
      <c r="C2162">
        <v>4116</v>
      </c>
      <c r="D2162" t="s">
        <v>897</v>
      </c>
      <c r="E2162" t="s">
        <v>1828</v>
      </c>
      <c r="F2162">
        <v>61517</v>
      </c>
      <c r="G2162" t="s">
        <v>908</v>
      </c>
      <c r="H2162" t="s">
        <v>900</v>
      </c>
      <c r="I2162">
        <v>24843</v>
      </c>
      <c r="J2162">
        <v>24843</v>
      </c>
      <c r="K2162">
        <v>0</v>
      </c>
      <c r="L2162">
        <v>22100</v>
      </c>
      <c r="M2162">
        <v>22100</v>
      </c>
      <c r="N2162">
        <v>0</v>
      </c>
    </row>
    <row r="2163" spans="1:14" ht="14.4">
      <c r="A2163">
        <v>13579</v>
      </c>
      <c r="B2163">
        <v>13580</v>
      </c>
      <c r="C2163">
        <v>4116</v>
      </c>
      <c r="D2163" t="s">
        <v>897</v>
      </c>
      <c r="E2163" t="s">
        <v>918</v>
      </c>
      <c r="F2163">
        <v>60155</v>
      </c>
      <c r="G2163" t="s">
        <v>914</v>
      </c>
      <c r="H2163" t="s">
        <v>900</v>
      </c>
      <c r="I2163">
        <v>1087507</v>
      </c>
      <c r="J2163">
        <v>745096</v>
      </c>
      <c r="K2163">
        <v>342411</v>
      </c>
      <c r="L2163">
        <v>559200</v>
      </c>
      <c r="M2163">
        <v>381300</v>
      </c>
      <c r="N2163">
        <v>177900</v>
      </c>
    </row>
    <row r="2164" spans="1:14" ht="14.4">
      <c r="A2164">
        <v>13579</v>
      </c>
      <c r="B2164">
        <v>13580</v>
      </c>
      <c r="C2164">
        <v>4116</v>
      </c>
      <c r="D2164" t="s">
        <v>897</v>
      </c>
      <c r="E2164" t="s">
        <v>919</v>
      </c>
      <c r="F2164">
        <v>60513</v>
      </c>
      <c r="G2164" t="s">
        <v>914</v>
      </c>
      <c r="H2164" t="s">
        <v>900</v>
      </c>
      <c r="I2164">
        <v>548877</v>
      </c>
      <c r="J2164">
        <v>390591</v>
      </c>
      <c r="K2164">
        <v>158286</v>
      </c>
      <c r="L2164">
        <v>345400</v>
      </c>
      <c r="M2164">
        <v>237000</v>
      </c>
      <c r="N2164">
        <v>108400</v>
      </c>
    </row>
    <row r="2165" spans="1:14" ht="14.4">
      <c r="A2165">
        <v>13579</v>
      </c>
      <c r="B2165">
        <v>13580</v>
      </c>
      <c r="C2165">
        <v>4116</v>
      </c>
      <c r="D2165" t="s">
        <v>897</v>
      </c>
      <c r="E2165" t="s">
        <v>1829</v>
      </c>
      <c r="F2165">
        <v>62013</v>
      </c>
      <c r="G2165" t="s">
        <v>911</v>
      </c>
      <c r="H2165" t="s">
        <v>900</v>
      </c>
      <c r="I2165">
        <v>40200</v>
      </c>
      <c r="J2165">
        <v>36450</v>
      </c>
      <c r="K2165">
        <v>3750</v>
      </c>
      <c r="L2165">
        <v>3700</v>
      </c>
      <c r="M2165">
        <v>0</v>
      </c>
      <c r="N2165">
        <v>3700</v>
      </c>
    </row>
    <row r="2166" spans="1:14" ht="14.4">
      <c r="A2166">
        <v>13579</v>
      </c>
      <c r="B2166">
        <v>13580</v>
      </c>
      <c r="C2166">
        <v>4116</v>
      </c>
      <c r="D2166" t="s">
        <v>897</v>
      </c>
      <c r="E2166" t="s">
        <v>1830</v>
      </c>
      <c r="F2166">
        <v>60459</v>
      </c>
      <c r="G2166" t="s">
        <v>914</v>
      </c>
      <c r="H2166" t="s">
        <v>900</v>
      </c>
      <c r="I2166">
        <v>49437</v>
      </c>
      <c r="J2166">
        <v>41607</v>
      </c>
      <c r="K2166">
        <v>7830</v>
      </c>
      <c r="L2166">
        <v>3300</v>
      </c>
      <c r="M2166">
        <v>1900</v>
      </c>
      <c r="N2166">
        <v>1400</v>
      </c>
    </row>
    <row r="2167" spans="1:14" ht="14.4">
      <c r="A2167">
        <v>13579</v>
      </c>
      <c r="B2167">
        <v>13580</v>
      </c>
      <c r="C2167">
        <v>4116</v>
      </c>
      <c r="D2167" t="s">
        <v>897</v>
      </c>
      <c r="E2167" t="s">
        <v>1831</v>
      </c>
      <c r="F2167">
        <v>60633</v>
      </c>
      <c r="G2167" t="s">
        <v>914</v>
      </c>
      <c r="H2167" t="s">
        <v>900</v>
      </c>
      <c r="I2167">
        <v>194475</v>
      </c>
      <c r="J2167">
        <v>147550</v>
      </c>
      <c r="K2167">
        <v>46925</v>
      </c>
      <c r="L2167">
        <v>81700</v>
      </c>
      <c r="M2167">
        <v>68900</v>
      </c>
      <c r="N2167">
        <v>12800</v>
      </c>
    </row>
    <row r="2168" spans="1:14" ht="14.4">
      <c r="A2168">
        <v>13579</v>
      </c>
      <c r="B2168">
        <v>13580</v>
      </c>
      <c r="C2168">
        <v>4116</v>
      </c>
      <c r="D2168" t="s">
        <v>897</v>
      </c>
      <c r="E2168" t="s">
        <v>1832</v>
      </c>
      <c r="F2168">
        <v>60527</v>
      </c>
      <c r="G2168" t="s">
        <v>914</v>
      </c>
      <c r="H2168" t="s">
        <v>900</v>
      </c>
      <c r="I2168">
        <v>87978</v>
      </c>
      <c r="J2168">
        <v>78868</v>
      </c>
      <c r="K2168">
        <v>9110</v>
      </c>
      <c r="L2168">
        <v>75400</v>
      </c>
      <c r="M2168">
        <v>66300</v>
      </c>
      <c r="N2168">
        <v>9100</v>
      </c>
    </row>
    <row r="2169" spans="1:14" ht="14.4">
      <c r="A2169">
        <v>13579</v>
      </c>
      <c r="B2169">
        <v>13580</v>
      </c>
      <c r="C2169">
        <v>4116</v>
      </c>
      <c r="D2169" t="s">
        <v>897</v>
      </c>
      <c r="E2169" t="s">
        <v>1833</v>
      </c>
      <c r="F2169">
        <v>61422</v>
      </c>
      <c r="G2169" t="s">
        <v>962</v>
      </c>
      <c r="H2169" t="s">
        <v>900</v>
      </c>
      <c r="I2169">
        <v>105234</v>
      </c>
      <c r="J2169">
        <v>83634</v>
      </c>
      <c r="K2169">
        <v>21600</v>
      </c>
      <c r="L2169">
        <v>57700</v>
      </c>
      <c r="M2169">
        <v>45800</v>
      </c>
      <c r="N2169">
        <v>11900</v>
      </c>
    </row>
    <row r="2170" spans="1:14" ht="14.4">
      <c r="A2170">
        <v>13579</v>
      </c>
      <c r="B2170">
        <v>13580</v>
      </c>
      <c r="C2170">
        <v>4116</v>
      </c>
      <c r="D2170" t="s">
        <v>897</v>
      </c>
      <c r="E2170" t="s">
        <v>920</v>
      </c>
      <c r="F2170">
        <v>60409</v>
      </c>
      <c r="G2170" t="s">
        <v>914</v>
      </c>
      <c r="H2170" t="s">
        <v>900</v>
      </c>
      <c r="I2170">
        <v>2646703</v>
      </c>
      <c r="J2170">
        <v>1977197</v>
      </c>
      <c r="K2170">
        <v>669506</v>
      </c>
      <c r="L2170">
        <v>1208100</v>
      </c>
      <c r="M2170">
        <v>898500</v>
      </c>
      <c r="N2170">
        <v>309600</v>
      </c>
    </row>
    <row r="2171" spans="1:14" ht="14.4">
      <c r="A2171">
        <v>13579</v>
      </c>
      <c r="B2171">
        <v>13580</v>
      </c>
      <c r="C2171">
        <v>4116</v>
      </c>
      <c r="D2171" t="s">
        <v>897</v>
      </c>
      <c r="E2171" t="s">
        <v>921</v>
      </c>
      <c r="F2171">
        <v>60643</v>
      </c>
      <c r="G2171" t="s">
        <v>914</v>
      </c>
      <c r="H2171" t="s">
        <v>900</v>
      </c>
      <c r="I2171">
        <v>8180</v>
      </c>
      <c r="J2171">
        <v>7380</v>
      </c>
      <c r="K2171">
        <v>800</v>
      </c>
      <c r="L2171">
        <v>7100</v>
      </c>
      <c r="M2171">
        <v>6300</v>
      </c>
      <c r="N2171">
        <v>800</v>
      </c>
    </row>
    <row r="2172" spans="1:14" ht="14.4">
      <c r="A2172">
        <v>13579</v>
      </c>
      <c r="B2172">
        <v>13580</v>
      </c>
      <c r="C2172">
        <v>4116</v>
      </c>
      <c r="D2172" t="s">
        <v>897</v>
      </c>
      <c r="E2172" t="s">
        <v>921</v>
      </c>
      <c r="F2172">
        <v>60827</v>
      </c>
      <c r="G2172" t="s">
        <v>914</v>
      </c>
      <c r="H2172" t="s">
        <v>900</v>
      </c>
      <c r="I2172">
        <v>675158</v>
      </c>
      <c r="J2172">
        <v>473383</v>
      </c>
      <c r="K2172">
        <v>201775</v>
      </c>
      <c r="L2172">
        <v>322100</v>
      </c>
      <c r="M2172">
        <v>237800</v>
      </c>
      <c r="N2172">
        <v>84300</v>
      </c>
    </row>
    <row r="2173" spans="1:14" ht="14.4">
      <c r="A2173">
        <v>13579</v>
      </c>
      <c r="B2173">
        <v>13580</v>
      </c>
      <c r="C2173">
        <v>4116</v>
      </c>
      <c r="D2173" t="s">
        <v>897</v>
      </c>
      <c r="E2173" t="s">
        <v>1834</v>
      </c>
      <c r="F2173">
        <v>61238</v>
      </c>
      <c r="G2173" t="s">
        <v>904</v>
      </c>
      <c r="H2173" t="s">
        <v>900</v>
      </c>
      <c r="I2173">
        <v>24894</v>
      </c>
      <c r="J2173">
        <v>23244</v>
      </c>
      <c r="K2173">
        <v>1650</v>
      </c>
      <c r="L2173">
        <v>24900</v>
      </c>
      <c r="M2173">
        <v>23300</v>
      </c>
      <c r="N2173">
        <v>1600</v>
      </c>
    </row>
    <row r="2174" spans="1:14" ht="14.4">
      <c r="A2174">
        <v>13579</v>
      </c>
      <c r="B2174">
        <v>13580</v>
      </c>
      <c r="C2174">
        <v>4116</v>
      </c>
      <c r="D2174" t="s">
        <v>897</v>
      </c>
      <c r="E2174" t="s">
        <v>1835</v>
      </c>
      <c r="F2174">
        <v>60119</v>
      </c>
      <c r="G2174" t="s">
        <v>906</v>
      </c>
      <c r="H2174" t="s">
        <v>900</v>
      </c>
      <c r="I2174">
        <v>80138</v>
      </c>
      <c r="J2174">
        <v>77048</v>
      </c>
      <c r="K2174">
        <v>3090</v>
      </c>
      <c r="L2174">
        <v>79300</v>
      </c>
      <c r="M2174">
        <v>76200</v>
      </c>
      <c r="N2174">
        <v>3100</v>
      </c>
    </row>
    <row r="2175" spans="1:14" ht="14.4">
      <c r="A2175">
        <v>13579</v>
      </c>
      <c r="B2175">
        <v>13580</v>
      </c>
      <c r="C2175">
        <v>4116</v>
      </c>
      <c r="D2175" t="s">
        <v>897</v>
      </c>
      <c r="E2175" t="s">
        <v>1836</v>
      </c>
      <c r="F2175">
        <v>61520</v>
      </c>
      <c r="G2175" t="s">
        <v>930</v>
      </c>
      <c r="H2175" t="s">
        <v>900</v>
      </c>
      <c r="I2175">
        <v>31689</v>
      </c>
      <c r="J2175">
        <v>31689</v>
      </c>
      <c r="K2175">
        <v>0</v>
      </c>
      <c r="L2175">
        <v>14000</v>
      </c>
      <c r="M2175">
        <v>14000</v>
      </c>
      <c r="N2175">
        <v>0</v>
      </c>
    </row>
    <row r="2176" spans="1:14" ht="14.4">
      <c r="A2176">
        <v>13579</v>
      </c>
      <c r="B2176">
        <v>13580</v>
      </c>
      <c r="C2176">
        <v>4116</v>
      </c>
      <c r="D2176" t="s">
        <v>897</v>
      </c>
      <c r="E2176" t="s">
        <v>1837</v>
      </c>
      <c r="F2176">
        <v>61425</v>
      </c>
      <c r="G2176" t="s">
        <v>1838</v>
      </c>
      <c r="H2176" t="s">
        <v>900</v>
      </c>
      <c r="I2176">
        <v>9713</v>
      </c>
      <c r="J2176">
        <v>9713</v>
      </c>
      <c r="K2176">
        <v>0</v>
      </c>
      <c r="L2176">
        <v>4200</v>
      </c>
      <c r="M2176">
        <v>4200</v>
      </c>
      <c r="N2176">
        <v>0</v>
      </c>
    </row>
    <row r="2177" spans="1:14" ht="14.4">
      <c r="A2177">
        <v>13579</v>
      </c>
      <c r="B2177">
        <v>13580</v>
      </c>
      <c r="C2177">
        <v>4116</v>
      </c>
      <c r="D2177" t="s">
        <v>897</v>
      </c>
      <c r="E2177" t="s">
        <v>1839</v>
      </c>
      <c r="F2177">
        <v>60188</v>
      </c>
      <c r="G2177" t="s">
        <v>899</v>
      </c>
      <c r="H2177" t="s">
        <v>900</v>
      </c>
      <c r="I2177">
        <v>7584</v>
      </c>
      <c r="J2177">
        <v>7584</v>
      </c>
      <c r="K2177">
        <v>0</v>
      </c>
      <c r="L2177">
        <v>5700</v>
      </c>
      <c r="M2177">
        <v>5700</v>
      </c>
      <c r="N2177">
        <v>0</v>
      </c>
    </row>
    <row r="2178" spans="1:14" ht="14.4">
      <c r="A2178">
        <v>13579</v>
      </c>
      <c r="B2178">
        <v>13580</v>
      </c>
      <c r="C2178">
        <v>4116</v>
      </c>
      <c r="D2178" t="s">
        <v>897</v>
      </c>
      <c r="E2178" t="s">
        <v>1840</v>
      </c>
      <c r="F2178">
        <v>60110</v>
      </c>
      <c r="G2178" t="s">
        <v>906</v>
      </c>
      <c r="H2178" t="s">
        <v>900</v>
      </c>
      <c r="I2178">
        <v>56023</v>
      </c>
      <c r="J2178">
        <v>55423</v>
      </c>
      <c r="K2178">
        <v>600</v>
      </c>
      <c r="L2178">
        <v>14000</v>
      </c>
      <c r="M2178">
        <v>14000</v>
      </c>
      <c r="N2178">
        <v>0</v>
      </c>
    </row>
    <row r="2179" spans="1:14" ht="14.4">
      <c r="A2179">
        <v>13579</v>
      </c>
      <c r="B2179">
        <v>13580</v>
      </c>
      <c r="C2179">
        <v>4116</v>
      </c>
      <c r="D2179" t="s">
        <v>897</v>
      </c>
      <c r="E2179" t="s">
        <v>1841</v>
      </c>
      <c r="F2179">
        <v>60013</v>
      </c>
      <c r="G2179" t="s">
        <v>902</v>
      </c>
      <c r="H2179" t="s">
        <v>900</v>
      </c>
      <c r="I2179">
        <v>211425</v>
      </c>
      <c r="J2179">
        <v>187615</v>
      </c>
      <c r="K2179">
        <v>23810</v>
      </c>
      <c r="L2179">
        <v>39900</v>
      </c>
      <c r="M2179">
        <v>27800</v>
      </c>
      <c r="N2179">
        <v>12100</v>
      </c>
    </row>
    <row r="2180" spans="1:14" ht="14.4">
      <c r="A2180">
        <v>13579</v>
      </c>
      <c r="B2180">
        <v>13580</v>
      </c>
      <c r="C2180">
        <v>4116</v>
      </c>
      <c r="D2180" t="s">
        <v>897</v>
      </c>
      <c r="E2180" t="s">
        <v>1841</v>
      </c>
      <c r="F2180">
        <v>60013</v>
      </c>
      <c r="G2180" t="s">
        <v>1812</v>
      </c>
      <c r="H2180" t="s">
        <v>900</v>
      </c>
      <c r="I2180">
        <v>126568</v>
      </c>
      <c r="J2180">
        <v>96048</v>
      </c>
      <c r="K2180">
        <v>30520</v>
      </c>
      <c r="L2180">
        <v>29000</v>
      </c>
      <c r="M2180">
        <v>13300</v>
      </c>
      <c r="N2180">
        <v>15700</v>
      </c>
    </row>
    <row r="2181" spans="1:14" ht="14.4">
      <c r="A2181">
        <v>13579</v>
      </c>
      <c r="B2181">
        <v>13580</v>
      </c>
      <c r="C2181">
        <v>4116</v>
      </c>
      <c r="D2181" t="s">
        <v>897</v>
      </c>
      <c r="E2181" t="s">
        <v>922</v>
      </c>
      <c r="F2181">
        <v>61316</v>
      </c>
      <c r="G2181" t="s">
        <v>923</v>
      </c>
      <c r="H2181" t="s">
        <v>900</v>
      </c>
      <c r="I2181">
        <v>16548</v>
      </c>
      <c r="J2181">
        <v>11148</v>
      </c>
      <c r="K2181">
        <v>5400</v>
      </c>
      <c r="L2181">
        <v>0</v>
      </c>
      <c r="M2181">
        <v>0</v>
      </c>
      <c r="N2181">
        <v>0</v>
      </c>
    </row>
    <row r="2182" spans="1:14" ht="14.4">
      <c r="A2182">
        <v>13579</v>
      </c>
      <c r="B2182">
        <v>13580</v>
      </c>
      <c r="C2182">
        <v>4116</v>
      </c>
      <c r="D2182" t="s">
        <v>897</v>
      </c>
      <c r="E2182" t="s">
        <v>1842</v>
      </c>
      <c r="F2182">
        <v>60410</v>
      </c>
      <c r="G2182" t="s">
        <v>917</v>
      </c>
      <c r="H2182" t="s">
        <v>900</v>
      </c>
      <c r="I2182">
        <v>30700</v>
      </c>
      <c r="J2182">
        <v>20745</v>
      </c>
      <c r="K2182">
        <v>9955</v>
      </c>
      <c r="L2182">
        <v>29200</v>
      </c>
      <c r="M2182">
        <v>19300</v>
      </c>
      <c r="N2182">
        <v>9900</v>
      </c>
    </row>
    <row r="2183" spans="1:14" ht="14.4">
      <c r="A2183">
        <v>13579</v>
      </c>
      <c r="B2183">
        <v>13580</v>
      </c>
      <c r="C2183">
        <v>4116</v>
      </c>
      <c r="D2183" t="s">
        <v>897</v>
      </c>
      <c r="E2183" t="s">
        <v>1843</v>
      </c>
      <c r="F2183">
        <v>61317</v>
      </c>
      <c r="G2183" t="s">
        <v>981</v>
      </c>
      <c r="H2183" t="s">
        <v>900</v>
      </c>
      <c r="I2183">
        <v>22423</v>
      </c>
      <c r="J2183">
        <v>18523</v>
      </c>
      <c r="K2183">
        <v>3900</v>
      </c>
      <c r="L2183">
        <v>8200</v>
      </c>
      <c r="M2183">
        <v>4300</v>
      </c>
      <c r="N2183">
        <v>3900</v>
      </c>
    </row>
    <row r="2184" spans="1:14" ht="14.4">
      <c r="A2184">
        <v>13579</v>
      </c>
      <c r="B2184">
        <v>13580</v>
      </c>
      <c r="C2184">
        <v>4116</v>
      </c>
      <c r="D2184" t="s">
        <v>897</v>
      </c>
      <c r="E2184" t="s">
        <v>924</v>
      </c>
      <c r="F2184">
        <v>60605</v>
      </c>
      <c r="G2184" t="s">
        <v>914</v>
      </c>
      <c r="H2184" t="s">
        <v>900</v>
      </c>
      <c r="I2184">
        <v>26170</v>
      </c>
      <c r="J2184">
        <v>7995</v>
      </c>
      <c r="K2184">
        <v>18175</v>
      </c>
      <c r="L2184">
        <v>25400</v>
      </c>
      <c r="M2184">
        <v>7900</v>
      </c>
      <c r="N2184">
        <v>17500</v>
      </c>
    </row>
    <row r="2185" spans="1:14" ht="14.4">
      <c r="A2185">
        <v>13579</v>
      </c>
      <c r="B2185">
        <v>13580</v>
      </c>
      <c r="C2185">
        <v>4116</v>
      </c>
      <c r="D2185" t="s">
        <v>897</v>
      </c>
      <c r="E2185" t="s">
        <v>924</v>
      </c>
      <c r="F2185">
        <v>60608</v>
      </c>
      <c r="G2185" t="s">
        <v>914</v>
      </c>
      <c r="H2185" t="s">
        <v>900</v>
      </c>
      <c r="I2185">
        <v>31870</v>
      </c>
      <c r="J2185">
        <v>29870</v>
      </c>
      <c r="K2185">
        <v>2000</v>
      </c>
      <c r="L2185">
        <v>1000</v>
      </c>
      <c r="M2185">
        <v>1000</v>
      </c>
      <c r="N2185">
        <v>0</v>
      </c>
    </row>
    <row r="2186" spans="1:14" ht="14.4">
      <c r="A2186">
        <v>13579</v>
      </c>
      <c r="B2186">
        <v>13580</v>
      </c>
      <c r="C2186">
        <v>4116</v>
      </c>
      <c r="D2186" t="s">
        <v>897</v>
      </c>
      <c r="E2186" t="s">
        <v>924</v>
      </c>
      <c r="F2186">
        <v>60609</v>
      </c>
      <c r="G2186" t="s">
        <v>914</v>
      </c>
      <c r="H2186" t="s">
        <v>900</v>
      </c>
      <c r="I2186">
        <v>403294</v>
      </c>
      <c r="J2186">
        <v>240556</v>
      </c>
      <c r="K2186">
        <v>162738</v>
      </c>
      <c r="L2186">
        <v>168000</v>
      </c>
      <c r="M2186">
        <v>118200</v>
      </c>
      <c r="N2186">
        <v>49800</v>
      </c>
    </row>
    <row r="2187" spans="1:14" ht="14.4">
      <c r="A2187">
        <v>13579</v>
      </c>
      <c r="B2187">
        <v>13580</v>
      </c>
      <c r="C2187">
        <v>4116</v>
      </c>
      <c r="D2187" t="s">
        <v>897</v>
      </c>
      <c r="E2187" t="s">
        <v>924</v>
      </c>
      <c r="F2187">
        <v>60612</v>
      </c>
      <c r="G2187" t="s">
        <v>914</v>
      </c>
      <c r="H2187" t="s">
        <v>900</v>
      </c>
      <c r="I2187">
        <v>309947</v>
      </c>
      <c r="J2187">
        <v>200294</v>
      </c>
      <c r="K2187">
        <v>109653</v>
      </c>
      <c r="L2187">
        <v>143700</v>
      </c>
      <c r="M2187">
        <v>117900</v>
      </c>
      <c r="N2187">
        <v>25800</v>
      </c>
    </row>
    <row r="2188" spans="1:14" ht="14.4">
      <c r="A2188">
        <v>13579</v>
      </c>
      <c r="B2188">
        <v>13580</v>
      </c>
      <c r="C2188">
        <v>4116</v>
      </c>
      <c r="D2188" t="s">
        <v>897</v>
      </c>
      <c r="E2188" t="s">
        <v>924</v>
      </c>
      <c r="F2188">
        <v>60613</v>
      </c>
      <c r="G2188" t="s">
        <v>914</v>
      </c>
      <c r="H2188" t="s">
        <v>900</v>
      </c>
      <c r="I2188">
        <v>7425</v>
      </c>
      <c r="J2188">
        <v>0</v>
      </c>
      <c r="K2188">
        <v>7425</v>
      </c>
      <c r="L2188">
        <v>0</v>
      </c>
      <c r="M2188">
        <v>0</v>
      </c>
      <c r="N2188">
        <v>0</v>
      </c>
    </row>
    <row r="2189" spans="1:14" ht="14.4">
      <c r="A2189">
        <v>13579</v>
      </c>
      <c r="B2189">
        <v>13580</v>
      </c>
      <c r="C2189">
        <v>4116</v>
      </c>
      <c r="D2189" t="s">
        <v>897</v>
      </c>
      <c r="E2189" t="s">
        <v>924</v>
      </c>
      <c r="F2189">
        <v>60615</v>
      </c>
      <c r="G2189" t="s">
        <v>914</v>
      </c>
      <c r="H2189" t="s">
        <v>900</v>
      </c>
      <c r="I2189">
        <v>87964</v>
      </c>
      <c r="J2189">
        <v>62844</v>
      </c>
      <c r="K2189">
        <v>25120</v>
      </c>
      <c r="L2189">
        <v>34700</v>
      </c>
      <c r="M2189">
        <v>32700</v>
      </c>
      <c r="N2189">
        <v>2000</v>
      </c>
    </row>
    <row r="2190" spans="1:14" ht="14.4">
      <c r="A2190">
        <v>13579</v>
      </c>
      <c r="B2190">
        <v>13580</v>
      </c>
      <c r="C2190">
        <v>4116</v>
      </c>
      <c r="D2190" t="s">
        <v>897</v>
      </c>
      <c r="E2190" t="s">
        <v>924</v>
      </c>
      <c r="F2190">
        <v>60616</v>
      </c>
      <c r="G2190" t="s">
        <v>914</v>
      </c>
      <c r="H2190" t="s">
        <v>900</v>
      </c>
      <c r="I2190">
        <v>68305</v>
      </c>
      <c r="J2190">
        <v>54675</v>
      </c>
      <c r="K2190">
        <v>13630</v>
      </c>
      <c r="L2190">
        <v>34100</v>
      </c>
      <c r="M2190">
        <v>24100</v>
      </c>
      <c r="N2190">
        <v>10000</v>
      </c>
    </row>
    <row r="2191" spans="1:14" ht="14.4">
      <c r="A2191">
        <v>13579</v>
      </c>
      <c r="B2191">
        <v>13580</v>
      </c>
      <c r="C2191">
        <v>4116</v>
      </c>
      <c r="D2191" t="s">
        <v>897</v>
      </c>
      <c r="E2191" t="s">
        <v>924</v>
      </c>
      <c r="F2191">
        <v>60617</v>
      </c>
      <c r="G2191" t="s">
        <v>914</v>
      </c>
      <c r="H2191" t="s">
        <v>900</v>
      </c>
      <c r="I2191">
        <v>2831668</v>
      </c>
      <c r="J2191">
        <v>2069775</v>
      </c>
      <c r="K2191">
        <v>761893</v>
      </c>
      <c r="L2191">
        <v>1428000</v>
      </c>
      <c r="M2191">
        <v>1036100</v>
      </c>
      <c r="N2191">
        <v>389000</v>
      </c>
    </row>
    <row r="2192" spans="1:14" ht="14.4">
      <c r="A2192">
        <v>13579</v>
      </c>
      <c r="B2192">
        <v>13580</v>
      </c>
      <c r="C2192">
        <v>4116</v>
      </c>
      <c r="D2192" t="s">
        <v>897</v>
      </c>
      <c r="E2192" t="s">
        <v>924</v>
      </c>
      <c r="F2192">
        <v>60618</v>
      </c>
      <c r="G2192" t="s">
        <v>914</v>
      </c>
      <c r="H2192" t="s">
        <v>900</v>
      </c>
      <c r="I2192">
        <v>140018</v>
      </c>
      <c r="J2192">
        <v>94533</v>
      </c>
      <c r="K2192">
        <v>45485</v>
      </c>
      <c r="L2192">
        <v>69300</v>
      </c>
      <c r="M2192">
        <v>45100</v>
      </c>
      <c r="N2192">
        <v>24200</v>
      </c>
    </row>
    <row r="2193" spans="1:14" ht="14.4">
      <c r="A2193">
        <v>13579</v>
      </c>
      <c r="B2193">
        <v>13580</v>
      </c>
      <c r="C2193">
        <v>4116</v>
      </c>
      <c r="D2193" t="s">
        <v>897</v>
      </c>
      <c r="E2193" t="s">
        <v>924</v>
      </c>
      <c r="F2193">
        <v>60619</v>
      </c>
      <c r="G2193" t="s">
        <v>914</v>
      </c>
      <c r="H2193" t="s">
        <v>900</v>
      </c>
      <c r="I2193">
        <v>3896833</v>
      </c>
      <c r="J2193">
        <v>2820869</v>
      </c>
      <c r="K2193">
        <v>1075964</v>
      </c>
      <c r="L2193">
        <v>1939800</v>
      </c>
      <c r="M2193">
        <v>1386400</v>
      </c>
      <c r="N2193">
        <v>553400</v>
      </c>
    </row>
    <row r="2194" spans="1:14" ht="14.4">
      <c r="A2194">
        <v>13579</v>
      </c>
      <c r="B2194">
        <v>13580</v>
      </c>
      <c r="C2194">
        <v>4116</v>
      </c>
      <c r="D2194" t="s">
        <v>897</v>
      </c>
      <c r="E2194" t="s">
        <v>924</v>
      </c>
      <c r="F2194">
        <v>60620</v>
      </c>
      <c r="G2194" t="s">
        <v>914</v>
      </c>
      <c r="H2194" t="s">
        <v>900</v>
      </c>
      <c r="I2194">
        <v>3478719</v>
      </c>
      <c r="J2194">
        <v>2424001</v>
      </c>
      <c r="K2194">
        <v>1054718</v>
      </c>
      <c r="L2194">
        <v>1704100</v>
      </c>
      <c r="M2194">
        <v>1169200</v>
      </c>
      <c r="N2194">
        <v>496800</v>
      </c>
    </row>
    <row r="2195" spans="1:14" ht="14.4">
      <c r="A2195">
        <v>13579</v>
      </c>
      <c r="B2195">
        <v>13580</v>
      </c>
      <c r="C2195">
        <v>4116</v>
      </c>
      <c r="D2195" t="s">
        <v>897</v>
      </c>
      <c r="E2195" t="s">
        <v>924</v>
      </c>
      <c r="F2195">
        <v>60621</v>
      </c>
      <c r="G2195" t="s">
        <v>914</v>
      </c>
      <c r="H2195" t="s">
        <v>900</v>
      </c>
      <c r="I2195">
        <v>466526</v>
      </c>
      <c r="J2195">
        <v>309121</v>
      </c>
      <c r="K2195">
        <v>157405</v>
      </c>
      <c r="L2195">
        <v>203700</v>
      </c>
      <c r="M2195">
        <v>136400</v>
      </c>
      <c r="N2195">
        <v>67300</v>
      </c>
    </row>
    <row r="2196" spans="1:14" ht="14.4">
      <c r="A2196">
        <v>13579</v>
      </c>
      <c r="B2196">
        <v>13580</v>
      </c>
      <c r="C2196">
        <v>4116</v>
      </c>
      <c r="D2196" t="s">
        <v>897</v>
      </c>
      <c r="E2196" t="s">
        <v>924</v>
      </c>
      <c r="F2196">
        <v>60622</v>
      </c>
      <c r="G2196" t="s">
        <v>914</v>
      </c>
      <c r="H2196" t="s">
        <v>900</v>
      </c>
      <c r="I2196">
        <v>67423</v>
      </c>
      <c r="J2196">
        <v>47198</v>
      </c>
      <c r="K2196">
        <v>20225</v>
      </c>
      <c r="L2196">
        <v>65600</v>
      </c>
      <c r="M2196">
        <v>45400</v>
      </c>
      <c r="N2196">
        <v>20200</v>
      </c>
    </row>
    <row r="2197" spans="1:14" ht="14.4">
      <c r="A2197">
        <v>13579</v>
      </c>
      <c r="B2197">
        <v>13580</v>
      </c>
      <c r="C2197">
        <v>4116</v>
      </c>
      <c r="D2197" t="s">
        <v>897</v>
      </c>
      <c r="E2197" t="s">
        <v>924</v>
      </c>
      <c r="F2197">
        <v>60623</v>
      </c>
      <c r="G2197" t="s">
        <v>914</v>
      </c>
      <c r="H2197" t="s">
        <v>900</v>
      </c>
      <c r="I2197">
        <v>400418</v>
      </c>
      <c r="J2197">
        <v>283108</v>
      </c>
      <c r="K2197">
        <v>117310</v>
      </c>
      <c r="L2197">
        <v>162900</v>
      </c>
      <c r="M2197">
        <v>118000</v>
      </c>
      <c r="N2197">
        <v>44900</v>
      </c>
    </row>
    <row r="2198" spans="1:14" ht="14.4">
      <c r="A2198">
        <v>13579</v>
      </c>
      <c r="B2198">
        <v>13580</v>
      </c>
      <c r="C2198">
        <v>4116</v>
      </c>
      <c r="D2198" t="s">
        <v>897</v>
      </c>
      <c r="E2198" t="s">
        <v>924</v>
      </c>
      <c r="F2198">
        <v>60624</v>
      </c>
      <c r="G2198" t="s">
        <v>914</v>
      </c>
      <c r="H2198" t="s">
        <v>900</v>
      </c>
      <c r="I2198">
        <v>511246</v>
      </c>
      <c r="J2198">
        <v>342725</v>
      </c>
      <c r="K2198">
        <v>168521</v>
      </c>
      <c r="L2198">
        <v>159400</v>
      </c>
      <c r="M2198">
        <v>116600</v>
      </c>
      <c r="N2198">
        <v>42800</v>
      </c>
    </row>
    <row r="2199" spans="1:14" ht="14.4">
      <c r="A2199">
        <v>13579</v>
      </c>
      <c r="B2199">
        <v>13580</v>
      </c>
      <c r="C2199">
        <v>4116</v>
      </c>
      <c r="D2199" t="s">
        <v>897</v>
      </c>
      <c r="E2199" t="s">
        <v>924</v>
      </c>
      <c r="F2199">
        <v>60625</v>
      </c>
      <c r="G2199" t="s">
        <v>914</v>
      </c>
      <c r="H2199" t="s">
        <v>900</v>
      </c>
      <c r="I2199">
        <v>525798</v>
      </c>
      <c r="J2199">
        <v>349138</v>
      </c>
      <c r="K2199">
        <v>176660</v>
      </c>
      <c r="L2199">
        <v>139000</v>
      </c>
      <c r="M2199">
        <v>86100</v>
      </c>
      <c r="N2199">
        <v>52900</v>
      </c>
    </row>
    <row r="2200" spans="1:14" ht="14.4">
      <c r="A2200">
        <v>13579</v>
      </c>
      <c r="B2200">
        <v>13580</v>
      </c>
      <c r="C2200">
        <v>4116</v>
      </c>
      <c r="D2200" t="s">
        <v>897</v>
      </c>
      <c r="E2200" t="s">
        <v>924</v>
      </c>
      <c r="F2200">
        <v>60626</v>
      </c>
      <c r="G2200" t="s">
        <v>914</v>
      </c>
      <c r="H2200" t="s">
        <v>900</v>
      </c>
      <c r="I2200">
        <v>71061</v>
      </c>
      <c r="J2200">
        <v>51366</v>
      </c>
      <c r="K2200">
        <v>19695</v>
      </c>
      <c r="L2200">
        <v>30300</v>
      </c>
      <c r="M2200">
        <v>24400</v>
      </c>
      <c r="N2200">
        <v>5900</v>
      </c>
    </row>
    <row r="2201" spans="1:14" ht="14.4">
      <c r="A2201">
        <v>13579</v>
      </c>
      <c r="B2201">
        <v>13580</v>
      </c>
      <c r="C2201">
        <v>4116</v>
      </c>
      <c r="D2201" t="s">
        <v>897</v>
      </c>
      <c r="E2201" t="s">
        <v>924</v>
      </c>
      <c r="F2201">
        <v>60628</v>
      </c>
      <c r="G2201" t="s">
        <v>914</v>
      </c>
      <c r="H2201" t="s">
        <v>900</v>
      </c>
      <c r="I2201">
        <v>4333453</v>
      </c>
      <c r="J2201">
        <v>3146215</v>
      </c>
      <c r="K2201">
        <v>1187238</v>
      </c>
      <c r="L2201">
        <v>1947500</v>
      </c>
      <c r="M2201">
        <v>1448600</v>
      </c>
      <c r="N2201">
        <v>498900</v>
      </c>
    </row>
    <row r="2202" spans="1:14" ht="14.4">
      <c r="A2202">
        <v>13579</v>
      </c>
      <c r="B2202">
        <v>13580</v>
      </c>
      <c r="C2202">
        <v>4116</v>
      </c>
      <c r="D2202" t="s">
        <v>897</v>
      </c>
      <c r="E2202" t="s">
        <v>924</v>
      </c>
      <c r="F2202">
        <v>60629</v>
      </c>
      <c r="G2202" t="s">
        <v>914</v>
      </c>
      <c r="H2202" t="s">
        <v>900</v>
      </c>
      <c r="I2202">
        <v>1364640</v>
      </c>
      <c r="J2202">
        <v>889097</v>
      </c>
      <c r="K2202">
        <v>475543</v>
      </c>
      <c r="L2202">
        <v>543800</v>
      </c>
      <c r="M2202">
        <v>396400</v>
      </c>
      <c r="N2202">
        <v>147400</v>
      </c>
    </row>
    <row r="2203" spans="1:14" ht="14.4">
      <c r="A2203">
        <v>13579</v>
      </c>
      <c r="B2203">
        <v>13580</v>
      </c>
      <c r="C2203">
        <v>4116</v>
      </c>
      <c r="D2203" t="s">
        <v>897</v>
      </c>
      <c r="E2203" t="s">
        <v>924</v>
      </c>
      <c r="F2203">
        <v>60630</v>
      </c>
      <c r="G2203" t="s">
        <v>914</v>
      </c>
      <c r="H2203" t="s">
        <v>900</v>
      </c>
      <c r="I2203">
        <v>1491820</v>
      </c>
      <c r="J2203">
        <v>1079625</v>
      </c>
      <c r="K2203">
        <v>412195</v>
      </c>
      <c r="L2203">
        <v>912400</v>
      </c>
      <c r="M2203">
        <v>629700</v>
      </c>
      <c r="N2203">
        <v>278300</v>
      </c>
    </row>
    <row r="2204" spans="1:14" ht="14.4">
      <c r="A2204">
        <v>13579</v>
      </c>
      <c r="B2204">
        <v>13580</v>
      </c>
      <c r="C2204">
        <v>4116</v>
      </c>
      <c r="D2204" t="s">
        <v>897</v>
      </c>
      <c r="E2204" t="s">
        <v>924</v>
      </c>
      <c r="F2204">
        <v>60631</v>
      </c>
      <c r="G2204" t="s">
        <v>914</v>
      </c>
      <c r="H2204" t="s">
        <v>900</v>
      </c>
      <c r="I2204">
        <v>1277219</v>
      </c>
      <c r="J2204">
        <v>919199</v>
      </c>
      <c r="K2204">
        <v>358020</v>
      </c>
      <c r="L2204">
        <v>700700</v>
      </c>
      <c r="M2204">
        <v>491500</v>
      </c>
      <c r="N2204">
        <v>209200</v>
      </c>
    </row>
    <row r="2205" spans="1:14" ht="14.4">
      <c r="A2205">
        <v>13579</v>
      </c>
      <c r="B2205">
        <v>13580</v>
      </c>
      <c r="C2205">
        <v>4116</v>
      </c>
      <c r="D2205" t="s">
        <v>897</v>
      </c>
      <c r="E2205" t="s">
        <v>924</v>
      </c>
      <c r="F2205">
        <v>60632</v>
      </c>
      <c r="G2205" t="s">
        <v>914</v>
      </c>
      <c r="H2205" t="s">
        <v>900</v>
      </c>
      <c r="I2205">
        <v>43515</v>
      </c>
      <c r="J2205">
        <v>30540</v>
      </c>
      <c r="K2205">
        <v>12975</v>
      </c>
      <c r="L2205">
        <v>13600</v>
      </c>
      <c r="M2205">
        <v>10300</v>
      </c>
      <c r="N2205">
        <v>3300</v>
      </c>
    </row>
    <row r="2206" spans="1:14" ht="14.4">
      <c r="A2206">
        <v>13579</v>
      </c>
      <c r="B2206">
        <v>13580</v>
      </c>
      <c r="C2206">
        <v>4116</v>
      </c>
      <c r="D2206" t="s">
        <v>897</v>
      </c>
      <c r="E2206" t="s">
        <v>924</v>
      </c>
      <c r="F2206">
        <v>60633</v>
      </c>
      <c r="G2206" t="s">
        <v>914</v>
      </c>
      <c r="H2206" t="s">
        <v>900</v>
      </c>
      <c r="I2206">
        <v>111887</v>
      </c>
      <c r="J2206">
        <v>81912</v>
      </c>
      <c r="K2206">
        <v>29975</v>
      </c>
      <c r="L2206">
        <v>39500</v>
      </c>
      <c r="M2206">
        <v>28100</v>
      </c>
      <c r="N2206">
        <v>11400</v>
      </c>
    </row>
    <row r="2207" spans="1:14" ht="14.4">
      <c r="A2207">
        <v>13579</v>
      </c>
      <c r="B2207">
        <v>13580</v>
      </c>
      <c r="C2207">
        <v>4116</v>
      </c>
      <c r="D2207" t="s">
        <v>897</v>
      </c>
      <c r="E2207" t="s">
        <v>924</v>
      </c>
      <c r="F2207">
        <v>60634</v>
      </c>
      <c r="G2207" t="s">
        <v>914</v>
      </c>
      <c r="H2207" t="s">
        <v>900</v>
      </c>
      <c r="I2207">
        <v>2248583</v>
      </c>
      <c r="J2207">
        <v>1631003</v>
      </c>
      <c r="K2207">
        <v>617580</v>
      </c>
      <c r="L2207">
        <v>1242600</v>
      </c>
      <c r="M2207">
        <v>872500</v>
      </c>
      <c r="N2207">
        <v>370100</v>
      </c>
    </row>
    <row r="2208" spans="1:14" ht="14.4">
      <c r="A2208">
        <v>13579</v>
      </c>
      <c r="B2208">
        <v>13580</v>
      </c>
      <c r="C2208">
        <v>4116</v>
      </c>
      <c r="D2208" t="s">
        <v>897</v>
      </c>
      <c r="E2208" t="s">
        <v>924</v>
      </c>
      <c r="F2208">
        <v>60636</v>
      </c>
      <c r="G2208" t="s">
        <v>914</v>
      </c>
      <c r="H2208" t="s">
        <v>900</v>
      </c>
      <c r="I2208">
        <v>803124</v>
      </c>
      <c r="J2208">
        <v>512085</v>
      </c>
      <c r="K2208">
        <v>291039</v>
      </c>
      <c r="L2208">
        <v>311300</v>
      </c>
      <c r="M2208">
        <v>204000</v>
      </c>
      <c r="N2208">
        <v>107300</v>
      </c>
    </row>
    <row r="2209" spans="1:14" ht="14.4">
      <c r="A2209">
        <v>13579</v>
      </c>
      <c r="B2209">
        <v>13580</v>
      </c>
      <c r="C2209">
        <v>4116</v>
      </c>
      <c r="D2209" t="s">
        <v>897</v>
      </c>
      <c r="E2209" t="s">
        <v>924</v>
      </c>
      <c r="F2209">
        <v>60637</v>
      </c>
      <c r="G2209" t="s">
        <v>914</v>
      </c>
      <c r="H2209" t="s">
        <v>900</v>
      </c>
      <c r="I2209">
        <v>537019</v>
      </c>
      <c r="J2209">
        <v>403594</v>
      </c>
      <c r="K2209">
        <v>133425</v>
      </c>
      <c r="L2209">
        <v>288800</v>
      </c>
      <c r="M2209">
        <v>225000</v>
      </c>
      <c r="N2209">
        <v>63800</v>
      </c>
    </row>
    <row r="2210" spans="1:14" ht="14.4">
      <c r="A2210">
        <v>13579</v>
      </c>
      <c r="B2210">
        <v>13580</v>
      </c>
      <c r="C2210">
        <v>4116</v>
      </c>
      <c r="D2210" t="s">
        <v>897</v>
      </c>
      <c r="E2210" t="s">
        <v>924</v>
      </c>
      <c r="F2210">
        <v>60638</v>
      </c>
      <c r="G2210" t="s">
        <v>914</v>
      </c>
      <c r="H2210" t="s">
        <v>900</v>
      </c>
      <c r="I2210">
        <v>144413</v>
      </c>
      <c r="J2210">
        <v>101888</v>
      </c>
      <c r="K2210">
        <v>42525</v>
      </c>
      <c r="L2210">
        <v>61700</v>
      </c>
      <c r="M2210">
        <v>41000</v>
      </c>
      <c r="N2210">
        <v>20700</v>
      </c>
    </row>
    <row r="2211" spans="1:14" ht="14.4">
      <c r="A2211">
        <v>13579</v>
      </c>
      <c r="B2211">
        <v>13580</v>
      </c>
      <c r="C2211">
        <v>4116</v>
      </c>
      <c r="D2211" t="s">
        <v>897</v>
      </c>
      <c r="E2211" t="s">
        <v>924</v>
      </c>
      <c r="F2211">
        <v>60639</v>
      </c>
      <c r="G2211" t="s">
        <v>914</v>
      </c>
      <c r="H2211" t="s">
        <v>900</v>
      </c>
      <c r="I2211">
        <v>712548</v>
      </c>
      <c r="J2211">
        <v>544417</v>
      </c>
      <c r="K2211">
        <v>168131</v>
      </c>
      <c r="L2211">
        <v>320600</v>
      </c>
      <c r="M2211">
        <v>265400</v>
      </c>
      <c r="N2211">
        <v>55200</v>
      </c>
    </row>
    <row r="2212" spans="1:14" ht="14.4">
      <c r="A2212">
        <v>13579</v>
      </c>
      <c r="B2212">
        <v>13580</v>
      </c>
      <c r="C2212">
        <v>4116</v>
      </c>
      <c r="D2212" t="s">
        <v>897</v>
      </c>
      <c r="E2212" t="s">
        <v>924</v>
      </c>
      <c r="F2212">
        <v>60641</v>
      </c>
      <c r="G2212" t="s">
        <v>914</v>
      </c>
      <c r="H2212" t="s">
        <v>900</v>
      </c>
      <c r="I2212">
        <v>215360</v>
      </c>
      <c r="J2212">
        <v>183020</v>
      </c>
      <c r="K2212">
        <v>32340</v>
      </c>
      <c r="L2212">
        <v>107900</v>
      </c>
      <c r="M2212">
        <v>79600</v>
      </c>
      <c r="N2212">
        <v>28300</v>
      </c>
    </row>
    <row r="2213" spans="1:14" ht="14.4">
      <c r="A2213">
        <v>13579</v>
      </c>
      <c r="B2213">
        <v>13580</v>
      </c>
      <c r="C2213">
        <v>4116</v>
      </c>
      <c r="D2213" t="s">
        <v>897</v>
      </c>
      <c r="E2213" t="s">
        <v>924</v>
      </c>
      <c r="F2213">
        <v>60642</v>
      </c>
      <c r="G2213" t="s">
        <v>914</v>
      </c>
      <c r="H2213" t="s">
        <v>900</v>
      </c>
      <c r="I2213">
        <v>126059</v>
      </c>
      <c r="J2213">
        <v>94184</v>
      </c>
      <c r="K2213">
        <v>31875</v>
      </c>
      <c r="L2213">
        <v>0</v>
      </c>
      <c r="M2213">
        <v>0</v>
      </c>
      <c r="N2213">
        <v>0</v>
      </c>
    </row>
    <row r="2214" spans="1:14" ht="14.4">
      <c r="A2214">
        <v>13579</v>
      </c>
      <c r="B2214">
        <v>13580</v>
      </c>
      <c r="C2214">
        <v>4116</v>
      </c>
      <c r="D2214" t="s">
        <v>897</v>
      </c>
      <c r="E2214" t="s">
        <v>924</v>
      </c>
      <c r="F2214">
        <v>60643</v>
      </c>
      <c r="G2214" t="s">
        <v>914</v>
      </c>
      <c r="H2214" t="s">
        <v>900</v>
      </c>
      <c r="I2214">
        <v>2793508</v>
      </c>
      <c r="J2214">
        <v>2160060</v>
      </c>
      <c r="K2214">
        <v>633448</v>
      </c>
      <c r="L2214">
        <v>1350500</v>
      </c>
      <c r="M2214">
        <v>1040435</v>
      </c>
      <c r="N2214">
        <v>310065</v>
      </c>
    </row>
    <row r="2215" spans="1:14" ht="14.4">
      <c r="A2215">
        <v>13579</v>
      </c>
      <c r="B2215">
        <v>13580</v>
      </c>
      <c r="C2215">
        <v>4116</v>
      </c>
      <c r="D2215" t="s">
        <v>897</v>
      </c>
      <c r="E2215" t="s">
        <v>924</v>
      </c>
      <c r="F2215">
        <v>60644</v>
      </c>
      <c r="G2215" t="s">
        <v>914</v>
      </c>
      <c r="H2215" t="s">
        <v>900</v>
      </c>
      <c r="I2215">
        <v>908912</v>
      </c>
      <c r="J2215">
        <v>628941</v>
      </c>
      <c r="K2215">
        <v>279971</v>
      </c>
      <c r="L2215">
        <v>450600</v>
      </c>
      <c r="M2215">
        <v>339200</v>
      </c>
      <c r="N2215">
        <v>111400</v>
      </c>
    </row>
    <row r="2216" spans="1:14" ht="14.4">
      <c r="A2216">
        <v>13579</v>
      </c>
      <c r="B2216">
        <v>13580</v>
      </c>
      <c r="C2216">
        <v>4116</v>
      </c>
      <c r="D2216" t="s">
        <v>897</v>
      </c>
      <c r="E2216" t="s">
        <v>924</v>
      </c>
      <c r="F2216">
        <v>60645</v>
      </c>
      <c r="G2216" t="s">
        <v>914</v>
      </c>
      <c r="H2216" t="s">
        <v>900</v>
      </c>
      <c r="I2216">
        <v>443879</v>
      </c>
      <c r="J2216">
        <v>306941</v>
      </c>
      <c r="K2216">
        <v>136938</v>
      </c>
      <c r="L2216">
        <v>259600</v>
      </c>
      <c r="M2216">
        <v>172700</v>
      </c>
      <c r="N2216">
        <v>86900</v>
      </c>
    </row>
    <row r="2217" spans="1:14" ht="14.4">
      <c r="A2217">
        <v>13579</v>
      </c>
      <c r="B2217">
        <v>13580</v>
      </c>
      <c r="C2217">
        <v>4116</v>
      </c>
      <c r="D2217" t="s">
        <v>897</v>
      </c>
      <c r="E2217" t="s">
        <v>924</v>
      </c>
      <c r="F2217">
        <v>60646</v>
      </c>
      <c r="G2217" t="s">
        <v>914</v>
      </c>
      <c r="H2217" t="s">
        <v>900</v>
      </c>
      <c r="I2217">
        <v>1266887</v>
      </c>
      <c r="J2217">
        <v>934272</v>
      </c>
      <c r="K2217">
        <v>332615</v>
      </c>
      <c r="L2217">
        <v>934400</v>
      </c>
      <c r="M2217">
        <v>672800</v>
      </c>
      <c r="N2217">
        <v>261600</v>
      </c>
    </row>
    <row r="2218" spans="1:14" ht="14.4">
      <c r="A2218">
        <v>13579</v>
      </c>
      <c r="B2218">
        <v>13580</v>
      </c>
      <c r="C2218">
        <v>4116</v>
      </c>
      <c r="D2218" t="s">
        <v>897</v>
      </c>
      <c r="E2218" t="s">
        <v>924</v>
      </c>
      <c r="F2218">
        <v>60647</v>
      </c>
      <c r="G2218" t="s">
        <v>914</v>
      </c>
      <c r="H2218" t="s">
        <v>900</v>
      </c>
      <c r="I2218">
        <v>30361</v>
      </c>
      <c r="J2218">
        <v>22346</v>
      </c>
      <c r="K2218">
        <v>8015</v>
      </c>
      <c r="L2218">
        <v>0</v>
      </c>
      <c r="M2218">
        <v>0</v>
      </c>
      <c r="N2218">
        <v>0</v>
      </c>
    </row>
    <row r="2219" spans="1:14" ht="14.4">
      <c r="A2219">
        <v>13579</v>
      </c>
      <c r="B2219">
        <v>13580</v>
      </c>
      <c r="C2219">
        <v>4116</v>
      </c>
      <c r="D2219" t="s">
        <v>897</v>
      </c>
      <c r="E2219" t="s">
        <v>924</v>
      </c>
      <c r="F2219">
        <v>60649</v>
      </c>
      <c r="G2219" t="s">
        <v>914</v>
      </c>
      <c r="H2219" t="s">
        <v>900</v>
      </c>
      <c r="I2219">
        <v>241934</v>
      </c>
      <c r="J2219">
        <v>174159</v>
      </c>
      <c r="K2219">
        <v>67775</v>
      </c>
      <c r="L2219">
        <v>168900</v>
      </c>
      <c r="M2219">
        <v>135600</v>
      </c>
      <c r="N2219">
        <v>33300</v>
      </c>
    </row>
    <row r="2220" spans="1:14" ht="14.4">
      <c r="A2220">
        <v>13579</v>
      </c>
      <c r="B2220">
        <v>13580</v>
      </c>
      <c r="C2220">
        <v>4116</v>
      </c>
      <c r="D2220" t="s">
        <v>897</v>
      </c>
      <c r="E2220" t="s">
        <v>924</v>
      </c>
      <c r="F2220">
        <v>60651</v>
      </c>
      <c r="G2220" t="s">
        <v>914</v>
      </c>
      <c r="H2220" t="s">
        <v>900</v>
      </c>
      <c r="I2220">
        <v>1620508</v>
      </c>
      <c r="J2220">
        <v>1226004</v>
      </c>
      <c r="K2220">
        <v>394504</v>
      </c>
      <c r="L2220">
        <v>716100</v>
      </c>
      <c r="M2220">
        <v>539800</v>
      </c>
      <c r="N2220">
        <v>176300</v>
      </c>
    </row>
    <row r="2221" spans="1:14" ht="14.4">
      <c r="A2221">
        <v>13579</v>
      </c>
      <c r="B2221">
        <v>13580</v>
      </c>
      <c r="C2221">
        <v>4116</v>
      </c>
      <c r="D2221" t="s">
        <v>897</v>
      </c>
      <c r="E2221" t="s">
        <v>924</v>
      </c>
      <c r="F2221">
        <v>60652</v>
      </c>
      <c r="G2221" t="s">
        <v>914</v>
      </c>
      <c r="H2221" t="s">
        <v>900</v>
      </c>
      <c r="I2221">
        <v>1672406</v>
      </c>
      <c r="J2221">
        <v>1192458</v>
      </c>
      <c r="K2221">
        <v>479948</v>
      </c>
      <c r="L2221">
        <v>803700</v>
      </c>
      <c r="M2221">
        <v>589500</v>
      </c>
      <c r="N2221">
        <v>214200</v>
      </c>
    </row>
    <row r="2222" spans="1:14" ht="14.4">
      <c r="A2222">
        <v>13579</v>
      </c>
      <c r="B2222">
        <v>13580</v>
      </c>
      <c r="C2222">
        <v>4116</v>
      </c>
      <c r="D2222" t="s">
        <v>897</v>
      </c>
      <c r="E2222" t="s">
        <v>924</v>
      </c>
      <c r="F2222">
        <v>60653</v>
      </c>
      <c r="G2222" t="s">
        <v>914</v>
      </c>
      <c r="H2222" t="s">
        <v>900</v>
      </c>
      <c r="I2222">
        <v>211111</v>
      </c>
      <c r="J2222">
        <v>155811</v>
      </c>
      <c r="K2222">
        <v>55300</v>
      </c>
      <c r="L2222">
        <v>74800</v>
      </c>
      <c r="M2222">
        <v>67000</v>
      </c>
      <c r="N2222">
        <v>7800</v>
      </c>
    </row>
    <row r="2223" spans="1:14" ht="14.4">
      <c r="A2223">
        <v>13579</v>
      </c>
      <c r="B2223">
        <v>13580</v>
      </c>
      <c r="C2223">
        <v>4116</v>
      </c>
      <c r="D2223" t="s">
        <v>897</v>
      </c>
      <c r="E2223" t="s">
        <v>924</v>
      </c>
      <c r="F2223">
        <v>60655</v>
      </c>
      <c r="G2223" t="s">
        <v>914</v>
      </c>
      <c r="H2223" t="s">
        <v>900</v>
      </c>
      <c r="I2223">
        <v>243737</v>
      </c>
      <c r="J2223">
        <v>193957</v>
      </c>
      <c r="K2223">
        <v>49780</v>
      </c>
      <c r="L2223">
        <v>140800</v>
      </c>
      <c r="M2223">
        <v>115600</v>
      </c>
      <c r="N2223">
        <v>25200</v>
      </c>
    </row>
    <row r="2224" spans="1:14" ht="14.4">
      <c r="A2224">
        <v>13579</v>
      </c>
      <c r="B2224">
        <v>13580</v>
      </c>
      <c r="C2224">
        <v>4116</v>
      </c>
      <c r="D2224" t="s">
        <v>897</v>
      </c>
      <c r="E2224" t="s">
        <v>924</v>
      </c>
      <c r="F2224">
        <v>60656</v>
      </c>
      <c r="G2224" t="s">
        <v>914</v>
      </c>
      <c r="H2224" t="s">
        <v>900</v>
      </c>
      <c r="I2224">
        <v>1272699</v>
      </c>
      <c r="J2224">
        <v>913504</v>
      </c>
      <c r="K2224">
        <v>359195</v>
      </c>
      <c r="L2224">
        <v>863800</v>
      </c>
      <c r="M2224">
        <v>608300</v>
      </c>
      <c r="N2224">
        <v>255500</v>
      </c>
    </row>
    <row r="2225" spans="1:14" ht="14.4">
      <c r="A2225">
        <v>13579</v>
      </c>
      <c r="B2225">
        <v>13580</v>
      </c>
      <c r="C2225">
        <v>4116</v>
      </c>
      <c r="D2225" t="s">
        <v>897</v>
      </c>
      <c r="E2225" t="s">
        <v>924</v>
      </c>
      <c r="F2225">
        <v>60659</v>
      </c>
      <c r="G2225" t="s">
        <v>914</v>
      </c>
      <c r="H2225" t="s">
        <v>900</v>
      </c>
      <c r="I2225">
        <v>419371</v>
      </c>
      <c r="J2225">
        <v>304091</v>
      </c>
      <c r="K2225">
        <v>115280</v>
      </c>
      <c r="L2225">
        <v>147200</v>
      </c>
      <c r="M2225">
        <v>97600</v>
      </c>
      <c r="N2225">
        <v>49600</v>
      </c>
    </row>
    <row r="2226" spans="1:14" ht="14.4">
      <c r="A2226">
        <v>13579</v>
      </c>
      <c r="B2226">
        <v>13580</v>
      </c>
      <c r="C2226">
        <v>4116</v>
      </c>
      <c r="D2226" t="s">
        <v>897</v>
      </c>
      <c r="E2226" t="s">
        <v>924</v>
      </c>
      <c r="F2226">
        <v>60678</v>
      </c>
      <c r="G2226" t="s">
        <v>914</v>
      </c>
      <c r="H2226" t="s">
        <v>900</v>
      </c>
      <c r="I2226">
        <v>6860</v>
      </c>
      <c r="J2226">
        <v>0</v>
      </c>
      <c r="K2226">
        <v>6860</v>
      </c>
      <c r="L2226">
        <v>0</v>
      </c>
      <c r="M2226">
        <v>0</v>
      </c>
      <c r="N2226">
        <v>0</v>
      </c>
    </row>
    <row r="2227" spans="1:14" ht="14.4">
      <c r="A2227">
        <v>13579</v>
      </c>
      <c r="B2227">
        <v>13580</v>
      </c>
      <c r="C2227">
        <v>4116</v>
      </c>
      <c r="D2227" t="s">
        <v>897</v>
      </c>
      <c r="E2227" t="s">
        <v>924</v>
      </c>
      <c r="F2227">
        <v>60707</v>
      </c>
      <c r="G2227" t="s">
        <v>914</v>
      </c>
      <c r="H2227" t="s">
        <v>900</v>
      </c>
      <c r="I2227">
        <v>465391</v>
      </c>
      <c r="J2227">
        <v>355606</v>
      </c>
      <c r="K2227">
        <v>109785</v>
      </c>
      <c r="L2227">
        <v>363300</v>
      </c>
      <c r="M2227">
        <v>270200</v>
      </c>
      <c r="N2227">
        <v>93100</v>
      </c>
    </row>
    <row r="2228" spans="1:14" ht="14.4">
      <c r="A2228">
        <v>13579</v>
      </c>
      <c r="B2228">
        <v>13580</v>
      </c>
      <c r="C2228">
        <v>4116</v>
      </c>
      <c r="D2228" t="s">
        <v>897</v>
      </c>
      <c r="E2228" t="s">
        <v>924</v>
      </c>
      <c r="F2228">
        <v>60827</v>
      </c>
      <c r="G2228" t="s">
        <v>914</v>
      </c>
      <c r="H2228" t="s">
        <v>900</v>
      </c>
      <c r="I2228">
        <v>15185</v>
      </c>
      <c r="J2228">
        <v>6810</v>
      </c>
      <c r="K2228">
        <v>8375</v>
      </c>
      <c r="L2228">
        <v>0</v>
      </c>
      <c r="M2228">
        <v>0</v>
      </c>
      <c r="N2228">
        <v>0</v>
      </c>
    </row>
    <row r="2229" spans="1:14" ht="14.4">
      <c r="A2229">
        <v>13579</v>
      </c>
      <c r="B2229">
        <v>13580</v>
      </c>
      <c r="C2229">
        <v>4116</v>
      </c>
      <c r="D2229" t="s">
        <v>897</v>
      </c>
      <c r="E2229" t="s">
        <v>925</v>
      </c>
      <c r="F2229">
        <v>60411</v>
      </c>
      <c r="G2229" t="s">
        <v>914</v>
      </c>
      <c r="H2229" t="s">
        <v>900</v>
      </c>
      <c r="I2229">
        <v>1022445</v>
      </c>
      <c r="J2229">
        <v>781434</v>
      </c>
      <c r="K2229">
        <v>241011</v>
      </c>
      <c r="L2229">
        <v>330500</v>
      </c>
      <c r="M2229">
        <v>231500</v>
      </c>
      <c r="N2229">
        <v>99000</v>
      </c>
    </row>
    <row r="2230" spans="1:14" ht="14.4">
      <c r="A2230">
        <v>13579</v>
      </c>
      <c r="B2230">
        <v>13580</v>
      </c>
      <c r="C2230">
        <v>4116</v>
      </c>
      <c r="D2230" t="s">
        <v>897</v>
      </c>
      <c r="E2230" t="s">
        <v>926</v>
      </c>
      <c r="F2230">
        <v>60411</v>
      </c>
      <c r="G2230" t="s">
        <v>914</v>
      </c>
      <c r="H2230" t="s">
        <v>900</v>
      </c>
      <c r="I2230">
        <v>131218</v>
      </c>
      <c r="J2230">
        <v>116523</v>
      </c>
      <c r="K2230">
        <v>14695</v>
      </c>
      <c r="L2230">
        <v>123800</v>
      </c>
      <c r="M2230">
        <v>109000</v>
      </c>
      <c r="N2230">
        <v>14800</v>
      </c>
    </row>
    <row r="2231" spans="1:14" ht="14.4">
      <c r="A2231">
        <v>13579</v>
      </c>
      <c r="B2231">
        <v>13580</v>
      </c>
      <c r="C2231">
        <v>4116</v>
      </c>
      <c r="D2231" t="s">
        <v>897</v>
      </c>
      <c r="E2231" t="s">
        <v>1844</v>
      </c>
      <c r="F2231">
        <v>60415</v>
      </c>
      <c r="G2231" t="s">
        <v>914</v>
      </c>
      <c r="H2231" t="s">
        <v>900</v>
      </c>
      <c r="I2231">
        <v>7555</v>
      </c>
      <c r="J2231">
        <v>7555</v>
      </c>
      <c r="K2231">
        <v>0</v>
      </c>
      <c r="L2231">
        <v>7600</v>
      </c>
      <c r="M2231">
        <v>7600</v>
      </c>
      <c r="N2231">
        <v>0</v>
      </c>
    </row>
    <row r="2232" spans="1:14" ht="14.4">
      <c r="A2232">
        <v>13579</v>
      </c>
      <c r="B2232">
        <v>13580</v>
      </c>
      <c r="C2232">
        <v>4116</v>
      </c>
      <c r="D2232" t="s">
        <v>897</v>
      </c>
      <c r="E2232" t="s">
        <v>927</v>
      </c>
      <c r="F2232">
        <v>61523</v>
      </c>
      <c r="G2232" t="s">
        <v>908</v>
      </c>
      <c r="H2232" t="s">
        <v>900</v>
      </c>
      <c r="I2232">
        <v>318477</v>
      </c>
      <c r="J2232">
        <v>243287</v>
      </c>
      <c r="K2232">
        <v>75190</v>
      </c>
      <c r="L2232">
        <v>161500</v>
      </c>
      <c r="M2232">
        <v>147300</v>
      </c>
      <c r="N2232">
        <v>14200</v>
      </c>
    </row>
    <row r="2233" spans="1:14" ht="14.4">
      <c r="A2233">
        <v>13579</v>
      </c>
      <c r="B2233">
        <v>13580</v>
      </c>
      <c r="C2233">
        <v>4116</v>
      </c>
      <c r="D2233" t="s">
        <v>897</v>
      </c>
      <c r="E2233" t="s">
        <v>1845</v>
      </c>
      <c r="F2233">
        <v>60804</v>
      </c>
      <c r="G2233" t="s">
        <v>914</v>
      </c>
      <c r="H2233" t="s">
        <v>900</v>
      </c>
      <c r="I2233">
        <v>219049</v>
      </c>
      <c r="J2233">
        <v>176804</v>
      </c>
      <c r="K2233">
        <v>42245</v>
      </c>
      <c r="L2233">
        <v>39800</v>
      </c>
      <c r="M2233">
        <v>28200</v>
      </c>
      <c r="N2233">
        <v>11600</v>
      </c>
    </row>
    <row r="2234" spans="1:14" ht="14.4">
      <c r="A2234">
        <v>13579</v>
      </c>
      <c r="B2234">
        <v>13580</v>
      </c>
      <c r="C2234">
        <v>4116</v>
      </c>
      <c r="D2234" t="s">
        <v>897</v>
      </c>
      <c r="E2234" t="s">
        <v>1846</v>
      </c>
      <c r="F2234">
        <v>60514</v>
      </c>
      <c r="G2234" t="s">
        <v>899</v>
      </c>
      <c r="H2234" t="s">
        <v>900</v>
      </c>
      <c r="I2234">
        <v>94398</v>
      </c>
      <c r="J2234">
        <v>68198</v>
      </c>
      <c r="K2234">
        <v>26200</v>
      </c>
      <c r="L2234">
        <v>36800</v>
      </c>
      <c r="M2234">
        <v>25500</v>
      </c>
      <c r="N2234">
        <v>11300</v>
      </c>
    </row>
    <row r="2235" spans="1:14" ht="14.4">
      <c r="A2235">
        <v>13579</v>
      </c>
      <c r="B2235">
        <v>13580</v>
      </c>
      <c r="C2235">
        <v>4116</v>
      </c>
      <c r="D2235" t="s">
        <v>897</v>
      </c>
      <c r="E2235" t="s">
        <v>1847</v>
      </c>
      <c r="F2235">
        <v>60416</v>
      </c>
      <c r="G2235" t="s">
        <v>970</v>
      </c>
      <c r="H2235" t="s">
        <v>900</v>
      </c>
      <c r="I2235">
        <v>72790</v>
      </c>
      <c r="J2235">
        <v>68470</v>
      </c>
      <c r="K2235">
        <v>4320</v>
      </c>
      <c r="L2235">
        <v>0</v>
      </c>
      <c r="M2235">
        <v>0</v>
      </c>
      <c r="N2235">
        <v>0</v>
      </c>
    </row>
    <row r="2236" spans="1:14" ht="14.4">
      <c r="A2236">
        <v>13579</v>
      </c>
      <c r="B2236">
        <v>13580</v>
      </c>
      <c r="C2236">
        <v>4116</v>
      </c>
      <c r="D2236" t="s">
        <v>897</v>
      </c>
      <c r="E2236" t="s">
        <v>1848</v>
      </c>
      <c r="F2236">
        <v>62326</v>
      </c>
      <c r="G2236" t="s">
        <v>962</v>
      </c>
      <c r="H2236" t="s">
        <v>900</v>
      </c>
      <c r="I2236">
        <v>147271</v>
      </c>
      <c r="J2236">
        <v>124121</v>
      </c>
      <c r="K2236">
        <v>23150</v>
      </c>
      <c r="L2236">
        <v>128700</v>
      </c>
      <c r="M2236">
        <v>105500</v>
      </c>
      <c r="N2236">
        <v>23200</v>
      </c>
    </row>
    <row r="2237" spans="1:14" ht="14.4">
      <c r="A2237">
        <v>13579</v>
      </c>
      <c r="B2237">
        <v>13580</v>
      </c>
      <c r="C2237">
        <v>4116</v>
      </c>
      <c r="D2237" t="s">
        <v>897</v>
      </c>
      <c r="E2237" t="s">
        <v>928</v>
      </c>
      <c r="F2237">
        <v>60478</v>
      </c>
      <c r="G2237" t="s">
        <v>914</v>
      </c>
      <c r="H2237" t="s">
        <v>900</v>
      </c>
      <c r="I2237">
        <v>560751</v>
      </c>
      <c r="J2237">
        <v>428536</v>
      </c>
      <c r="K2237">
        <v>132215</v>
      </c>
      <c r="L2237">
        <v>235700</v>
      </c>
      <c r="M2237">
        <v>168100</v>
      </c>
      <c r="N2237">
        <v>67600</v>
      </c>
    </row>
    <row r="2238" spans="1:14" ht="14.4">
      <c r="A2238">
        <v>13579</v>
      </c>
      <c r="B2238">
        <v>13580</v>
      </c>
      <c r="C2238">
        <v>4116</v>
      </c>
      <c r="D2238" t="s">
        <v>897</v>
      </c>
      <c r="E2238" t="s">
        <v>1849</v>
      </c>
      <c r="F2238">
        <v>60525</v>
      </c>
      <c r="G2238" t="s">
        <v>914</v>
      </c>
      <c r="H2238" t="s">
        <v>900</v>
      </c>
      <c r="I2238">
        <v>20396</v>
      </c>
      <c r="J2238">
        <v>20396</v>
      </c>
      <c r="K2238">
        <v>0</v>
      </c>
      <c r="L2238">
        <v>0</v>
      </c>
      <c r="M2238">
        <v>0</v>
      </c>
      <c r="N2238">
        <v>0</v>
      </c>
    </row>
    <row r="2239" spans="1:14" ht="14.4">
      <c r="A2239">
        <v>13579</v>
      </c>
      <c r="B2239">
        <v>13580</v>
      </c>
      <c r="C2239">
        <v>4116</v>
      </c>
      <c r="D2239" t="s">
        <v>897</v>
      </c>
      <c r="E2239" t="s">
        <v>1850</v>
      </c>
      <c r="F2239">
        <v>60403</v>
      </c>
      <c r="G2239" t="s">
        <v>917</v>
      </c>
      <c r="H2239" t="s">
        <v>900</v>
      </c>
      <c r="I2239">
        <v>112226</v>
      </c>
      <c r="J2239">
        <v>112226</v>
      </c>
      <c r="K2239">
        <v>0</v>
      </c>
      <c r="L2239">
        <v>105000</v>
      </c>
      <c r="M2239">
        <v>105000</v>
      </c>
      <c r="N2239">
        <v>0</v>
      </c>
    </row>
    <row r="2240" spans="1:14" ht="14.4">
      <c r="A2240">
        <v>13579</v>
      </c>
      <c r="B2240">
        <v>13580</v>
      </c>
      <c r="C2240">
        <v>4116</v>
      </c>
      <c r="D2240" t="s">
        <v>897</v>
      </c>
      <c r="E2240" t="s">
        <v>1851</v>
      </c>
      <c r="F2240">
        <v>60417</v>
      </c>
      <c r="G2240" t="s">
        <v>917</v>
      </c>
      <c r="H2240" t="s">
        <v>900</v>
      </c>
      <c r="I2240">
        <v>450839</v>
      </c>
      <c r="J2240">
        <v>303194</v>
      </c>
      <c r="K2240">
        <v>147645</v>
      </c>
      <c r="L2240">
        <v>212100</v>
      </c>
      <c r="M2240">
        <v>166200</v>
      </c>
      <c r="N2240">
        <v>45900</v>
      </c>
    </row>
    <row r="2241" spans="1:14" ht="14.4">
      <c r="A2241">
        <v>13579</v>
      </c>
      <c r="B2241">
        <v>13580</v>
      </c>
      <c r="C2241">
        <v>4116</v>
      </c>
      <c r="D2241" t="s">
        <v>897</v>
      </c>
      <c r="E2241" t="s">
        <v>1852</v>
      </c>
      <c r="F2241">
        <v>61610</v>
      </c>
      <c r="G2241" t="s">
        <v>1853</v>
      </c>
      <c r="H2241" t="s">
        <v>900</v>
      </c>
      <c r="I2241">
        <v>28611</v>
      </c>
      <c r="J2241">
        <v>24111</v>
      </c>
      <c r="K2241">
        <v>4500</v>
      </c>
      <c r="L2241">
        <v>22600</v>
      </c>
      <c r="M2241">
        <v>18100</v>
      </c>
      <c r="N2241">
        <v>4500</v>
      </c>
    </row>
    <row r="2242" spans="1:14" ht="14.4">
      <c r="A2242">
        <v>13579</v>
      </c>
      <c r="B2242">
        <v>13580</v>
      </c>
      <c r="C2242">
        <v>4116</v>
      </c>
      <c r="D2242" t="s">
        <v>897</v>
      </c>
      <c r="E2242" t="s">
        <v>1854</v>
      </c>
      <c r="F2242">
        <v>60012</v>
      </c>
      <c r="G2242" t="s">
        <v>1812</v>
      </c>
      <c r="H2242" t="s">
        <v>900</v>
      </c>
      <c r="I2242">
        <v>16444</v>
      </c>
      <c r="J2242">
        <v>12369</v>
      </c>
      <c r="K2242">
        <v>4075</v>
      </c>
      <c r="L2242">
        <v>10000</v>
      </c>
      <c r="M2242">
        <v>10000</v>
      </c>
      <c r="N2242">
        <v>0</v>
      </c>
    </row>
    <row r="2243" spans="1:14" ht="14.4">
      <c r="A2243">
        <v>13579</v>
      </c>
      <c r="B2243">
        <v>13580</v>
      </c>
      <c r="C2243">
        <v>4116</v>
      </c>
      <c r="D2243" t="s">
        <v>897</v>
      </c>
      <c r="E2243" t="s">
        <v>1855</v>
      </c>
      <c r="F2243">
        <v>60478</v>
      </c>
      <c r="G2243" t="s">
        <v>914</v>
      </c>
      <c r="H2243" t="s">
        <v>900</v>
      </c>
      <c r="I2243">
        <v>6724</v>
      </c>
      <c r="J2243">
        <v>6184</v>
      </c>
      <c r="K2243">
        <v>540</v>
      </c>
      <c r="L2243">
        <v>0</v>
      </c>
      <c r="M2243">
        <v>0</v>
      </c>
      <c r="N2243">
        <v>0</v>
      </c>
    </row>
    <row r="2244" spans="1:14" ht="14.4">
      <c r="A2244">
        <v>13579</v>
      </c>
      <c r="B2244">
        <v>13580</v>
      </c>
      <c r="C2244">
        <v>4116</v>
      </c>
      <c r="D2244" t="s">
        <v>897</v>
      </c>
      <c r="E2244" t="s">
        <v>929</v>
      </c>
      <c r="F2244">
        <v>61427</v>
      </c>
      <c r="G2244" t="s">
        <v>930</v>
      </c>
      <c r="H2244" t="s">
        <v>900</v>
      </c>
      <c r="I2244">
        <v>53694</v>
      </c>
      <c r="J2244">
        <v>24469</v>
      </c>
      <c r="K2244">
        <v>29225</v>
      </c>
      <c r="L2244">
        <v>26000</v>
      </c>
      <c r="M2244">
        <v>5700</v>
      </c>
      <c r="N2244">
        <v>20300</v>
      </c>
    </row>
    <row r="2245" spans="1:14" ht="14.4">
      <c r="A2245">
        <v>13579</v>
      </c>
      <c r="B2245">
        <v>13580</v>
      </c>
      <c r="C2245">
        <v>4116</v>
      </c>
      <c r="D2245" t="s">
        <v>897</v>
      </c>
      <c r="E2245" t="s">
        <v>1856</v>
      </c>
      <c r="F2245">
        <v>61428</v>
      </c>
      <c r="G2245" t="s">
        <v>946</v>
      </c>
      <c r="H2245" t="s">
        <v>900</v>
      </c>
      <c r="I2245">
        <v>13840</v>
      </c>
      <c r="J2245">
        <v>11290</v>
      </c>
      <c r="K2245">
        <v>2550</v>
      </c>
      <c r="L2245">
        <v>13900</v>
      </c>
      <c r="M2245">
        <v>11300</v>
      </c>
      <c r="N2245">
        <v>2600</v>
      </c>
    </row>
    <row r="2246" spans="1:14" ht="14.4">
      <c r="A2246">
        <v>13579</v>
      </c>
      <c r="B2246">
        <v>13580</v>
      </c>
      <c r="C2246">
        <v>4116</v>
      </c>
      <c r="D2246" t="s">
        <v>897</v>
      </c>
      <c r="E2246" t="s">
        <v>1857</v>
      </c>
      <c r="F2246">
        <v>61320</v>
      </c>
      <c r="G2246" t="s">
        <v>981</v>
      </c>
      <c r="H2246" t="s">
        <v>900</v>
      </c>
      <c r="I2246">
        <v>9838</v>
      </c>
      <c r="J2246">
        <v>5788</v>
      </c>
      <c r="K2246">
        <v>4050</v>
      </c>
      <c r="L2246">
        <v>8800</v>
      </c>
      <c r="M2246">
        <v>4700</v>
      </c>
      <c r="N2246">
        <v>4100</v>
      </c>
    </row>
    <row r="2247" spans="1:14" ht="14.4">
      <c r="A2247">
        <v>13579</v>
      </c>
      <c r="B2247">
        <v>13580</v>
      </c>
      <c r="C2247">
        <v>4116</v>
      </c>
      <c r="D2247" t="s">
        <v>897</v>
      </c>
      <c r="E2247" t="s">
        <v>843</v>
      </c>
      <c r="F2247">
        <v>60561</v>
      </c>
      <c r="G2247" t="s">
        <v>899</v>
      </c>
      <c r="H2247" t="s">
        <v>900</v>
      </c>
      <c r="I2247">
        <v>67900</v>
      </c>
      <c r="J2247">
        <v>44200</v>
      </c>
      <c r="K2247">
        <v>23700</v>
      </c>
      <c r="L2247">
        <v>61600</v>
      </c>
      <c r="M2247">
        <v>37900</v>
      </c>
      <c r="N2247">
        <v>23700</v>
      </c>
    </row>
    <row r="2248" spans="1:14" ht="14.4">
      <c r="A2248">
        <v>13579</v>
      </c>
      <c r="B2248">
        <v>13580</v>
      </c>
      <c r="C2248">
        <v>4116</v>
      </c>
      <c r="D2248" t="s">
        <v>897</v>
      </c>
      <c r="E2248" t="s">
        <v>1858</v>
      </c>
      <c r="F2248">
        <v>61019</v>
      </c>
      <c r="G2248" t="s">
        <v>991</v>
      </c>
      <c r="H2248" t="s">
        <v>900</v>
      </c>
      <c r="I2248">
        <v>53115</v>
      </c>
      <c r="J2248">
        <v>41370</v>
      </c>
      <c r="K2248">
        <v>11745</v>
      </c>
      <c r="L2248">
        <v>17300</v>
      </c>
      <c r="M2248">
        <v>5500</v>
      </c>
      <c r="N2248">
        <v>11800</v>
      </c>
    </row>
    <row r="2249" spans="1:14" ht="14.4">
      <c r="A2249">
        <v>13579</v>
      </c>
      <c r="B2249">
        <v>13580</v>
      </c>
      <c r="C2249">
        <v>4116</v>
      </c>
      <c r="D2249" t="s">
        <v>897</v>
      </c>
      <c r="E2249" t="s">
        <v>931</v>
      </c>
      <c r="F2249">
        <v>60015</v>
      </c>
      <c r="G2249" t="s">
        <v>902</v>
      </c>
      <c r="H2249" t="s">
        <v>900</v>
      </c>
      <c r="I2249">
        <v>9575</v>
      </c>
      <c r="J2249">
        <v>0</v>
      </c>
      <c r="K2249">
        <v>9575</v>
      </c>
      <c r="L2249">
        <v>9600</v>
      </c>
      <c r="M2249">
        <v>0</v>
      </c>
      <c r="N2249">
        <v>9600</v>
      </c>
    </row>
    <row r="2250" spans="1:14" ht="14.4">
      <c r="A2250">
        <v>13579</v>
      </c>
      <c r="B2250">
        <v>13580</v>
      </c>
      <c r="C2250">
        <v>4116</v>
      </c>
      <c r="D2250" t="s">
        <v>897</v>
      </c>
      <c r="E2250" t="s">
        <v>1859</v>
      </c>
      <c r="F2250">
        <v>60115</v>
      </c>
      <c r="G2250" t="s">
        <v>1859</v>
      </c>
      <c r="H2250" t="s">
        <v>900</v>
      </c>
      <c r="I2250">
        <v>10813</v>
      </c>
      <c r="J2250">
        <v>7438</v>
      </c>
      <c r="K2250">
        <v>3375</v>
      </c>
      <c r="L2250">
        <v>10000</v>
      </c>
      <c r="M2250">
        <v>6700</v>
      </c>
      <c r="N2250">
        <v>3300</v>
      </c>
    </row>
    <row r="2251" spans="1:14" ht="14.4">
      <c r="A2251">
        <v>13579</v>
      </c>
      <c r="B2251">
        <v>13580</v>
      </c>
      <c r="C2251">
        <v>4116</v>
      </c>
      <c r="D2251" t="s">
        <v>897</v>
      </c>
      <c r="E2251" t="s">
        <v>932</v>
      </c>
      <c r="F2251">
        <v>60016</v>
      </c>
      <c r="G2251" t="s">
        <v>914</v>
      </c>
      <c r="H2251" t="s">
        <v>900</v>
      </c>
      <c r="I2251">
        <v>1708864</v>
      </c>
      <c r="J2251">
        <v>1317634</v>
      </c>
      <c r="K2251">
        <v>391230</v>
      </c>
      <c r="L2251">
        <v>674200</v>
      </c>
      <c r="M2251">
        <v>510000</v>
      </c>
      <c r="N2251">
        <v>164200</v>
      </c>
    </row>
    <row r="2252" spans="1:14" ht="14.4">
      <c r="A2252">
        <v>13579</v>
      </c>
      <c r="B2252">
        <v>13580</v>
      </c>
      <c r="C2252">
        <v>4116</v>
      </c>
      <c r="D2252" t="s">
        <v>897</v>
      </c>
      <c r="E2252" t="s">
        <v>932</v>
      </c>
      <c r="F2252">
        <v>60018</v>
      </c>
      <c r="G2252" t="s">
        <v>914</v>
      </c>
      <c r="H2252" t="s">
        <v>900</v>
      </c>
      <c r="I2252">
        <v>474526</v>
      </c>
      <c r="J2252">
        <v>321786</v>
      </c>
      <c r="K2252">
        <v>152740</v>
      </c>
      <c r="L2252">
        <v>167200</v>
      </c>
      <c r="M2252">
        <v>92600</v>
      </c>
      <c r="N2252">
        <v>74600</v>
      </c>
    </row>
    <row r="2253" spans="1:14" ht="14.4">
      <c r="A2253">
        <v>13579</v>
      </c>
      <c r="B2253">
        <v>13580</v>
      </c>
      <c r="C2253">
        <v>4116</v>
      </c>
      <c r="D2253" t="s">
        <v>897</v>
      </c>
      <c r="E2253" t="s">
        <v>1860</v>
      </c>
      <c r="F2253">
        <v>60426</v>
      </c>
      <c r="G2253" t="s">
        <v>914</v>
      </c>
      <c r="H2253" t="s">
        <v>900</v>
      </c>
      <c r="I2253">
        <v>82218</v>
      </c>
      <c r="J2253">
        <v>58038</v>
      </c>
      <c r="K2253">
        <v>24180</v>
      </c>
      <c r="L2253">
        <v>37100</v>
      </c>
      <c r="M2253">
        <v>29700</v>
      </c>
      <c r="N2253">
        <v>7400</v>
      </c>
    </row>
    <row r="2254" spans="1:14" ht="14.4">
      <c r="A2254">
        <v>13579</v>
      </c>
      <c r="B2254">
        <v>13580</v>
      </c>
      <c r="C2254">
        <v>4116</v>
      </c>
      <c r="D2254" t="s">
        <v>897</v>
      </c>
      <c r="E2254" t="s">
        <v>933</v>
      </c>
      <c r="F2254">
        <v>60419</v>
      </c>
      <c r="G2254" t="s">
        <v>914</v>
      </c>
      <c r="H2254" t="s">
        <v>900</v>
      </c>
      <c r="I2254">
        <v>1636264</v>
      </c>
      <c r="J2254">
        <v>1131949</v>
      </c>
      <c r="K2254">
        <v>504315</v>
      </c>
      <c r="L2254">
        <v>685500</v>
      </c>
      <c r="M2254">
        <v>456900</v>
      </c>
      <c r="N2254">
        <v>228600</v>
      </c>
    </row>
    <row r="2255" spans="1:14" ht="14.4">
      <c r="A2255">
        <v>13579</v>
      </c>
      <c r="B2255">
        <v>13580</v>
      </c>
      <c r="C2255">
        <v>4116</v>
      </c>
      <c r="D2255" t="s">
        <v>897</v>
      </c>
      <c r="E2255" t="s">
        <v>1486</v>
      </c>
      <c r="F2255">
        <v>61323</v>
      </c>
      <c r="G2255" t="s">
        <v>981</v>
      </c>
      <c r="H2255" t="s">
        <v>900</v>
      </c>
      <c r="I2255">
        <v>23411</v>
      </c>
      <c r="J2255">
        <v>15051</v>
      </c>
      <c r="K2255">
        <v>8360</v>
      </c>
      <c r="L2255">
        <v>19600</v>
      </c>
      <c r="M2255">
        <v>11200</v>
      </c>
      <c r="N2255">
        <v>8400</v>
      </c>
    </row>
    <row r="2256" spans="1:14" ht="14.4">
      <c r="A2256">
        <v>13579</v>
      </c>
      <c r="B2256">
        <v>13580</v>
      </c>
      <c r="C2256">
        <v>4116</v>
      </c>
      <c r="D2256" t="s">
        <v>897</v>
      </c>
      <c r="E2256" t="s">
        <v>934</v>
      </c>
      <c r="F2256">
        <v>60515</v>
      </c>
      <c r="G2256" t="s">
        <v>899</v>
      </c>
      <c r="H2256" t="s">
        <v>900</v>
      </c>
      <c r="I2256">
        <v>1735522</v>
      </c>
      <c r="J2256">
        <v>1285131</v>
      </c>
      <c r="K2256">
        <v>450391</v>
      </c>
      <c r="L2256">
        <v>889400</v>
      </c>
      <c r="M2256">
        <v>644700</v>
      </c>
      <c r="N2256">
        <v>244700</v>
      </c>
    </row>
    <row r="2257" spans="1:14" ht="14.4">
      <c r="A2257">
        <v>13579</v>
      </c>
      <c r="B2257">
        <v>13580</v>
      </c>
      <c r="C2257">
        <v>4116</v>
      </c>
      <c r="D2257" t="s">
        <v>897</v>
      </c>
      <c r="E2257" t="s">
        <v>934</v>
      </c>
      <c r="F2257">
        <v>60516</v>
      </c>
      <c r="G2257" t="s">
        <v>899</v>
      </c>
      <c r="H2257" t="s">
        <v>900</v>
      </c>
      <c r="I2257">
        <v>746341</v>
      </c>
      <c r="J2257">
        <v>522438</v>
      </c>
      <c r="K2257">
        <v>223903</v>
      </c>
      <c r="L2257">
        <v>372300</v>
      </c>
      <c r="M2257">
        <v>243000</v>
      </c>
      <c r="N2257">
        <v>129300</v>
      </c>
    </row>
    <row r="2258" spans="1:14" ht="14.4">
      <c r="A2258">
        <v>13579</v>
      </c>
      <c r="B2258">
        <v>13580</v>
      </c>
      <c r="C2258">
        <v>4116</v>
      </c>
      <c r="D2258" t="s">
        <v>897</v>
      </c>
      <c r="E2258" t="s">
        <v>934</v>
      </c>
      <c r="F2258">
        <v>60517</v>
      </c>
      <c r="G2258" t="s">
        <v>899</v>
      </c>
      <c r="H2258" t="s">
        <v>900</v>
      </c>
      <c r="I2258">
        <v>34077</v>
      </c>
      <c r="J2258">
        <v>33002</v>
      </c>
      <c r="K2258">
        <v>1075</v>
      </c>
      <c r="L2258">
        <v>27500</v>
      </c>
      <c r="M2258">
        <v>26400</v>
      </c>
      <c r="N2258">
        <v>1100</v>
      </c>
    </row>
    <row r="2259" spans="1:14" ht="14.4">
      <c r="A2259">
        <v>13579</v>
      </c>
      <c r="B2259">
        <v>13580</v>
      </c>
      <c r="C2259">
        <v>4116</v>
      </c>
      <c r="D2259" t="s">
        <v>897</v>
      </c>
      <c r="E2259" t="s">
        <v>1861</v>
      </c>
      <c r="F2259">
        <v>61525</v>
      </c>
      <c r="G2259" t="s">
        <v>908</v>
      </c>
      <c r="H2259" t="s">
        <v>900</v>
      </c>
      <c r="I2259">
        <v>79864</v>
      </c>
      <c r="J2259">
        <v>64134</v>
      </c>
      <c r="K2259">
        <v>15730</v>
      </c>
      <c r="L2259">
        <v>71400</v>
      </c>
      <c r="M2259">
        <v>55700</v>
      </c>
      <c r="N2259">
        <v>15700</v>
      </c>
    </row>
    <row r="2260" spans="1:14" ht="14.4">
      <c r="A2260">
        <v>13579</v>
      </c>
      <c r="B2260">
        <v>13580</v>
      </c>
      <c r="C2260">
        <v>4116</v>
      </c>
      <c r="D2260" t="s">
        <v>897</v>
      </c>
      <c r="E2260" t="s">
        <v>1862</v>
      </c>
      <c r="F2260">
        <v>60518</v>
      </c>
      <c r="G2260" t="s">
        <v>923</v>
      </c>
      <c r="H2260" t="s">
        <v>900</v>
      </c>
      <c r="I2260">
        <v>10125</v>
      </c>
      <c r="J2260">
        <v>4750</v>
      </c>
      <c r="K2260">
        <v>5375</v>
      </c>
      <c r="L2260">
        <v>8700</v>
      </c>
      <c r="M2260">
        <v>3300</v>
      </c>
      <c r="N2260">
        <v>5400</v>
      </c>
    </row>
    <row r="2261" spans="1:14" ht="14.4">
      <c r="A2261">
        <v>13579</v>
      </c>
      <c r="B2261">
        <v>13580</v>
      </c>
      <c r="C2261">
        <v>4116</v>
      </c>
      <c r="D2261" t="s">
        <v>897</v>
      </c>
      <c r="E2261" t="s">
        <v>1863</v>
      </c>
      <c r="F2261">
        <v>61430</v>
      </c>
      <c r="G2261" t="s">
        <v>946</v>
      </c>
      <c r="H2261" t="s">
        <v>900</v>
      </c>
      <c r="I2261">
        <v>6941</v>
      </c>
      <c r="J2261">
        <v>6721</v>
      </c>
      <c r="K2261">
        <v>220</v>
      </c>
      <c r="L2261">
        <v>5800</v>
      </c>
      <c r="M2261">
        <v>5600</v>
      </c>
      <c r="N2261">
        <v>200</v>
      </c>
    </row>
    <row r="2262" spans="1:14" ht="14.4">
      <c r="A2262">
        <v>13579</v>
      </c>
      <c r="B2262">
        <v>13580</v>
      </c>
      <c r="C2262">
        <v>4116</v>
      </c>
      <c r="D2262" t="s">
        <v>897</v>
      </c>
      <c r="E2262" t="s">
        <v>936</v>
      </c>
      <c r="F2262">
        <v>61244</v>
      </c>
      <c r="G2262" t="s">
        <v>937</v>
      </c>
      <c r="H2262" t="s">
        <v>900</v>
      </c>
      <c r="I2262">
        <v>97778</v>
      </c>
      <c r="J2262">
        <v>38228</v>
      </c>
      <c r="K2262">
        <v>59550</v>
      </c>
      <c r="L2262">
        <v>67500</v>
      </c>
      <c r="M2262">
        <v>18200</v>
      </c>
      <c r="N2262">
        <v>49300</v>
      </c>
    </row>
    <row r="2263" spans="1:14" ht="14.4">
      <c r="A2263">
        <v>13579</v>
      </c>
      <c r="B2263">
        <v>13580</v>
      </c>
      <c r="C2263">
        <v>4116</v>
      </c>
      <c r="D2263" t="s">
        <v>897</v>
      </c>
      <c r="E2263" t="s">
        <v>1864</v>
      </c>
      <c r="F2263">
        <v>61611</v>
      </c>
      <c r="G2263" t="s">
        <v>1853</v>
      </c>
      <c r="H2263" t="s">
        <v>900</v>
      </c>
      <c r="I2263">
        <v>104474</v>
      </c>
      <c r="J2263">
        <v>88074</v>
      </c>
      <c r="K2263">
        <v>16400</v>
      </c>
      <c r="L2263">
        <v>62900</v>
      </c>
      <c r="M2263">
        <v>52100</v>
      </c>
      <c r="N2263">
        <v>10800</v>
      </c>
    </row>
    <row r="2264" spans="1:14" ht="14.4">
      <c r="A2264">
        <v>13579</v>
      </c>
      <c r="B2264">
        <v>13580</v>
      </c>
      <c r="C2264">
        <v>4116</v>
      </c>
      <c r="D2264" t="s">
        <v>897</v>
      </c>
      <c r="E2264" t="s">
        <v>1864</v>
      </c>
      <c r="F2264">
        <v>61611</v>
      </c>
      <c r="G2264" t="s">
        <v>988</v>
      </c>
      <c r="H2264" t="s">
        <v>900</v>
      </c>
      <c r="I2264">
        <v>264659</v>
      </c>
      <c r="J2264">
        <v>228294</v>
      </c>
      <c r="K2264">
        <v>36365</v>
      </c>
      <c r="L2264">
        <v>87200</v>
      </c>
      <c r="M2264">
        <v>54200</v>
      </c>
      <c r="N2264">
        <v>33000</v>
      </c>
    </row>
    <row r="2265" spans="1:14" ht="14.4">
      <c r="A2265">
        <v>13579</v>
      </c>
      <c r="B2265">
        <v>13580</v>
      </c>
      <c r="C2265">
        <v>4116</v>
      </c>
      <c r="D2265" t="s">
        <v>897</v>
      </c>
      <c r="E2265" t="s">
        <v>1865</v>
      </c>
      <c r="F2265">
        <v>61528</v>
      </c>
      <c r="G2265" t="s">
        <v>908</v>
      </c>
      <c r="H2265" t="s">
        <v>900</v>
      </c>
      <c r="I2265">
        <v>301557</v>
      </c>
      <c r="J2265">
        <v>245732</v>
      </c>
      <c r="K2265">
        <v>55825</v>
      </c>
      <c r="L2265">
        <v>0</v>
      </c>
      <c r="M2265">
        <v>0</v>
      </c>
      <c r="N2265">
        <v>0</v>
      </c>
    </row>
    <row r="2266" spans="1:14" ht="14.4">
      <c r="A2266">
        <v>13579</v>
      </c>
      <c r="B2266">
        <v>13580</v>
      </c>
      <c r="C2266">
        <v>4116</v>
      </c>
      <c r="D2266" t="s">
        <v>897</v>
      </c>
      <c r="E2266" t="s">
        <v>938</v>
      </c>
      <c r="F2266">
        <v>60120</v>
      </c>
      <c r="G2266" t="s">
        <v>906</v>
      </c>
      <c r="H2266" t="s">
        <v>900</v>
      </c>
      <c r="I2266">
        <v>74043</v>
      </c>
      <c r="J2266">
        <v>71133</v>
      </c>
      <c r="K2266">
        <v>2910</v>
      </c>
      <c r="L2266">
        <v>73500</v>
      </c>
      <c r="M2266">
        <v>70500</v>
      </c>
      <c r="N2266">
        <v>3000</v>
      </c>
    </row>
    <row r="2267" spans="1:14" ht="14.4">
      <c r="A2267">
        <v>13579</v>
      </c>
      <c r="B2267">
        <v>13580</v>
      </c>
      <c r="C2267">
        <v>4116</v>
      </c>
      <c r="D2267" t="s">
        <v>897</v>
      </c>
      <c r="E2267" t="s">
        <v>938</v>
      </c>
      <c r="F2267">
        <v>60123</v>
      </c>
      <c r="G2267" t="s">
        <v>906</v>
      </c>
      <c r="H2267" t="s">
        <v>900</v>
      </c>
      <c r="I2267">
        <v>72505</v>
      </c>
      <c r="J2267">
        <v>53005</v>
      </c>
      <c r="K2267">
        <v>19500</v>
      </c>
      <c r="L2267">
        <v>68300</v>
      </c>
      <c r="M2267">
        <v>48800</v>
      </c>
      <c r="N2267">
        <v>19500</v>
      </c>
    </row>
    <row r="2268" spans="1:14" ht="14.4">
      <c r="A2268">
        <v>13579</v>
      </c>
      <c r="B2268">
        <v>13580</v>
      </c>
      <c r="C2268">
        <v>4116</v>
      </c>
      <c r="D2268" t="s">
        <v>897</v>
      </c>
      <c r="E2268" t="s">
        <v>115</v>
      </c>
      <c r="F2268">
        <v>60126</v>
      </c>
      <c r="G2268" t="s">
        <v>899</v>
      </c>
      <c r="H2268" t="s">
        <v>900</v>
      </c>
      <c r="I2268">
        <v>2650316</v>
      </c>
      <c r="J2268">
        <v>1840780</v>
      </c>
      <c r="K2268">
        <v>809536</v>
      </c>
      <c r="L2268">
        <v>1265600</v>
      </c>
      <c r="M2268">
        <v>828200</v>
      </c>
      <c r="N2268">
        <v>437400</v>
      </c>
    </row>
    <row r="2269" spans="1:14" ht="14.4">
      <c r="A2269">
        <v>13579</v>
      </c>
      <c r="B2269">
        <v>13580</v>
      </c>
      <c r="C2269">
        <v>4116</v>
      </c>
      <c r="D2269" t="s">
        <v>897</v>
      </c>
      <c r="E2269" t="s">
        <v>1866</v>
      </c>
      <c r="F2269">
        <v>61529</v>
      </c>
      <c r="G2269" t="s">
        <v>908</v>
      </c>
      <c r="H2269" t="s">
        <v>900</v>
      </c>
      <c r="I2269">
        <v>48747</v>
      </c>
      <c r="J2269">
        <v>30672</v>
      </c>
      <c r="K2269">
        <v>18075</v>
      </c>
      <c r="L2269">
        <v>41800</v>
      </c>
      <c r="M2269">
        <v>23700</v>
      </c>
      <c r="N2269">
        <v>18100</v>
      </c>
    </row>
    <row r="2270" spans="1:14" ht="14.4">
      <c r="A2270">
        <v>13579</v>
      </c>
      <c r="B2270">
        <v>13580</v>
      </c>
      <c r="C2270">
        <v>4116</v>
      </c>
      <c r="D2270" t="s">
        <v>897</v>
      </c>
      <c r="E2270" t="s">
        <v>505</v>
      </c>
      <c r="F2270">
        <v>60707</v>
      </c>
      <c r="G2270" t="s">
        <v>914</v>
      </c>
      <c r="H2270" t="s">
        <v>900</v>
      </c>
      <c r="I2270">
        <v>900160</v>
      </c>
      <c r="J2270">
        <v>669202</v>
      </c>
      <c r="K2270">
        <v>230958</v>
      </c>
      <c r="L2270">
        <v>500100</v>
      </c>
      <c r="M2270">
        <v>364300</v>
      </c>
      <c r="N2270">
        <v>135800</v>
      </c>
    </row>
    <row r="2271" spans="1:14" ht="14.4">
      <c r="A2271">
        <v>13579</v>
      </c>
      <c r="B2271">
        <v>13580</v>
      </c>
      <c r="C2271">
        <v>4116</v>
      </c>
      <c r="D2271" t="s">
        <v>897</v>
      </c>
      <c r="E2271" t="s">
        <v>939</v>
      </c>
      <c r="F2271">
        <v>60201</v>
      </c>
      <c r="G2271" t="s">
        <v>914</v>
      </c>
      <c r="H2271" t="s">
        <v>900</v>
      </c>
      <c r="I2271">
        <v>319568</v>
      </c>
      <c r="J2271">
        <v>236338</v>
      </c>
      <c r="K2271">
        <v>83230</v>
      </c>
      <c r="L2271">
        <v>183900</v>
      </c>
      <c r="M2271">
        <v>137800</v>
      </c>
      <c r="N2271">
        <v>46100</v>
      </c>
    </row>
    <row r="2272" spans="1:14" ht="14.4">
      <c r="A2272">
        <v>13579</v>
      </c>
      <c r="B2272">
        <v>13580</v>
      </c>
      <c r="C2272">
        <v>4116</v>
      </c>
      <c r="D2272" t="s">
        <v>897</v>
      </c>
      <c r="E2272" t="s">
        <v>939</v>
      </c>
      <c r="F2272">
        <v>60202</v>
      </c>
      <c r="G2272" t="s">
        <v>914</v>
      </c>
      <c r="H2272" t="s">
        <v>900</v>
      </c>
      <c r="I2272">
        <v>150605</v>
      </c>
      <c r="J2272">
        <v>114105</v>
      </c>
      <c r="K2272">
        <v>36500</v>
      </c>
      <c r="L2272">
        <v>87600</v>
      </c>
      <c r="M2272">
        <v>64100</v>
      </c>
      <c r="N2272">
        <v>23500</v>
      </c>
    </row>
    <row r="2273" spans="1:14" ht="14.4">
      <c r="A2273">
        <v>13579</v>
      </c>
      <c r="B2273">
        <v>13580</v>
      </c>
      <c r="C2273">
        <v>4116</v>
      </c>
      <c r="D2273" t="s">
        <v>897</v>
      </c>
      <c r="E2273" t="s">
        <v>939</v>
      </c>
      <c r="F2273">
        <v>60203</v>
      </c>
      <c r="G2273" t="s">
        <v>914</v>
      </c>
      <c r="H2273" t="s">
        <v>900</v>
      </c>
      <c r="I2273">
        <v>194065</v>
      </c>
      <c r="J2273">
        <v>156280</v>
      </c>
      <c r="K2273">
        <v>37785</v>
      </c>
      <c r="L2273">
        <v>101500</v>
      </c>
      <c r="M2273">
        <v>79300</v>
      </c>
      <c r="N2273">
        <v>22200</v>
      </c>
    </row>
    <row r="2274" spans="1:14" ht="14.4">
      <c r="A2274">
        <v>13579</v>
      </c>
      <c r="B2274">
        <v>13580</v>
      </c>
      <c r="C2274">
        <v>4116</v>
      </c>
      <c r="D2274" t="s">
        <v>897</v>
      </c>
      <c r="E2274" t="s">
        <v>940</v>
      </c>
      <c r="F2274">
        <v>60805</v>
      </c>
      <c r="G2274" t="s">
        <v>914</v>
      </c>
      <c r="H2274" t="s">
        <v>900</v>
      </c>
      <c r="I2274">
        <v>415164</v>
      </c>
      <c r="J2274">
        <v>298429</v>
      </c>
      <c r="K2274">
        <v>116735</v>
      </c>
      <c r="L2274">
        <v>184700</v>
      </c>
      <c r="M2274">
        <v>127300</v>
      </c>
      <c r="N2274">
        <v>57400</v>
      </c>
    </row>
    <row r="2275" spans="1:14" ht="14.4">
      <c r="A2275">
        <v>13579</v>
      </c>
      <c r="B2275">
        <v>13580</v>
      </c>
      <c r="C2275">
        <v>4116</v>
      </c>
      <c r="D2275" t="s">
        <v>897</v>
      </c>
      <c r="E2275" t="s">
        <v>511</v>
      </c>
      <c r="F2275">
        <v>61432</v>
      </c>
      <c r="G2275" t="s">
        <v>930</v>
      </c>
      <c r="H2275" t="s">
        <v>900</v>
      </c>
      <c r="I2275">
        <v>69410</v>
      </c>
      <c r="J2275">
        <v>63285</v>
      </c>
      <c r="K2275">
        <v>6125</v>
      </c>
      <c r="L2275">
        <v>19300</v>
      </c>
      <c r="M2275">
        <v>17000</v>
      </c>
      <c r="N2275">
        <v>2300</v>
      </c>
    </row>
    <row r="2276" spans="1:14" ht="14.4">
      <c r="A2276">
        <v>13579</v>
      </c>
      <c r="B2276">
        <v>13580</v>
      </c>
      <c r="C2276">
        <v>4116</v>
      </c>
      <c r="D2276" t="s">
        <v>897</v>
      </c>
      <c r="E2276" t="s">
        <v>1867</v>
      </c>
      <c r="F2276">
        <v>61531</v>
      </c>
      <c r="G2276" t="s">
        <v>930</v>
      </c>
      <c r="H2276" t="s">
        <v>900</v>
      </c>
      <c r="I2276">
        <v>51140</v>
      </c>
      <c r="J2276">
        <v>42060</v>
      </c>
      <c r="K2276">
        <v>9080</v>
      </c>
      <c r="L2276">
        <v>40500</v>
      </c>
      <c r="M2276">
        <v>31400</v>
      </c>
      <c r="N2276">
        <v>9100</v>
      </c>
    </row>
    <row r="2277" spans="1:14" ht="14.4">
      <c r="A2277">
        <v>13579</v>
      </c>
      <c r="B2277">
        <v>13580</v>
      </c>
      <c r="C2277">
        <v>4116</v>
      </c>
      <c r="D2277" t="s">
        <v>897</v>
      </c>
      <c r="E2277" t="s">
        <v>1868</v>
      </c>
      <c r="F2277">
        <v>60422</v>
      </c>
      <c r="G2277" t="s">
        <v>914</v>
      </c>
      <c r="H2277" t="s">
        <v>900</v>
      </c>
      <c r="I2277">
        <v>148499</v>
      </c>
      <c r="J2277">
        <v>112899</v>
      </c>
      <c r="K2277">
        <v>35600</v>
      </c>
      <c r="L2277">
        <v>69600</v>
      </c>
      <c r="M2277">
        <v>57100</v>
      </c>
      <c r="N2277">
        <v>12500</v>
      </c>
    </row>
    <row r="2278" spans="1:14" ht="14.4">
      <c r="A2278">
        <v>13579</v>
      </c>
      <c r="B2278">
        <v>13580</v>
      </c>
      <c r="C2278">
        <v>4116</v>
      </c>
      <c r="D2278" t="s">
        <v>897</v>
      </c>
      <c r="E2278" t="s">
        <v>941</v>
      </c>
      <c r="F2278">
        <v>60411</v>
      </c>
      <c r="G2278" t="s">
        <v>914</v>
      </c>
      <c r="H2278" t="s">
        <v>900</v>
      </c>
      <c r="I2278">
        <v>3525</v>
      </c>
      <c r="J2278">
        <v>0</v>
      </c>
      <c r="K2278">
        <v>3525</v>
      </c>
      <c r="L2278">
        <v>0</v>
      </c>
      <c r="M2278">
        <v>0</v>
      </c>
      <c r="N2278">
        <v>0</v>
      </c>
    </row>
    <row r="2279" spans="1:14" ht="14.4">
      <c r="A2279">
        <v>13579</v>
      </c>
      <c r="B2279">
        <v>13580</v>
      </c>
      <c r="C2279">
        <v>4116</v>
      </c>
      <c r="D2279" t="s">
        <v>897</v>
      </c>
      <c r="E2279" t="s">
        <v>1869</v>
      </c>
      <c r="F2279">
        <v>60130</v>
      </c>
      <c r="G2279" t="s">
        <v>914</v>
      </c>
      <c r="H2279" t="s">
        <v>900</v>
      </c>
      <c r="I2279">
        <v>173672</v>
      </c>
      <c r="J2279">
        <v>140237</v>
      </c>
      <c r="K2279">
        <v>33435</v>
      </c>
      <c r="L2279">
        <v>99300</v>
      </c>
      <c r="M2279">
        <v>90200</v>
      </c>
      <c r="N2279">
        <v>9100</v>
      </c>
    </row>
    <row r="2280" spans="1:14" ht="14.4">
      <c r="A2280">
        <v>13579</v>
      </c>
      <c r="B2280">
        <v>13580</v>
      </c>
      <c r="C2280">
        <v>4116</v>
      </c>
      <c r="D2280" t="s">
        <v>897</v>
      </c>
      <c r="E2280" t="s">
        <v>942</v>
      </c>
      <c r="F2280">
        <v>60402</v>
      </c>
      <c r="G2280" t="s">
        <v>914</v>
      </c>
      <c r="H2280" t="s">
        <v>900</v>
      </c>
      <c r="I2280">
        <v>4653110</v>
      </c>
      <c r="J2280">
        <v>3048687</v>
      </c>
      <c r="K2280">
        <v>1604423</v>
      </c>
      <c r="L2280">
        <v>2418100</v>
      </c>
      <c r="M2280">
        <v>1506800</v>
      </c>
      <c r="N2280">
        <v>911300</v>
      </c>
    </row>
    <row r="2281" spans="1:14" ht="14.4">
      <c r="A2281">
        <v>13579</v>
      </c>
      <c r="B2281">
        <v>13580</v>
      </c>
      <c r="C2281">
        <v>4116</v>
      </c>
      <c r="D2281" t="s">
        <v>897</v>
      </c>
      <c r="E2281" t="s">
        <v>1870</v>
      </c>
      <c r="F2281">
        <v>60402</v>
      </c>
      <c r="G2281" t="s">
        <v>914</v>
      </c>
      <c r="H2281" t="s">
        <v>900</v>
      </c>
      <c r="I2281">
        <v>141227</v>
      </c>
      <c r="J2281">
        <v>86952</v>
      </c>
      <c r="K2281">
        <v>54275</v>
      </c>
      <c r="L2281">
        <v>87200</v>
      </c>
      <c r="M2281">
        <v>55500</v>
      </c>
      <c r="N2281">
        <v>31700</v>
      </c>
    </row>
    <row r="2282" spans="1:14" ht="14.4">
      <c r="A2282">
        <v>13579</v>
      </c>
      <c r="B2282">
        <v>13580</v>
      </c>
      <c r="C2282">
        <v>4116</v>
      </c>
      <c r="D2282" t="s">
        <v>897</v>
      </c>
      <c r="E2282" t="s">
        <v>943</v>
      </c>
      <c r="F2282">
        <v>60020</v>
      </c>
      <c r="G2282" t="s">
        <v>902</v>
      </c>
      <c r="H2282" t="s">
        <v>900</v>
      </c>
      <c r="I2282">
        <v>330087</v>
      </c>
      <c r="J2282">
        <v>256322</v>
      </c>
      <c r="K2282">
        <v>73765</v>
      </c>
      <c r="L2282">
        <v>152900</v>
      </c>
      <c r="M2282">
        <v>102900</v>
      </c>
      <c r="N2282">
        <v>50000</v>
      </c>
    </row>
    <row r="2283" spans="1:14" ht="14.4">
      <c r="A2283">
        <v>13579</v>
      </c>
      <c r="B2283">
        <v>13580</v>
      </c>
      <c r="C2283">
        <v>4116</v>
      </c>
      <c r="D2283" t="s">
        <v>897</v>
      </c>
      <c r="E2283" t="s">
        <v>1871</v>
      </c>
      <c r="F2283">
        <v>60021</v>
      </c>
      <c r="G2283" t="s">
        <v>1812</v>
      </c>
      <c r="H2283" t="s">
        <v>900</v>
      </c>
      <c r="I2283">
        <v>27945</v>
      </c>
      <c r="J2283">
        <v>26770</v>
      </c>
      <c r="K2283">
        <v>1175</v>
      </c>
      <c r="L2283">
        <v>23200</v>
      </c>
      <c r="M2283">
        <v>22000</v>
      </c>
      <c r="N2283">
        <v>1200</v>
      </c>
    </row>
    <row r="2284" spans="1:14" ht="14.4">
      <c r="A2284">
        <v>13579</v>
      </c>
      <c r="B2284">
        <v>13580</v>
      </c>
      <c r="C2284">
        <v>4116</v>
      </c>
      <c r="D2284" t="s">
        <v>897</v>
      </c>
      <c r="E2284" t="s">
        <v>944</v>
      </c>
      <c r="F2284">
        <v>60423</v>
      </c>
      <c r="G2284" t="s">
        <v>917</v>
      </c>
      <c r="H2284" t="s">
        <v>900</v>
      </c>
      <c r="I2284">
        <v>195453</v>
      </c>
      <c r="J2284">
        <v>159093</v>
      </c>
      <c r="K2284">
        <v>36360</v>
      </c>
      <c r="L2284">
        <v>7900</v>
      </c>
      <c r="M2284">
        <v>0</v>
      </c>
      <c r="N2284">
        <v>7900</v>
      </c>
    </row>
    <row r="2285" spans="1:14" ht="14.4">
      <c r="A2285">
        <v>13579</v>
      </c>
      <c r="B2285">
        <v>13580</v>
      </c>
      <c r="C2285">
        <v>4116</v>
      </c>
      <c r="D2285" t="s">
        <v>897</v>
      </c>
      <c r="E2285" t="s">
        <v>1502</v>
      </c>
      <c r="F2285">
        <v>60131</v>
      </c>
      <c r="G2285" t="s">
        <v>914</v>
      </c>
      <c r="H2285" t="s">
        <v>900</v>
      </c>
      <c r="I2285">
        <v>338869</v>
      </c>
      <c r="J2285">
        <v>235752</v>
      </c>
      <c r="K2285">
        <v>103117</v>
      </c>
      <c r="L2285">
        <v>112500</v>
      </c>
      <c r="M2285">
        <v>83200</v>
      </c>
      <c r="N2285">
        <v>29300</v>
      </c>
    </row>
    <row r="2286" spans="1:14" ht="14.4">
      <c r="A2286">
        <v>13579</v>
      </c>
      <c r="B2286">
        <v>13580</v>
      </c>
      <c r="C2286">
        <v>4116</v>
      </c>
      <c r="D2286" t="s">
        <v>897</v>
      </c>
      <c r="E2286" t="s">
        <v>945</v>
      </c>
      <c r="F2286">
        <v>61401</v>
      </c>
      <c r="G2286" t="s">
        <v>946</v>
      </c>
      <c r="H2286" t="s">
        <v>900</v>
      </c>
      <c r="I2286">
        <v>550230</v>
      </c>
      <c r="J2286">
        <v>422395</v>
      </c>
      <c r="K2286">
        <v>127835</v>
      </c>
      <c r="L2286">
        <v>364100</v>
      </c>
      <c r="M2286">
        <v>256100</v>
      </c>
      <c r="N2286">
        <v>108000</v>
      </c>
    </row>
    <row r="2287" spans="1:14" ht="14.4">
      <c r="A2287">
        <v>13579</v>
      </c>
      <c r="B2287">
        <v>13580</v>
      </c>
      <c r="C2287">
        <v>4116</v>
      </c>
      <c r="D2287" t="s">
        <v>897</v>
      </c>
      <c r="E2287" t="s">
        <v>1872</v>
      </c>
      <c r="F2287">
        <v>61434</v>
      </c>
      <c r="G2287" t="s">
        <v>904</v>
      </c>
      <c r="H2287" t="s">
        <v>900</v>
      </c>
      <c r="I2287">
        <v>47862</v>
      </c>
      <c r="J2287">
        <v>46062</v>
      </c>
      <c r="K2287">
        <v>1800</v>
      </c>
      <c r="L2287">
        <v>0</v>
      </c>
      <c r="M2287">
        <v>0</v>
      </c>
      <c r="N2287">
        <v>0</v>
      </c>
    </row>
    <row r="2288" spans="1:14" ht="14.4">
      <c r="A2288">
        <v>13579</v>
      </c>
      <c r="B2288">
        <v>13580</v>
      </c>
      <c r="C2288">
        <v>4116</v>
      </c>
      <c r="D2288" t="s">
        <v>897</v>
      </c>
      <c r="E2288" t="s">
        <v>1873</v>
      </c>
      <c r="F2288">
        <v>61254</v>
      </c>
      <c r="G2288" t="s">
        <v>904</v>
      </c>
      <c r="H2288" t="s">
        <v>900</v>
      </c>
      <c r="I2288">
        <v>7700</v>
      </c>
      <c r="J2288">
        <v>0</v>
      </c>
      <c r="K2288">
        <v>7700</v>
      </c>
      <c r="L2288">
        <v>7700</v>
      </c>
      <c r="M2288">
        <v>0</v>
      </c>
      <c r="N2288">
        <v>7700</v>
      </c>
    </row>
    <row r="2289" spans="1:14" ht="14.4">
      <c r="A2289">
        <v>13579</v>
      </c>
      <c r="B2289">
        <v>13580</v>
      </c>
      <c r="C2289">
        <v>4116</v>
      </c>
      <c r="D2289" t="s">
        <v>897</v>
      </c>
      <c r="E2289" t="s">
        <v>1874</v>
      </c>
      <c r="F2289">
        <v>60134</v>
      </c>
      <c r="G2289" t="s">
        <v>906</v>
      </c>
      <c r="H2289" t="s">
        <v>900</v>
      </c>
      <c r="I2289">
        <v>90863</v>
      </c>
      <c r="J2289">
        <v>67303</v>
      </c>
      <c r="K2289">
        <v>23560</v>
      </c>
      <c r="L2289">
        <v>73800</v>
      </c>
      <c r="M2289">
        <v>50200</v>
      </c>
      <c r="N2289">
        <v>23600</v>
      </c>
    </row>
    <row r="2290" spans="1:14" ht="14.4">
      <c r="A2290">
        <v>13579</v>
      </c>
      <c r="B2290">
        <v>13580</v>
      </c>
      <c r="C2290">
        <v>4116</v>
      </c>
      <c r="D2290" t="s">
        <v>897</v>
      </c>
      <c r="E2290" t="s">
        <v>1875</v>
      </c>
      <c r="F2290">
        <v>60135</v>
      </c>
      <c r="G2290" t="s">
        <v>1859</v>
      </c>
      <c r="H2290" t="s">
        <v>900</v>
      </c>
      <c r="I2290">
        <v>20463</v>
      </c>
      <c r="J2290">
        <v>19663</v>
      </c>
      <c r="K2290">
        <v>800</v>
      </c>
      <c r="L2290">
        <v>19500</v>
      </c>
      <c r="M2290">
        <v>18700</v>
      </c>
      <c r="N2290">
        <v>800</v>
      </c>
    </row>
    <row r="2291" spans="1:14" ht="14.4">
      <c r="A2291">
        <v>13579</v>
      </c>
      <c r="B2291">
        <v>13580</v>
      </c>
      <c r="C2291">
        <v>4116</v>
      </c>
      <c r="D2291" t="s">
        <v>897</v>
      </c>
      <c r="E2291" t="s">
        <v>1876</v>
      </c>
      <c r="F2291">
        <v>61435</v>
      </c>
      <c r="G2291" t="s">
        <v>398</v>
      </c>
      <c r="H2291" t="s">
        <v>900</v>
      </c>
      <c r="I2291">
        <v>21820</v>
      </c>
      <c r="J2291">
        <v>21820</v>
      </c>
      <c r="K2291">
        <v>0</v>
      </c>
      <c r="L2291">
        <v>21000</v>
      </c>
      <c r="M2291">
        <v>21000</v>
      </c>
      <c r="N2291">
        <v>0</v>
      </c>
    </row>
    <row r="2292" spans="1:14" ht="14.4">
      <c r="A2292">
        <v>13579</v>
      </c>
      <c r="B2292">
        <v>13580</v>
      </c>
      <c r="C2292">
        <v>4116</v>
      </c>
      <c r="D2292" t="s">
        <v>897</v>
      </c>
      <c r="E2292" t="s">
        <v>1877</v>
      </c>
      <c r="F2292">
        <v>61436</v>
      </c>
      <c r="G2292" t="s">
        <v>946</v>
      </c>
      <c r="H2292" t="s">
        <v>900</v>
      </c>
      <c r="I2292">
        <v>48003</v>
      </c>
      <c r="J2292">
        <v>43003</v>
      </c>
      <c r="K2292">
        <v>5000</v>
      </c>
      <c r="L2292">
        <v>46500</v>
      </c>
      <c r="M2292">
        <v>41500</v>
      </c>
      <c r="N2292">
        <v>5000</v>
      </c>
    </row>
    <row r="2293" spans="1:14" ht="14.4">
      <c r="A2293">
        <v>13579</v>
      </c>
      <c r="B2293">
        <v>13580</v>
      </c>
      <c r="C2293">
        <v>4116</v>
      </c>
      <c r="D2293" t="s">
        <v>897</v>
      </c>
      <c r="E2293" t="s">
        <v>1878</v>
      </c>
      <c r="F2293">
        <v>61437</v>
      </c>
      <c r="G2293" t="s">
        <v>1838</v>
      </c>
      <c r="H2293" t="s">
        <v>900</v>
      </c>
      <c r="I2293">
        <v>34860</v>
      </c>
      <c r="J2293">
        <v>34135</v>
      </c>
      <c r="K2293">
        <v>725</v>
      </c>
      <c r="L2293">
        <v>0</v>
      </c>
      <c r="M2293">
        <v>0</v>
      </c>
      <c r="N2293">
        <v>0</v>
      </c>
    </row>
    <row r="2294" spans="1:14" ht="14.4">
      <c r="A2294">
        <v>13579</v>
      </c>
      <c r="B2294">
        <v>13580</v>
      </c>
      <c r="C2294">
        <v>4116</v>
      </c>
      <c r="D2294" t="s">
        <v>897</v>
      </c>
      <c r="E2294" t="s">
        <v>1879</v>
      </c>
      <c r="F2294">
        <v>61533</v>
      </c>
      <c r="G2294" t="s">
        <v>908</v>
      </c>
      <c r="H2294" t="s">
        <v>900</v>
      </c>
      <c r="I2294">
        <v>120501</v>
      </c>
      <c r="J2294">
        <v>95691</v>
      </c>
      <c r="K2294">
        <v>24810</v>
      </c>
      <c r="L2294">
        <v>93000</v>
      </c>
      <c r="M2294">
        <v>81200</v>
      </c>
      <c r="N2294">
        <v>11800</v>
      </c>
    </row>
    <row r="2295" spans="1:14" ht="14.4">
      <c r="A2295">
        <v>13579</v>
      </c>
      <c r="B2295">
        <v>13580</v>
      </c>
      <c r="C2295">
        <v>4116</v>
      </c>
      <c r="D2295" t="s">
        <v>897</v>
      </c>
      <c r="E2295" t="s">
        <v>947</v>
      </c>
      <c r="F2295">
        <v>60137</v>
      </c>
      <c r="G2295" t="s">
        <v>899</v>
      </c>
      <c r="H2295" t="s">
        <v>900</v>
      </c>
      <c r="I2295">
        <v>1676607</v>
      </c>
      <c r="J2295">
        <v>1158702</v>
      </c>
      <c r="K2295">
        <v>517905</v>
      </c>
      <c r="L2295">
        <v>1008300</v>
      </c>
      <c r="M2295">
        <v>632700</v>
      </c>
      <c r="N2295">
        <v>375600</v>
      </c>
    </row>
    <row r="2296" spans="1:14" ht="14.4">
      <c r="A2296">
        <v>13579</v>
      </c>
      <c r="B2296">
        <v>13580</v>
      </c>
      <c r="C2296">
        <v>4116</v>
      </c>
      <c r="D2296" t="s">
        <v>897</v>
      </c>
      <c r="E2296" t="s">
        <v>1880</v>
      </c>
      <c r="F2296">
        <v>60022</v>
      </c>
      <c r="G2296" t="s">
        <v>914</v>
      </c>
      <c r="H2296" t="s">
        <v>900</v>
      </c>
      <c r="I2296">
        <v>31311</v>
      </c>
      <c r="J2296">
        <v>31311</v>
      </c>
      <c r="K2296">
        <v>0</v>
      </c>
      <c r="L2296">
        <v>29800</v>
      </c>
      <c r="M2296">
        <v>29800</v>
      </c>
      <c r="N2296">
        <v>0</v>
      </c>
    </row>
    <row r="2297" spans="1:14" ht="14.4">
      <c r="A2297">
        <v>13579</v>
      </c>
      <c r="B2297">
        <v>13580</v>
      </c>
      <c r="C2297">
        <v>4116</v>
      </c>
      <c r="D2297" t="s">
        <v>897</v>
      </c>
      <c r="E2297" t="s">
        <v>1881</v>
      </c>
      <c r="F2297">
        <v>60139</v>
      </c>
      <c r="G2297" t="s">
        <v>899</v>
      </c>
      <c r="H2297" t="s">
        <v>900</v>
      </c>
      <c r="I2297">
        <v>103740</v>
      </c>
      <c r="J2297">
        <v>78890</v>
      </c>
      <c r="K2297">
        <v>24850</v>
      </c>
      <c r="L2297">
        <v>43800</v>
      </c>
      <c r="M2297">
        <v>33100</v>
      </c>
      <c r="N2297">
        <v>10700</v>
      </c>
    </row>
    <row r="2298" spans="1:14" ht="14.4">
      <c r="A2298">
        <v>13579</v>
      </c>
      <c r="B2298">
        <v>13580</v>
      </c>
      <c r="C2298">
        <v>4116</v>
      </c>
      <c r="D2298" t="s">
        <v>897</v>
      </c>
      <c r="E2298" t="s">
        <v>948</v>
      </c>
      <c r="F2298">
        <v>60025</v>
      </c>
      <c r="G2298" t="s">
        <v>914</v>
      </c>
      <c r="H2298" t="s">
        <v>900</v>
      </c>
      <c r="I2298">
        <v>1734427</v>
      </c>
      <c r="J2298">
        <v>1340899</v>
      </c>
      <c r="K2298">
        <v>393528</v>
      </c>
      <c r="L2298">
        <v>883800</v>
      </c>
      <c r="M2298">
        <v>700700</v>
      </c>
      <c r="N2298">
        <v>178100</v>
      </c>
    </row>
    <row r="2299" spans="1:14" ht="14.4">
      <c r="A2299">
        <v>13579</v>
      </c>
      <c r="B2299">
        <v>13580</v>
      </c>
      <c r="C2299">
        <v>4116</v>
      </c>
      <c r="D2299" t="s">
        <v>897</v>
      </c>
      <c r="E2299" t="s">
        <v>948</v>
      </c>
      <c r="F2299">
        <v>60026</v>
      </c>
      <c r="G2299" t="s">
        <v>914</v>
      </c>
      <c r="H2299" t="s">
        <v>900</v>
      </c>
      <c r="I2299">
        <v>127259</v>
      </c>
      <c r="J2299">
        <v>104244</v>
      </c>
      <c r="K2299">
        <v>23015</v>
      </c>
      <c r="L2299">
        <v>41400</v>
      </c>
      <c r="M2299">
        <v>30100</v>
      </c>
      <c r="N2299">
        <v>11300</v>
      </c>
    </row>
    <row r="2300" spans="1:14" ht="14.4">
      <c r="A2300">
        <v>13579</v>
      </c>
      <c r="B2300">
        <v>13580</v>
      </c>
      <c r="C2300">
        <v>4116</v>
      </c>
      <c r="D2300" t="s">
        <v>897</v>
      </c>
      <c r="E2300" t="s">
        <v>949</v>
      </c>
      <c r="F2300">
        <v>60425</v>
      </c>
      <c r="G2300" t="s">
        <v>914</v>
      </c>
      <c r="H2300" t="s">
        <v>900</v>
      </c>
      <c r="I2300">
        <v>280867</v>
      </c>
      <c r="J2300">
        <v>202512</v>
      </c>
      <c r="K2300">
        <v>78355</v>
      </c>
      <c r="L2300">
        <v>139100</v>
      </c>
      <c r="M2300">
        <v>91100</v>
      </c>
      <c r="N2300">
        <v>48000</v>
      </c>
    </row>
    <row r="2301" spans="1:14" ht="14.4">
      <c r="A2301">
        <v>13579</v>
      </c>
      <c r="B2301">
        <v>13580</v>
      </c>
      <c r="C2301">
        <v>4116</v>
      </c>
      <c r="D2301" t="s">
        <v>897</v>
      </c>
      <c r="E2301" t="s">
        <v>1882</v>
      </c>
      <c r="F2301">
        <v>61438</v>
      </c>
      <c r="G2301" t="s">
        <v>962</v>
      </c>
      <c r="H2301" t="s">
        <v>900</v>
      </c>
      <c r="I2301">
        <v>37103</v>
      </c>
      <c r="J2301">
        <v>26093</v>
      </c>
      <c r="K2301">
        <v>11010</v>
      </c>
      <c r="L2301">
        <v>32200</v>
      </c>
      <c r="M2301">
        <v>21100</v>
      </c>
      <c r="N2301">
        <v>11100</v>
      </c>
    </row>
    <row r="2302" spans="1:14" ht="14.4">
      <c r="A2302">
        <v>13579</v>
      </c>
      <c r="B2302">
        <v>13580</v>
      </c>
      <c r="C2302">
        <v>4116</v>
      </c>
      <c r="D2302" t="s">
        <v>897</v>
      </c>
      <c r="E2302" t="s">
        <v>1883</v>
      </c>
      <c r="F2302">
        <v>61326</v>
      </c>
      <c r="G2302" t="s">
        <v>58</v>
      </c>
      <c r="H2302" t="s">
        <v>900</v>
      </c>
      <c r="I2302">
        <v>170118</v>
      </c>
      <c r="J2302">
        <v>129778</v>
      </c>
      <c r="K2302">
        <v>40340</v>
      </c>
      <c r="L2302">
        <v>40600</v>
      </c>
      <c r="M2302">
        <v>19500</v>
      </c>
      <c r="N2302">
        <v>21100</v>
      </c>
    </row>
    <row r="2303" spans="1:14" ht="14.4">
      <c r="A2303">
        <v>13579</v>
      </c>
      <c r="B2303">
        <v>13580</v>
      </c>
      <c r="C2303">
        <v>4116</v>
      </c>
      <c r="D2303" t="s">
        <v>897</v>
      </c>
      <c r="E2303" t="s">
        <v>1884</v>
      </c>
      <c r="F2303">
        <v>60133</v>
      </c>
      <c r="G2303" t="s">
        <v>914</v>
      </c>
      <c r="H2303" t="s">
        <v>900</v>
      </c>
      <c r="I2303">
        <v>50643</v>
      </c>
      <c r="J2303">
        <v>38983</v>
      </c>
      <c r="K2303">
        <v>11660</v>
      </c>
      <c r="L2303">
        <v>7500</v>
      </c>
      <c r="M2303">
        <v>6200</v>
      </c>
      <c r="N2303">
        <v>1300</v>
      </c>
    </row>
    <row r="2304" spans="1:14" ht="14.4">
      <c r="A2304">
        <v>13579</v>
      </c>
      <c r="B2304">
        <v>13580</v>
      </c>
      <c r="C2304">
        <v>4116</v>
      </c>
      <c r="D2304" t="s">
        <v>897</v>
      </c>
      <c r="E2304" t="s">
        <v>1885</v>
      </c>
      <c r="F2304">
        <v>62047</v>
      </c>
      <c r="G2304" t="s">
        <v>911</v>
      </c>
      <c r="H2304" t="s">
        <v>900</v>
      </c>
      <c r="I2304">
        <v>6655</v>
      </c>
      <c r="J2304">
        <v>6655</v>
      </c>
      <c r="K2304">
        <v>0</v>
      </c>
      <c r="L2304">
        <v>6700</v>
      </c>
      <c r="M2304">
        <v>6700</v>
      </c>
      <c r="N2304">
        <v>0</v>
      </c>
    </row>
    <row r="2305" spans="1:14" ht="14.4">
      <c r="A2305">
        <v>13579</v>
      </c>
      <c r="B2305">
        <v>13580</v>
      </c>
      <c r="C2305">
        <v>4116</v>
      </c>
      <c r="D2305" t="s">
        <v>897</v>
      </c>
      <c r="E2305" t="s">
        <v>950</v>
      </c>
      <c r="F2305">
        <v>60426</v>
      </c>
      <c r="G2305" t="s">
        <v>914</v>
      </c>
      <c r="H2305" t="s">
        <v>900</v>
      </c>
      <c r="I2305">
        <v>817002</v>
      </c>
      <c r="J2305">
        <v>613387</v>
      </c>
      <c r="K2305">
        <v>203615</v>
      </c>
      <c r="L2305">
        <v>247500</v>
      </c>
      <c r="M2305">
        <v>158700</v>
      </c>
      <c r="N2305">
        <v>88800</v>
      </c>
    </row>
    <row r="2306" spans="1:14" ht="14.4">
      <c r="A2306">
        <v>13579</v>
      </c>
      <c r="B2306">
        <v>13580</v>
      </c>
      <c r="C2306">
        <v>4116</v>
      </c>
      <c r="D2306" t="s">
        <v>897</v>
      </c>
      <c r="E2306" t="s">
        <v>1886</v>
      </c>
      <c r="F2306">
        <v>60706</v>
      </c>
      <c r="G2306" t="s">
        <v>914</v>
      </c>
      <c r="H2306" t="s">
        <v>900</v>
      </c>
      <c r="I2306">
        <v>412468</v>
      </c>
      <c r="J2306">
        <v>281783</v>
      </c>
      <c r="K2306">
        <v>130685</v>
      </c>
      <c r="L2306">
        <v>270800</v>
      </c>
      <c r="M2306">
        <v>168500</v>
      </c>
      <c r="N2306">
        <v>102300</v>
      </c>
    </row>
    <row r="2307" spans="1:14" ht="14.4">
      <c r="A2307">
        <v>13579</v>
      </c>
      <c r="B2307">
        <v>13580</v>
      </c>
      <c r="C2307">
        <v>4116</v>
      </c>
      <c r="D2307" t="s">
        <v>897</v>
      </c>
      <c r="E2307" t="s">
        <v>1887</v>
      </c>
      <c r="F2307">
        <v>62644</v>
      </c>
      <c r="G2307" t="s">
        <v>1821</v>
      </c>
      <c r="H2307" t="s">
        <v>900</v>
      </c>
      <c r="I2307">
        <v>9000</v>
      </c>
      <c r="J2307">
        <v>9000</v>
      </c>
      <c r="K2307">
        <v>0</v>
      </c>
      <c r="L2307">
        <v>0</v>
      </c>
      <c r="M2307">
        <v>0</v>
      </c>
      <c r="N2307">
        <v>0</v>
      </c>
    </row>
    <row r="2308" spans="1:14" ht="14.4">
      <c r="A2308">
        <v>13579</v>
      </c>
      <c r="B2308">
        <v>13580</v>
      </c>
      <c r="C2308">
        <v>4116</v>
      </c>
      <c r="D2308" t="s">
        <v>897</v>
      </c>
      <c r="E2308" t="s">
        <v>951</v>
      </c>
      <c r="F2308">
        <v>60429</v>
      </c>
      <c r="G2308" t="s">
        <v>914</v>
      </c>
      <c r="H2308" t="s">
        <v>900</v>
      </c>
      <c r="I2308">
        <v>782744</v>
      </c>
      <c r="J2308">
        <v>603954</v>
      </c>
      <c r="K2308">
        <v>178790</v>
      </c>
      <c r="L2308">
        <v>337600</v>
      </c>
      <c r="M2308">
        <v>261400</v>
      </c>
      <c r="N2308">
        <v>76200</v>
      </c>
    </row>
    <row r="2309" spans="1:14" ht="14.4">
      <c r="A2309">
        <v>13579</v>
      </c>
      <c r="B2309">
        <v>13580</v>
      </c>
      <c r="C2309">
        <v>4116</v>
      </c>
      <c r="D2309" t="s">
        <v>897</v>
      </c>
      <c r="E2309" t="s">
        <v>1888</v>
      </c>
      <c r="F2309">
        <v>60457</v>
      </c>
      <c r="G2309" t="s">
        <v>914</v>
      </c>
      <c r="H2309" t="s">
        <v>900</v>
      </c>
      <c r="I2309">
        <v>29052</v>
      </c>
      <c r="J2309">
        <v>22302</v>
      </c>
      <c r="K2309">
        <v>6750</v>
      </c>
      <c r="L2309">
        <v>28200</v>
      </c>
      <c r="M2309">
        <v>21400</v>
      </c>
      <c r="N2309">
        <v>6800</v>
      </c>
    </row>
    <row r="2310" spans="1:14" ht="14.4">
      <c r="A2310">
        <v>13579</v>
      </c>
      <c r="B2310">
        <v>13580</v>
      </c>
      <c r="C2310">
        <v>4116</v>
      </c>
      <c r="D2310" t="s">
        <v>897</v>
      </c>
      <c r="E2310" t="s">
        <v>541</v>
      </c>
      <c r="F2310">
        <v>60035</v>
      </c>
      <c r="G2310" t="s">
        <v>902</v>
      </c>
      <c r="H2310" t="s">
        <v>900</v>
      </c>
      <c r="I2310">
        <v>52074</v>
      </c>
      <c r="J2310">
        <v>31174</v>
      </c>
      <c r="K2310">
        <v>20900</v>
      </c>
      <c r="L2310">
        <v>55000</v>
      </c>
      <c r="M2310">
        <v>23700</v>
      </c>
      <c r="N2310">
        <v>20900</v>
      </c>
    </row>
    <row r="2311" spans="1:14" ht="14.4">
      <c r="A2311">
        <v>13579</v>
      </c>
      <c r="B2311">
        <v>13580</v>
      </c>
      <c r="C2311">
        <v>4116</v>
      </c>
      <c r="D2311" t="s">
        <v>897</v>
      </c>
      <c r="E2311" t="s">
        <v>545</v>
      </c>
      <c r="F2311">
        <v>60162</v>
      </c>
      <c r="G2311" t="s">
        <v>914</v>
      </c>
      <c r="H2311" t="s">
        <v>900</v>
      </c>
      <c r="I2311">
        <v>982904</v>
      </c>
      <c r="J2311">
        <v>687933</v>
      </c>
      <c r="K2311">
        <v>294971</v>
      </c>
      <c r="L2311">
        <v>448700</v>
      </c>
      <c r="M2311">
        <v>311100</v>
      </c>
      <c r="N2311">
        <v>137600</v>
      </c>
    </row>
    <row r="2312" spans="1:14" ht="14.4">
      <c r="A2312">
        <v>13579</v>
      </c>
      <c r="B2312">
        <v>13580</v>
      </c>
      <c r="C2312">
        <v>4116</v>
      </c>
      <c r="D2312" t="s">
        <v>897</v>
      </c>
      <c r="E2312" t="s">
        <v>952</v>
      </c>
      <c r="F2312">
        <v>60521</v>
      </c>
      <c r="G2312" t="s">
        <v>914</v>
      </c>
      <c r="H2312" t="s">
        <v>900</v>
      </c>
      <c r="I2312">
        <v>18066</v>
      </c>
      <c r="J2312">
        <v>16441</v>
      </c>
      <c r="K2312">
        <v>1625</v>
      </c>
      <c r="L2312">
        <v>0</v>
      </c>
      <c r="M2312">
        <v>0</v>
      </c>
      <c r="N2312">
        <v>0</v>
      </c>
    </row>
    <row r="2313" spans="1:14" ht="14.4">
      <c r="A2313">
        <v>13579</v>
      </c>
      <c r="B2313">
        <v>13580</v>
      </c>
      <c r="C2313">
        <v>4116</v>
      </c>
      <c r="D2313" t="s">
        <v>897</v>
      </c>
      <c r="E2313" t="s">
        <v>952</v>
      </c>
      <c r="F2313">
        <v>60521</v>
      </c>
      <c r="G2313" t="s">
        <v>899</v>
      </c>
      <c r="H2313" t="s">
        <v>900</v>
      </c>
      <c r="I2313">
        <v>267119</v>
      </c>
      <c r="J2313">
        <v>151859</v>
      </c>
      <c r="K2313">
        <v>115260</v>
      </c>
      <c r="L2313">
        <v>33000</v>
      </c>
      <c r="M2313">
        <v>10300</v>
      </c>
      <c r="N2313">
        <v>22700</v>
      </c>
    </row>
    <row r="2314" spans="1:14" ht="14.4">
      <c r="A2314">
        <v>13579</v>
      </c>
      <c r="B2314">
        <v>13580</v>
      </c>
      <c r="C2314">
        <v>4116</v>
      </c>
      <c r="D2314" t="s">
        <v>897</v>
      </c>
      <c r="E2314" t="s">
        <v>1889</v>
      </c>
      <c r="F2314">
        <v>60525</v>
      </c>
      <c r="G2314" t="s">
        <v>914</v>
      </c>
      <c r="H2314" t="s">
        <v>900</v>
      </c>
      <c r="I2314">
        <v>22776</v>
      </c>
      <c r="J2314">
        <v>21211</v>
      </c>
      <c r="K2314">
        <v>1565</v>
      </c>
      <c r="L2314">
        <v>18800</v>
      </c>
      <c r="M2314">
        <v>17200</v>
      </c>
      <c r="N2314">
        <v>1600</v>
      </c>
    </row>
    <row r="2315" spans="1:14" ht="14.4">
      <c r="A2315">
        <v>13579</v>
      </c>
      <c r="B2315">
        <v>13580</v>
      </c>
      <c r="C2315">
        <v>4116</v>
      </c>
      <c r="D2315" t="s">
        <v>897</v>
      </c>
      <c r="E2315" t="s">
        <v>1890</v>
      </c>
      <c r="F2315">
        <v>60051</v>
      </c>
      <c r="G2315" t="s">
        <v>1812</v>
      </c>
      <c r="H2315" t="s">
        <v>900</v>
      </c>
      <c r="I2315">
        <v>261023</v>
      </c>
      <c r="J2315">
        <v>232533</v>
      </c>
      <c r="K2315">
        <v>28490</v>
      </c>
      <c r="L2315">
        <v>0</v>
      </c>
      <c r="M2315">
        <v>0</v>
      </c>
      <c r="N2315">
        <v>0</v>
      </c>
    </row>
    <row r="2316" spans="1:14" ht="14.4">
      <c r="A2316">
        <v>13579</v>
      </c>
      <c r="B2316">
        <v>13580</v>
      </c>
      <c r="C2316">
        <v>4116</v>
      </c>
      <c r="D2316" t="s">
        <v>897</v>
      </c>
      <c r="E2316" t="s">
        <v>953</v>
      </c>
      <c r="F2316">
        <v>60430</v>
      </c>
      <c r="G2316" t="s">
        <v>914</v>
      </c>
      <c r="H2316" t="s">
        <v>900</v>
      </c>
      <c r="I2316">
        <v>595914</v>
      </c>
      <c r="J2316">
        <v>413139</v>
      </c>
      <c r="K2316">
        <v>182775</v>
      </c>
      <c r="L2316">
        <v>331400</v>
      </c>
      <c r="M2316">
        <v>210600</v>
      </c>
      <c r="N2316">
        <v>120800</v>
      </c>
    </row>
    <row r="2317" spans="1:14" ht="14.4">
      <c r="A2317">
        <v>13579</v>
      </c>
      <c r="B2317">
        <v>13580</v>
      </c>
      <c r="C2317">
        <v>4116</v>
      </c>
      <c r="D2317" t="s">
        <v>897</v>
      </c>
      <c r="E2317" t="s">
        <v>1891</v>
      </c>
      <c r="F2317">
        <v>60142</v>
      </c>
      <c r="G2317" t="s">
        <v>1812</v>
      </c>
      <c r="H2317" t="s">
        <v>900</v>
      </c>
      <c r="I2317">
        <v>33404</v>
      </c>
      <c r="J2317">
        <v>24179</v>
      </c>
      <c r="K2317">
        <v>9225</v>
      </c>
      <c r="L2317">
        <v>14000</v>
      </c>
      <c r="M2317">
        <v>12800</v>
      </c>
      <c r="N2317">
        <v>1200</v>
      </c>
    </row>
    <row r="2318" spans="1:14" ht="14.4">
      <c r="A2318">
        <v>13579</v>
      </c>
      <c r="B2318">
        <v>13580</v>
      </c>
      <c r="C2318">
        <v>4116</v>
      </c>
      <c r="D2318" t="s">
        <v>897</v>
      </c>
      <c r="E2318" t="s">
        <v>1892</v>
      </c>
      <c r="F2318">
        <v>61259</v>
      </c>
      <c r="G2318" t="s">
        <v>937</v>
      </c>
      <c r="H2318" t="s">
        <v>900</v>
      </c>
      <c r="I2318">
        <v>17956</v>
      </c>
      <c r="J2318">
        <v>17956</v>
      </c>
      <c r="K2318">
        <v>0</v>
      </c>
      <c r="L2318">
        <v>0</v>
      </c>
      <c r="M2318">
        <v>0</v>
      </c>
      <c r="N2318">
        <v>0</v>
      </c>
    </row>
    <row r="2319" spans="1:14" ht="14.4">
      <c r="A2319">
        <v>13579</v>
      </c>
      <c r="B2319">
        <v>13580</v>
      </c>
      <c r="C2319">
        <v>4116</v>
      </c>
      <c r="D2319" t="s">
        <v>897</v>
      </c>
      <c r="E2319" t="s">
        <v>954</v>
      </c>
      <c r="F2319">
        <v>60041</v>
      </c>
      <c r="G2319" t="s">
        <v>902</v>
      </c>
      <c r="H2319" t="s">
        <v>900</v>
      </c>
      <c r="I2319">
        <v>322811</v>
      </c>
      <c r="J2319">
        <v>274891</v>
      </c>
      <c r="K2319">
        <v>47920</v>
      </c>
      <c r="L2319">
        <v>250400</v>
      </c>
      <c r="M2319">
        <v>210700</v>
      </c>
      <c r="N2319">
        <v>39700</v>
      </c>
    </row>
    <row r="2320" spans="1:14" ht="14.4">
      <c r="A2320">
        <v>13579</v>
      </c>
      <c r="B2320">
        <v>13580</v>
      </c>
      <c r="C2320">
        <v>4116</v>
      </c>
      <c r="D2320" t="s">
        <v>897</v>
      </c>
      <c r="E2320" t="s">
        <v>1893</v>
      </c>
      <c r="F2320">
        <v>60143</v>
      </c>
      <c r="G2320" t="s">
        <v>899</v>
      </c>
      <c r="H2320" t="s">
        <v>900</v>
      </c>
      <c r="I2320">
        <v>22889</v>
      </c>
      <c r="J2320">
        <v>22889</v>
      </c>
      <c r="K2320">
        <v>0</v>
      </c>
      <c r="L2320">
        <v>20200</v>
      </c>
      <c r="M2320">
        <v>20200</v>
      </c>
      <c r="N2320">
        <v>0</v>
      </c>
    </row>
    <row r="2321" spans="1:14" ht="14.4">
      <c r="A2321">
        <v>13579</v>
      </c>
      <c r="B2321">
        <v>13580</v>
      </c>
      <c r="C2321">
        <v>4116</v>
      </c>
      <c r="D2321" t="s">
        <v>897</v>
      </c>
      <c r="E2321" t="s">
        <v>1894</v>
      </c>
      <c r="F2321">
        <v>60630</v>
      </c>
      <c r="G2321" t="s">
        <v>914</v>
      </c>
      <c r="H2321" t="s">
        <v>900</v>
      </c>
      <c r="I2321">
        <v>91834</v>
      </c>
      <c r="J2321">
        <v>57814</v>
      </c>
      <c r="K2321">
        <v>34020</v>
      </c>
      <c r="L2321">
        <v>78500</v>
      </c>
      <c r="M2321">
        <v>44500</v>
      </c>
      <c r="N2321">
        <v>34000</v>
      </c>
    </row>
    <row r="2322" spans="1:14" ht="14.4">
      <c r="A2322">
        <v>13579</v>
      </c>
      <c r="B2322">
        <v>13580</v>
      </c>
      <c r="C2322">
        <v>4116</v>
      </c>
      <c r="D2322" t="s">
        <v>897</v>
      </c>
      <c r="E2322" t="s">
        <v>1895</v>
      </c>
      <c r="F2322">
        <v>60051</v>
      </c>
      <c r="G2322" t="s">
        <v>1812</v>
      </c>
      <c r="H2322" t="s">
        <v>900</v>
      </c>
      <c r="I2322">
        <v>70026</v>
      </c>
      <c r="J2322">
        <v>68276</v>
      </c>
      <c r="K2322">
        <v>1750</v>
      </c>
      <c r="L2322">
        <v>22500</v>
      </c>
      <c r="M2322">
        <v>21700</v>
      </c>
      <c r="N2322">
        <v>800</v>
      </c>
    </row>
    <row r="2323" spans="1:14" ht="14.4">
      <c r="A2323">
        <v>13579</v>
      </c>
      <c r="B2323">
        <v>13580</v>
      </c>
      <c r="C2323">
        <v>4116</v>
      </c>
      <c r="D2323" t="s">
        <v>897</v>
      </c>
      <c r="E2323" t="s">
        <v>955</v>
      </c>
      <c r="F2323">
        <v>60431</v>
      </c>
      <c r="G2323" t="s">
        <v>973</v>
      </c>
      <c r="H2323" t="s">
        <v>900</v>
      </c>
      <c r="I2323">
        <v>16675</v>
      </c>
      <c r="J2323">
        <v>5550</v>
      </c>
      <c r="K2323">
        <v>11125</v>
      </c>
      <c r="L2323">
        <v>16100</v>
      </c>
      <c r="M2323">
        <v>4900</v>
      </c>
      <c r="N2323">
        <v>11200</v>
      </c>
    </row>
    <row r="2324" spans="1:14" ht="14.4">
      <c r="A2324">
        <v>13579</v>
      </c>
      <c r="B2324">
        <v>13580</v>
      </c>
      <c r="C2324">
        <v>4116</v>
      </c>
      <c r="D2324" t="s">
        <v>897</v>
      </c>
      <c r="E2324" t="s">
        <v>955</v>
      </c>
      <c r="F2324">
        <v>60431</v>
      </c>
      <c r="G2324" t="s">
        <v>917</v>
      </c>
      <c r="H2324" t="s">
        <v>900</v>
      </c>
      <c r="I2324">
        <v>21982</v>
      </c>
      <c r="J2324">
        <v>21982</v>
      </c>
      <c r="K2324">
        <v>0</v>
      </c>
      <c r="L2324">
        <v>22000</v>
      </c>
      <c r="M2324">
        <v>22000</v>
      </c>
      <c r="N2324">
        <v>0</v>
      </c>
    </row>
    <row r="2325" spans="1:14" ht="14.4">
      <c r="A2325">
        <v>13579</v>
      </c>
      <c r="B2325">
        <v>13580</v>
      </c>
      <c r="C2325">
        <v>4116</v>
      </c>
      <c r="D2325" t="s">
        <v>897</v>
      </c>
      <c r="E2325" t="s">
        <v>955</v>
      </c>
      <c r="F2325">
        <v>60432</v>
      </c>
      <c r="G2325" t="s">
        <v>917</v>
      </c>
      <c r="H2325" t="s">
        <v>900</v>
      </c>
      <c r="I2325">
        <v>145886</v>
      </c>
      <c r="J2325">
        <v>95686</v>
      </c>
      <c r="K2325">
        <v>50200</v>
      </c>
      <c r="L2325">
        <v>6400</v>
      </c>
      <c r="M2325">
        <v>0</v>
      </c>
      <c r="N2325">
        <v>6400</v>
      </c>
    </row>
    <row r="2326" spans="1:14" ht="14.4">
      <c r="A2326">
        <v>13579</v>
      </c>
      <c r="B2326">
        <v>13580</v>
      </c>
      <c r="C2326">
        <v>4116</v>
      </c>
      <c r="D2326" t="s">
        <v>897</v>
      </c>
      <c r="E2326" t="s">
        <v>955</v>
      </c>
      <c r="F2326">
        <v>60433</v>
      </c>
      <c r="G2326" t="s">
        <v>917</v>
      </c>
      <c r="H2326" t="s">
        <v>900</v>
      </c>
      <c r="I2326">
        <v>109520</v>
      </c>
      <c r="J2326">
        <v>73545</v>
      </c>
      <c r="K2326">
        <v>35975</v>
      </c>
      <c r="L2326">
        <v>56400</v>
      </c>
      <c r="M2326">
        <v>32300</v>
      </c>
      <c r="N2326">
        <v>24100</v>
      </c>
    </row>
    <row r="2327" spans="1:14" ht="14.4">
      <c r="A2327">
        <v>13579</v>
      </c>
      <c r="B2327">
        <v>13580</v>
      </c>
      <c r="C2327">
        <v>4116</v>
      </c>
      <c r="D2327" t="s">
        <v>897</v>
      </c>
      <c r="E2327" t="s">
        <v>955</v>
      </c>
      <c r="F2327">
        <v>60435</v>
      </c>
      <c r="G2327" t="s">
        <v>917</v>
      </c>
      <c r="H2327" t="s">
        <v>900</v>
      </c>
      <c r="I2327">
        <v>72074</v>
      </c>
      <c r="J2327">
        <v>54374</v>
      </c>
      <c r="K2327">
        <v>17700</v>
      </c>
      <c r="L2327">
        <v>48100</v>
      </c>
      <c r="M2327">
        <v>33500</v>
      </c>
      <c r="N2327">
        <v>14600</v>
      </c>
    </row>
    <row r="2328" spans="1:14" ht="14.4">
      <c r="A2328">
        <v>13579</v>
      </c>
      <c r="B2328">
        <v>13580</v>
      </c>
      <c r="C2328">
        <v>4116</v>
      </c>
      <c r="D2328" t="s">
        <v>897</v>
      </c>
      <c r="E2328" t="s">
        <v>955</v>
      </c>
      <c r="F2328">
        <v>60436</v>
      </c>
      <c r="G2328" t="s">
        <v>917</v>
      </c>
      <c r="H2328" t="s">
        <v>900</v>
      </c>
      <c r="I2328">
        <v>113531</v>
      </c>
      <c r="J2328">
        <v>100106</v>
      </c>
      <c r="K2328">
        <v>13425</v>
      </c>
      <c r="L2328">
        <v>49700</v>
      </c>
      <c r="M2328">
        <v>46200</v>
      </c>
      <c r="N2328">
        <v>3500</v>
      </c>
    </row>
    <row r="2329" spans="1:14" ht="14.4">
      <c r="A2329">
        <v>13579</v>
      </c>
      <c r="B2329">
        <v>13580</v>
      </c>
      <c r="C2329">
        <v>4116</v>
      </c>
      <c r="D2329" t="s">
        <v>897</v>
      </c>
      <c r="E2329" t="s">
        <v>1896</v>
      </c>
      <c r="F2329">
        <v>60458</v>
      </c>
      <c r="G2329" t="s">
        <v>914</v>
      </c>
      <c r="H2329" t="s">
        <v>900</v>
      </c>
      <c r="I2329">
        <v>16725</v>
      </c>
      <c r="J2329">
        <v>0</v>
      </c>
      <c r="K2329">
        <v>16725</v>
      </c>
      <c r="L2329">
        <v>1200</v>
      </c>
      <c r="M2329">
        <v>0</v>
      </c>
      <c r="N2329">
        <v>1200</v>
      </c>
    </row>
    <row r="2330" spans="1:14" ht="14.4">
      <c r="A2330">
        <v>13579</v>
      </c>
      <c r="B2330">
        <v>13580</v>
      </c>
      <c r="C2330">
        <v>4116</v>
      </c>
      <c r="D2330" t="s">
        <v>897</v>
      </c>
      <c r="E2330" t="s">
        <v>564</v>
      </c>
      <c r="F2330">
        <v>60043</v>
      </c>
      <c r="G2330" t="s">
        <v>914</v>
      </c>
      <c r="H2330" t="s">
        <v>900</v>
      </c>
      <c r="I2330">
        <v>11963</v>
      </c>
      <c r="J2330">
        <v>10963</v>
      </c>
      <c r="K2330">
        <v>1000</v>
      </c>
      <c r="L2330">
        <v>11600</v>
      </c>
      <c r="M2330">
        <v>10600</v>
      </c>
      <c r="N2330">
        <v>1000</v>
      </c>
    </row>
    <row r="2331" spans="1:14" ht="14.4">
      <c r="A2331">
        <v>13579</v>
      </c>
      <c r="B2331">
        <v>13580</v>
      </c>
      <c r="C2331">
        <v>4116</v>
      </c>
      <c r="D2331" t="s">
        <v>897</v>
      </c>
      <c r="E2331" t="s">
        <v>1897</v>
      </c>
      <c r="F2331">
        <v>60047</v>
      </c>
      <c r="G2331" t="s">
        <v>902</v>
      </c>
      <c r="H2331" t="s">
        <v>900</v>
      </c>
      <c r="I2331">
        <v>20988</v>
      </c>
      <c r="J2331">
        <v>15453</v>
      </c>
      <c r="K2331">
        <v>5535</v>
      </c>
      <c r="L2331">
        <v>14000</v>
      </c>
      <c r="M2331">
        <v>12200</v>
      </c>
      <c r="N2331">
        <v>1800</v>
      </c>
    </row>
    <row r="2332" spans="1:14" ht="14.4">
      <c r="A2332">
        <v>13579</v>
      </c>
      <c r="B2332">
        <v>13580</v>
      </c>
      <c r="C2332">
        <v>4116</v>
      </c>
      <c r="D2332" t="s">
        <v>897</v>
      </c>
      <c r="E2332" t="s">
        <v>1898</v>
      </c>
      <c r="F2332">
        <v>61448</v>
      </c>
      <c r="G2332" t="s">
        <v>946</v>
      </c>
      <c r="H2332" t="s">
        <v>900</v>
      </c>
      <c r="I2332">
        <v>128241</v>
      </c>
      <c r="J2332">
        <v>99086</v>
      </c>
      <c r="K2332">
        <v>29155</v>
      </c>
      <c r="L2332">
        <v>74700</v>
      </c>
      <c r="M2332">
        <v>56100</v>
      </c>
      <c r="N2332">
        <v>18600</v>
      </c>
    </row>
    <row r="2333" spans="1:14" ht="14.4">
      <c r="A2333">
        <v>13579</v>
      </c>
      <c r="B2333">
        <v>13580</v>
      </c>
      <c r="C2333">
        <v>4116</v>
      </c>
      <c r="D2333" t="s">
        <v>897</v>
      </c>
      <c r="E2333" t="s">
        <v>1899</v>
      </c>
      <c r="F2333">
        <v>60525</v>
      </c>
      <c r="G2333" t="s">
        <v>914</v>
      </c>
      <c r="H2333" t="s">
        <v>900</v>
      </c>
      <c r="I2333">
        <v>66764</v>
      </c>
      <c r="J2333">
        <v>58804</v>
      </c>
      <c r="K2333">
        <v>7960</v>
      </c>
      <c r="L2333">
        <v>59000</v>
      </c>
      <c r="M2333">
        <v>53600</v>
      </c>
      <c r="N2333">
        <v>5400</v>
      </c>
    </row>
    <row r="2334" spans="1:14" ht="14.4">
      <c r="A2334">
        <v>13579</v>
      </c>
      <c r="B2334">
        <v>13580</v>
      </c>
      <c r="C2334">
        <v>4116</v>
      </c>
      <c r="D2334" t="s">
        <v>897</v>
      </c>
      <c r="E2334" t="s">
        <v>1900</v>
      </c>
      <c r="F2334">
        <v>60526</v>
      </c>
      <c r="G2334" t="s">
        <v>914</v>
      </c>
      <c r="H2334" t="s">
        <v>900</v>
      </c>
      <c r="I2334">
        <v>118409</v>
      </c>
      <c r="J2334">
        <v>90654</v>
      </c>
      <c r="K2334">
        <v>27755</v>
      </c>
      <c r="L2334">
        <v>58900</v>
      </c>
      <c r="M2334">
        <v>42600</v>
      </c>
      <c r="N2334">
        <v>16300</v>
      </c>
    </row>
    <row r="2335" spans="1:14" ht="14.4">
      <c r="A2335">
        <v>13579</v>
      </c>
      <c r="B2335">
        <v>13580</v>
      </c>
      <c r="C2335">
        <v>4116</v>
      </c>
      <c r="D2335" t="s">
        <v>897</v>
      </c>
      <c r="E2335" t="s">
        <v>1901</v>
      </c>
      <c r="F2335">
        <v>61330</v>
      </c>
      <c r="G2335" t="s">
        <v>981</v>
      </c>
      <c r="H2335" t="s">
        <v>900</v>
      </c>
      <c r="I2335">
        <v>15470</v>
      </c>
      <c r="J2335">
        <v>8870</v>
      </c>
      <c r="K2335">
        <v>6600</v>
      </c>
      <c r="L2335">
        <v>14000</v>
      </c>
      <c r="M2335">
        <v>8400</v>
      </c>
      <c r="N2335">
        <v>5600</v>
      </c>
    </row>
    <row r="2336" spans="1:14" ht="14.4">
      <c r="A2336">
        <v>13579</v>
      </c>
      <c r="B2336">
        <v>13580</v>
      </c>
      <c r="C2336">
        <v>4116</v>
      </c>
      <c r="D2336" t="s">
        <v>897</v>
      </c>
      <c r="E2336" t="s">
        <v>1902</v>
      </c>
      <c r="F2336">
        <v>61541</v>
      </c>
      <c r="G2336" t="s">
        <v>1903</v>
      </c>
      <c r="H2336" t="s">
        <v>900</v>
      </c>
      <c r="I2336">
        <v>19622</v>
      </c>
      <c r="J2336">
        <v>14247</v>
      </c>
      <c r="K2336">
        <v>5375</v>
      </c>
      <c r="L2336">
        <v>14000</v>
      </c>
      <c r="M2336">
        <v>8700</v>
      </c>
      <c r="N2336">
        <v>5300</v>
      </c>
    </row>
    <row r="2337" spans="1:14" ht="14.4">
      <c r="A2337">
        <v>13579</v>
      </c>
      <c r="B2337">
        <v>13580</v>
      </c>
      <c r="C2337">
        <v>4116</v>
      </c>
      <c r="D2337" t="s">
        <v>897</v>
      </c>
      <c r="E2337" t="s">
        <v>1904</v>
      </c>
      <c r="F2337">
        <v>61540</v>
      </c>
      <c r="G2337" t="s">
        <v>1903</v>
      </c>
      <c r="H2337" t="s">
        <v>900</v>
      </c>
      <c r="I2337">
        <v>16034</v>
      </c>
      <c r="J2337">
        <v>11384</v>
      </c>
      <c r="K2337">
        <v>4650</v>
      </c>
      <c r="L2337">
        <v>0</v>
      </c>
      <c r="M2337">
        <v>0</v>
      </c>
      <c r="N2337">
        <v>0</v>
      </c>
    </row>
    <row r="2338" spans="1:14" ht="14.4">
      <c r="A2338">
        <v>13579</v>
      </c>
      <c r="B2338">
        <v>13580</v>
      </c>
      <c r="C2338">
        <v>4116</v>
      </c>
      <c r="D2338" t="s">
        <v>897</v>
      </c>
      <c r="E2338" t="s">
        <v>1905</v>
      </c>
      <c r="F2338">
        <v>61329</v>
      </c>
      <c r="G2338" t="s">
        <v>981</v>
      </c>
      <c r="H2338" t="s">
        <v>900</v>
      </c>
      <c r="I2338">
        <v>31064</v>
      </c>
      <c r="J2338">
        <v>17934</v>
      </c>
      <c r="K2338">
        <v>13130</v>
      </c>
      <c r="L2338">
        <v>0</v>
      </c>
      <c r="M2338">
        <v>0</v>
      </c>
      <c r="N2338">
        <v>0</v>
      </c>
    </row>
    <row r="2339" spans="1:14" ht="14.4">
      <c r="A2339">
        <v>13579</v>
      </c>
      <c r="B2339">
        <v>13580</v>
      </c>
      <c r="C2339">
        <v>4116</v>
      </c>
      <c r="D2339" t="s">
        <v>897</v>
      </c>
      <c r="E2339" t="s">
        <v>1906</v>
      </c>
      <c r="F2339">
        <v>60046</v>
      </c>
      <c r="G2339" t="s">
        <v>902</v>
      </c>
      <c r="H2339" t="s">
        <v>900</v>
      </c>
      <c r="I2339">
        <v>19645</v>
      </c>
      <c r="J2339">
        <v>19645</v>
      </c>
      <c r="K2339">
        <v>0</v>
      </c>
      <c r="L2339">
        <v>4000</v>
      </c>
      <c r="M2339">
        <v>4000</v>
      </c>
      <c r="N2339">
        <v>0</v>
      </c>
    </row>
    <row r="2340" spans="1:14" ht="14.4">
      <c r="A2340">
        <v>13579</v>
      </c>
      <c r="B2340">
        <v>13580</v>
      </c>
      <c r="C2340">
        <v>4116</v>
      </c>
      <c r="D2340" t="s">
        <v>897</v>
      </c>
      <c r="E2340" t="s">
        <v>1907</v>
      </c>
      <c r="F2340">
        <v>60047</v>
      </c>
      <c r="G2340" t="s">
        <v>902</v>
      </c>
      <c r="H2340" t="s">
        <v>900</v>
      </c>
      <c r="I2340">
        <v>140099</v>
      </c>
      <c r="J2340">
        <v>102014</v>
      </c>
      <c r="K2340">
        <v>38085</v>
      </c>
      <c r="L2340">
        <v>103900</v>
      </c>
      <c r="M2340">
        <v>70600</v>
      </c>
      <c r="N2340">
        <v>33300</v>
      </c>
    </row>
    <row r="2341" spans="1:14" ht="14.4">
      <c r="A2341">
        <v>13579</v>
      </c>
      <c r="B2341">
        <v>13580</v>
      </c>
      <c r="C2341">
        <v>4116</v>
      </c>
      <c r="D2341" t="s">
        <v>897</v>
      </c>
      <c r="E2341" t="s">
        <v>1908</v>
      </c>
      <c r="F2341">
        <v>60438</v>
      </c>
      <c r="G2341" t="s">
        <v>914</v>
      </c>
      <c r="H2341" t="s">
        <v>900</v>
      </c>
      <c r="I2341">
        <v>629808</v>
      </c>
      <c r="J2341">
        <v>456013</v>
      </c>
      <c r="K2341">
        <v>173795</v>
      </c>
      <c r="L2341">
        <v>346300</v>
      </c>
      <c r="M2341">
        <v>262600</v>
      </c>
      <c r="N2341">
        <v>83700</v>
      </c>
    </row>
    <row r="2342" spans="1:14" ht="14.4">
      <c r="A2342">
        <v>13579</v>
      </c>
      <c r="B2342">
        <v>13580</v>
      </c>
      <c r="C2342">
        <v>4116</v>
      </c>
      <c r="D2342" t="s">
        <v>897</v>
      </c>
      <c r="E2342" t="s">
        <v>1909</v>
      </c>
      <c r="F2342">
        <v>60531</v>
      </c>
      <c r="G2342" t="s">
        <v>923</v>
      </c>
      <c r="H2342" t="s">
        <v>900</v>
      </c>
      <c r="I2342">
        <v>47655</v>
      </c>
      <c r="J2342">
        <v>31105</v>
      </c>
      <c r="K2342">
        <v>16550</v>
      </c>
      <c r="L2342">
        <v>35600</v>
      </c>
      <c r="M2342">
        <v>21300</v>
      </c>
      <c r="N2342">
        <v>14300</v>
      </c>
    </row>
    <row r="2343" spans="1:14" ht="14.4">
      <c r="A2343">
        <v>13579</v>
      </c>
      <c r="B2343">
        <v>13580</v>
      </c>
      <c r="C2343">
        <v>4116</v>
      </c>
      <c r="D2343" t="s">
        <v>897</v>
      </c>
      <c r="E2343" t="s">
        <v>1910</v>
      </c>
      <c r="F2343">
        <v>60439</v>
      </c>
      <c r="G2343" t="s">
        <v>914</v>
      </c>
      <c r="H2343" t="s">
        <v>900</v>
      </c>
      <c r="I2343">
        <v>31925</v>
      </c>
      <c r="J2343">
        <v>22425</v>
      </c>
      <c r="K2343">
        <v>9500</v>
      </c>
      <c r="L2343">
        <v>0</v>
      </c>
      <c r="M2343">
        <v>0</v>
      </c>
      <c r="N2343">
        <v>0</v>
      </c>
    </row>
    <row r="2344" spans="1:14" ht="14.4">
      <c r="A2344">
        <v>13579</v>
      </c>
      <c r="B2344">
        <v>13580</v>
      </c>
      <c r="C2344">
        <v>4116</v>
      </c>
      <c r="D2344" t="s">
        <v>897</v>
      </c>
      <c r="E2344" t="s">
        <v>1911</v>
      </c>
      <c r="F2344">
        <v>60048</v>
      </c>
      <c r="G2344" t="s">
        <v>902</v>
      </c>
      <c r="H2344" t="s">
        <v>900</v>
      </c>
      <c r="I2344">
        <v>179833</v>
      </c>
      <c r="J2344">
        <v>159398</v>
      </c>
      <c r="K2344">
        <v>20435</v>
      </c>
      <c r="L2344">
        <v>20700</v>
      </c>
      <c r="M2344">
        <v>19100</v>
      </c>
      <c r="N2344">
        <v>1600</v>
      </c>
    </row>
    <row r="2345" spans="1:14" ht="14.4">
      <c r="A2345">
        <v>13579</v>
      </c>
      <c r="B2345">
        <v>13580</v>
      </c>
      <c r="C2345">
        <v>4116</v>
      </c>
      <c r="D2345" t="s">
        <v>897</v>
      </c>
      <c r="E2345" t="s">
        <v>1912</v>
      </c>
      <c r="F2345">
        <v>60069</v>
      </c>
      <c r="G2345" t="s">
        <v>902</v>
      </c>
      <c r="H2345" t="s">
        <v>900</v>
      </c>
      <c r="I2345">
        <v>111561</v>
      </c>
      <c r="J2345">
        <v>93611</v>
      </c>
      <c r="K2345">
        <v>17950</v>
      </c>
      <c r="L2345">
        <v>111600</v>
      </c>
      <c r="M2345">
        <v>93700</v>
      </c>
      <c r="N2345">
        <v>17900</v>
      </c>
    </row>
    <row r="2346" spans="1:14" ht="14.4">
      <c r="A2346">
        <v>13579</v>
      </c>
      <c r="B2346">
        <v>13580</v>
      </c>
      <c r="C2346">
        <v>4116</v>
      </c>
      <c r="D2346" t="s">
        <v>897</v>
      </c>
      <c r="E2346" t="s">
        <v>957</v>
      </c>
      <c r="F2346">
        <v>60712</v>
      </c>
      <c r="G2346" t="s">
        <v>914</v>
      </c>
      <c r="H2346" t="s">
        <v>900</v>
      </c>
      <c r="I2346">
        <v>837613</v>
      </c>
      <c r="J2346">
        <v>588508</v>
      </c>
      <c r="K2346">
        <v>249105</v>
      </c>
      <c r="L2346">
        <v>256600</v>
      </c>
      <c r="M2346">
        <v>151000</v>
      </c>
      <c r="N2346">
        <v>105600</v>
      </c>
    </row>
    <row r="2347" spans="1:14" ht="14.4">
      <c r="A2347">
        <v>13579</v>
      </c>
      <c r="B2347">
        <v>13580</v>
      </c>
      <c r="C2347">
        <v>4116</v>
      </c>
      <c r="D2347" t="s">
        <v>897</v>
      </c>
      <c r="E2347" t="s">
        <v>200</v>
      </c>
      <c r="F2347">
        <v>60046</v>
      </c>
      <c r="G2347" t="s">
        <v>902</v>
      </c>
      <c r="H2347" t="s">
        <v>900</v>
      </c>
      <c r="I2347">
        <v>15835</v>
      </c>
      <c r="J2347">
        <v>11135</v>
      </c>
      <c r="K2347">
        <v>4700</v>
      </c>
      <c r="L2347">
        <v>0</v>
      </c>
      <c r="M2347">
        <v>0</v>
      </c>
      <c r="N2347">
        <v>0</v>
      </c>
    </row>
    <row r="2348" spans="1:14" ht="14.4">
      <c r="A2348">
        <v>13579</v>
      </c>
      <c r="B2348">
        <v>13580</v>
      </c>
      <c r="C2348">
        <v>4116</v>
      </c>
      <c r="D2348" t="s">
        <v>897</v>
      </c>
      <c r="E2348" t="s">
        <v>958</v>
      </c>
      <c r="F2348">
        <v>60532</v>
      </c>
      <c r="G2348" t="s">
        <v>899</v>
      </c>
      <c r="H2348" t="s">
        <v>900</v>
      </c>
      <c r="I2348">
        <v>4838755</v>
      </c>
      <c r="J2348">
        <v>3116902</v>
      </c>
      <c r="K2348">
        <v>1721853</v>
      </c>
      <c r="L2348">
        <v>1856400</v>
      </c>
      <c r="M2348">
        <v>1057900</v>
      </c>
      <c r="N2348">
        <v>798500</v>
      </c>
    </row>
    <row r="2349" spans="1:14" ht="14.4">
      <c r="A2349">
        <v>13579</v>
      </c>
      <c r="B2349">
        <v>13580</v>
      </c>
      <c r="C2349">
        <v>4116</v>
      </c>
      <c r="D2349" t="s">
        <v>897</v>
      </c>
      <c r="E2349" t="s">
        <v>1913</v>
      </c>
      <c r="F2349">
        <v>61543</v>
      </c>
      <c r="G2349" t="s">
        <v>930</v>
      </c>
      <c r="H2349" t="s">
        <v>900</v>
      </c>
      <c r="I2349">
        <v>6435</v>
      </c>
      <c r="J2349">
        <v>6435</v>
      </c>
      <c r="K2349">
        <v>0</v>
      </c>
      <c r="L2349">
        <v>0</v>
      </c>
      <c r="M2349">
        <v>0</v>
      </c>
      <c r="N2349">
        <v>0</v>
      </c>
    </row>
    <row r="2350" spans="1:14" ht="14.4">
      <c r="A2350">
        <v>13579</v>
      </c>
      <c r="B2350">
        <v>13580</v>
      </c>
      <c r="C2350">
        <v>4116</v>
      </c>
      <c r="D2350" t="s">
        <v>897</v>
      </c>
      <c r="E2350" t="s">
        <v>959</v>
      </c>
      <c r="F2350">
        <v>60148</v>
      </c>
      <c r="G2350" t="s">
        <v>899</v>
      </c>
      <c r="H2350" t="s">
        <v>900</v>
      </c>
      <c r="I2350">
        <v>1679358</v>
      </c>
      <c r="J2350">
        <v>1190398</v>
      </c>
      <c r="K2350">
        <v>488960</v>
      </c>
      <c r="L2350">
        <v>821900</v>
      </c>
      <c r="M2350">
        <v>524100</v>
      </c>
      <c r="N2350">
        <v>294000</v>
      </c>
    </row>
    <row r="2351" spans="1:14" ht="14.4">
      <c r="A2351">
        <v>13579</v>
      </c>
      <c r="B2351">
        <v>13580</v>
      </c>
      <c r="C2351">
        <v>4116</v>
      </c>
      <c r="D2351" t="s">
        <v>897</v>
      </c>
      <c r="E2351" t="s">
        <v>1914</v>
      </c>
      <c r="F2351">
        <v>61544</v>
      </c>
      <c r="G2351" t="s">
        <v>930</v>
      </c>
      <c r="H2351" t="s">
        <v>900</v>
      </c>
      <c r="I2351">
        <v>206132</v>
      </c>
      <c r="J2351">
        <v>128977</v>
      </c>
      <c r="K2351">
        <v>77155</v>
      </c>
      <c r="L2351">
        <v>55100</v>
      </c>
      <c r="M2351">
        <v>23800</v>
      </c>
      <c r="N2351">
        <v>31300</v>
      </c>
    </row>
    <row r="2352" spans="1:14" ht="14.4">
      <c r="A2352">
        <v>13579</v>
      </c>
      <c r="B2352">
        <v>13580</v>
      </c>
      <c r="C2352">
        <v>4116</v>
      </c>
      <c r="D2352" t="s">
        <v>897</v>
      </c>
      <c r="E2352" t="s">
        <v>1915</v>
      </c>
      <c r="F2352">
        <v>60047</v>
      </c>
      <c r="G2352" t="s">
        <v>902</v>
      </c>
      <c r="H2352" t="s">
        <v>900</v>
      </c>
      <c r="I2352">
        <v>26084</v>
      </c>
      <c r="J2352">
        <v>22924</v>
      </c>
      <c r="K2352">
        <v>3160</v>
      </c>
      <c r="L2352">
        <v>0</v>
      </c>
      <c r="M2352">
        <v>0</v>
      </c>
      <c r="N2352">
        <v>0</v>
      </c>
    </row>
    <row r="2353" spans="1:14" ht="14.4">
      <c r="A2353">
        <v>13579</v>
      </c>
      <c r="B2353">
        <v>13580</v>
      </c>
      <c r="C2353">
        <v>4116</v>
      </c>
      <c r="D2353" t="s">
        <v>897</v>
      </c>
      <c r="E2353" t="s">
        <v>1916</v>
      </c>
      <c r="F2353">
        <v>61333</v>
      </c>
      <c r="G2353" t="s">
        <v>592</v>
      </c>
      <c r="H2353" t="s">
        <v>900</v>
      </c>
      <c r="I2353">
        <v>66781</v>
      </c>
      <c r="J2353">
        <v>30206</v>
      </c>
      <c r="K2353">
        <v>36575</v>
      </c>
      <c r="L2353">
        <v>51400</v>
      </c>
      <c r="M2353">
        <v>18900</v>
      </c>
      <c r="N2353">
        <v>32500</v>
      </c>
    </row>
    <row r="2354" spans="1:14" ht="14.4">
      <c r="A2354">
        <v>13579</v>
      </c>
      <c r="B2354">
        <v>13580</v>
      </c>
      <c r="C2354">
        <v>4116</v>
      </c>
      <c r="D2354" t="s">
        <v>897</v>
      </c>
      <c r="E2354" t="s">
        <v>1917</v>
      </c>
      <c r="F2354">
        <v>61334</v>
      </c>
      <c r="G2354" t="s">
        <v>923</v>
      </c>
      <c r="H2354" t="s">
        <v>900</v>
      </c>
      <c r="I2354">
        <v>72933</v>
      </c>
      <c r="J2354">
        <v>57483</v>
      </c>
      <c r="K2354">
        <v>15450</v>
      </c>
      <c r="L2354">
        <v>59400</v>
      </c>
      <c r="M2354">
        <v>47900</v>
      </c>
      <c r="N2354">
        <v>11500</v>
      </c>
    </row>
    <row r="2355" spans="1:14" ht="14.4">
      <c r="A2355">
        <v>13579</v>
      </c>
      <c r="B2355">
        <v>13580</v>
      </c>
      <c r="C2355">
        <v>4116</v>
      </c>
      <c r="D2355" t="s">
        <v>897</v>
      </c>
      <c r="E2355" t="s">
        <v>1918</v>
      </c>
      <c r="F2355">
        <v>61111</v>
      </c>
      <c r="G2355" t="s">
        <v>991</v>
      </c>
      <c r="H2355" t="s">
        <v>900</v>
      </c>
      <c r="I2355">
        <v>31642</v>
      </c>
      <c r="J2355">
        <v>24932</v>
      </c>
      <c r="K2355">
        <v>6710</v>
      </c>
      <c r="L2355">
        <v>30600</v>
      </c>
      <c r="M2355">
        <v>23900</v>
      </c>
      <c r="N2355">
        <v>6700</v>
      </c>
    </row>
    <row r="2356" spans="1:14" ht="14.4">
      <c r="A2356">
        <v>13579</v>
      </c>
      <c r="B2356">
        <v>13580</v>
      </c>
      <c r="C2356">
        <v>4116</v>
      </c>
      <c r="D2356" t="s">
        <v>897</v>
      </c>
      <c r="E2356" t="s">
        <v>1919</v>
      </c>
      <c r="F2356">
        <v>61545</v>
      </c>
      <c r="G2356" t="s">
        <v>988</v>
      </c>
      <c r="H2356" t="s">
        <v>900</v>
      </c>
      <c r="I2356">
        <v>32021</v>
      </c>
      <c r="J2356">
        <v>23721</v>
      </c>
      <c r="K2356">
        <v>8300</v>
      </c>
      <c r="L2356">
        <v>12900</v>
      </c>
      <c r="M2356">
        <v>4600</v>
      </c>
      <c r="N2356">
        <v>8300</v>
      </c>
    </row>
    <row r="2357" spans="1:14" ht="14.4">
      <c r="A2357">
        <v>13579</v>
      </c>
      <c r="B2357">
        <v>13580</v>
      </c>
      <c r="C2357">
        <v>4116</v>
      </c>
      <c r="D2357" t="s">
        <v>897</v>
      </c>
      <c r="E2357" t="s">
        <v>1920</v>
      </c>
      <c r="F2357">
        <v>60411</v>
      </c>
      <c r="G2357" t="s">
        <v>914</v>
      </c>
      <c r="H2357" t="s">
        <v>900</v>
      </c>
      <c r="I2357">
        <v>282362</v>
      </c>
      <c r="J2357">
        <v>187387</v>
      </c>
      <c r="K2357">
        <v>94975</v>
      </c>
      <c r="L2357">
        <v>120400</v>
      </c>
      <c r="M2357">
        <v>78300</v>
      </c>
      <c r="N2357">
        <v>42100</v>
      </c>
    </row>
    <row r="2358" spans="1:14" ht="14.4">
      <c r="A2358">
        <v>13579</v>
      </c>
      <c r="B2358">
        <v>13580</v>
      </c>
      <c r="C2358">
        <v>4116</v>
      </c>
      <c r="D2358" t="s">
        <v>897</v>
      </c>
      <c r="E2358" t="s">
        <v>960</v>
      </c>
      <c r="F2358">
        <v>60534</v>
      </c>
      <c r="G2358" t="s">
        <v>914</v>
      </c>
      <c r="H2358" t="s">
        <v>900</v>
      </c>
      <c r="I2358">
        <v>96744</v>
      </c>
      <c r="J2358">
        <v>75584</v>
      </c>
      <c r="K2358">
        <v>21160</v>
      </c>
      <c r="L2358">
        <v>26700</v>
      </c>
      <c r="M2358">
        <v>16000</v>
      </c>
      <c r="N2358">
        <v>10700</v>
      </c>
    </row>
    <row r="2359" spans="1:14" ht="14.4">
      <c r="A2359">
        <v>13579</v>
      </c>
      <c r="B2359">
        <v>13580</v>
      </c>
      <c r="C2359">
        <v>4116</v>
      </c>
      <c r="D2359" t="s">
        <v>897</v>
      </c>
      <c r="E2359" t="s">
        <v>1921</v>
      </c>
      <c r="F2359">
        <v>61115</v>
      </c>
      <c r="G2359" t="s">
        <v>991</v>
      </c>
      <c r="H2359" t="s">
        <v>900</v>
      </c>
      <c r="I2359">
        <v>57210</v>
      </c>
      <c r="J2359">
        <v>52675</v>
      </c>
      <c r="K2359">
        <v>4535</v>
      </c>
      <c r="L2359">
        <v>0</v>
      </c>
      <c r="M2359">
        <v>0</v>
      </c>
      <c r="N2359">
        <v>0</v>
      </c>
    </row>
    <row r="2360" spans="1:14" ht="14.4">
      <c r="A2360">
        <v>13579</v>
      </c>
      <c r="B2360">
        <v>13580</v>
      </c>
      <c r="C2360">
        <v>4116</v>
      </c>
      <c r="D2360" t="s">
        <v>897</v>
      </c>
      <c r="E2360" t="s">
        <v>1922</v>
      </c>
      <c r="F2360">
        <v>61755</v>
      </c>
      <c r="G2360" t="s">
        <v>1853</v>
      </c>
      <c r="H2360" t="s">
        <v>900</v>
      </c>
      <c r="I2360">
        <v>57745</v>
      </c>
      <c r="J2360">
        <v>47400</v>
      </c>
      <c r="K2360">
        <v>10345</v>
      </c>
      <c r="L2360">
        <v>0</v>
      </c>
      <c r="M2360">
        <v>0</v>
      </c>
      <c r="N2360">
        <v>0</v>
      </c>
    </row>
    <row r="2361" spans="1:14" ht="14.4">
      <c r="A2361">
        <v>13579</v>
      </c>
      <c r="B2361">
        <v>13580</v>
      </c>
      <c r="C2361">
        <v>4116</v>
      </c>
      <c r="D2361" t="s">
        <v>897</v>
      </c>
      <c r="E2361" t="s">
        <v>961</v>
      </c>
      <c r="F2361">
        <v>61455</v>
      </c>
      <c r="G2361" t="s">
        <v>962</v>
      </c>
      <c r="H2361" t="s">
        <v>900</v>
      </c>
      <c r="I2361">
        <v>450245</v>
      </c>
      <c r="J2361">
        <v>371185</v>
      </c>
      <c r="K2361">
        <v>79060</v>
      </c>
      <c r="L2361">
        <v>226400</v>
      </c>
      <c r="M2361">
        <v>183400</v>
      </c>
      <c r="N2361">
        <v>43000</v>
      </c>
    </row>
    <row r="2362" spans="1:14" ht="14.4">
      <c r="A2362">
        <v>13579</v>
      </c>
      <c r="B2362">
        <v>13580</v>
      </c>
      <c r="C2362">
        <v>4116</v>
      </c>
      <c r="D2362" t="s">
        <v>897</v>
      </c>
      <c r="E2362" t="s">
        <v>964</v>
      </c>
      <c r="F2362">
        <v>60426</v>
      </c>
      <c r="G2362" t="s">
        <v>914</v>
      </c>
      <c r="H2362" t="s">
        <v>900</v>
      </c>
      <c r="I2362">
        <v>25100</v>
      </c>
      <c r="J2362">
        <v>17175</v>
      </c>
      <c r="K2362">
        <v>7925</v>
      </c>
      <c r="L2362">
        <v>24500</v>
      </c>
      <c r="M2362">
        <v>16600</v>
      </c>
      <c r="N2362">
        <v>7900</v>
      </c>
    </row>
    <row r="2363" spans="1:14" ht="14.4">
      <c r="A2363">
        <v>13579</v>
      </c>
      <c r="B2363">
        <v>13580</v>
      </c>
      <c r="C2363">
        <v>4116</v>
      </c>
      <c r="D2363" t="s">
        <v>897</v>
      </c>
      <c r="E2363" t="s">
        <v>964</v>
      </c>
      <c r="F2363">
        <v>60428</v>
      </c>
      <c r="G2363" t="s">
        <v>914</v>
      </c>
      <c r="H2363" t="s">
        <v>900</v>
      </c>
      <c r="I2363">
        <v>463699</v>
      </c>
      <c r="J2363">
        <v>323539</v>
      </c>
      <c r="K2363">
        <v>140160</v>
      </c>
      <c r="L2363">
        <v>215500</v>
      </c>
      <c r="M2363">
        <v>153100</v>
      </c>
      <c r="N2363">
        <v>62400</v>
      </c>
    </row>
    <row r="2364" spans="1:14" ht="14.4">
      <c r="A2364">
        <v>13579</v>
      </c>
      <c r="B2364">
        <v>13580</v>
      </c>
      <c r="C2364">
        <v>4116</v>
      </c>
      <c r="D2364" t="s">
        <v>897</v>
      </c>
      <c r="E2364" t="s">
        <v>965</v>
      </c>
      <c r="F2364">
        <v>61341</v>
      </c>
      <c r="G2364" t="s">
        <v>923</v>
      </c>
      <c r="H2364" t="s">
        <v>900</v>
      </c>
      <c r="I2364">
        <v>5279933</v>
      </c>
      <c r="J2364">
        <v>3773073</v>
      </c>
      <c r="K2364">
        <v>1506860</v>
      </c>
      <c r="L2364">
        <v>2890400</v>
      </c>
      <c r="M2364">
        <v>1715800</v>
      </c>
      <c r="N2364">
        <v>897900</v>
      </c>
    </row>
    <row r="2365" spans="1:14" ht="14.4">
      <c r="A2365">
        <v>13579</v>
      </c>
      <c r="B2365">
        <v>13580</v>
      </c>
      <c r="C2365">
        <v>4116</v>
      </c>
      <c r="D2365" t="s">
        <v>897</v>
      </c>
      <c r="E2365" t="s">
        <v>966</v>
      </c>
      <c r="F2365">
        <v>60443</v>
      </c>
      <c r="G2365" t="s">
        <v>914</v>
      </c>
      <c r="H2365" t="s">
        <v>900</v>
      </c>
      <c r="I2365">
        <v>527075</v>
      </c>
      <c r="J2365">
        <v>379175</v>
      </c>
      <c r="K2365">
        <v>147900</v>
      </c>
      <c r="L2365">
        <v>317800</v>
      </c>
      <c r="M2365">
        <v>224900</v>
      </c>
      <c r="N2365">
        <v>92900</v>
      </c>
    </row>
    <row r="2366" spans="1:14" ht="14.4">
      <c r="A2366">
        <v>13579</v>
      </c>
      <c r="B2366">
        <v>13580</v>
      </c>
      <c r="C2366">
        <v>4116</v>
      </c>
      <c r="D2366" t="s">
        <v>897</v>
      </c>
      <c r="E2366" t="s">
        <v>617</v>
      </c>
      <c r="F2366">
        <v>60153</v>
      </c>
      <c r="G2366" t="s">
        <v>914</v>
      </c>
      <c r="H2366" t="s">
        <v>900</v>
      </c>
      <c r="I2366">
        <v>1968055</v>
      </c>
      <c r="J2366">
        <v>1433339</v>
      </c>
      <c r="K2366">
        <v>534716</v>
      </c>
      <c r="L2366">
        <v>821400</v>
      </c>
      <c r="M2366">
        <v>584900</v>
      </c>
      <c r="N2366">
        <v>236500</v>
      </c>
    </row>
    <row r="2367" spans="1:14" ht="14.4">
      <c r="A2367">
        <v>13579</v>
      </c>
      <c r="B2367">
        <v>13580</v>
      </c>
      <c r="C2367">
        <v>4116</v>
      </c>
      <c r="D2367" t="s">
        <v>897</v>
      </c>
      <c r="E2367" t="s">
        <v>1923</v>
      </c>
      <c r="F2367">
        <v>60525</v>
      </c>
      <c r="G2367" t="s">
        <v>914</v>
      </c>
      <c r="H2367" t="s">
        <v>900</v>
      </c>
      <c r="I2367">
        <v>7350</v>
      </c>
      <c r="J2367">
        <v>0</v>
      </c>
      <c r="K2367">
        <v>7350</v>
      </c>
      <c r="L2367">
        <v>0</v>
      </c>
      <c r="M2367">
        <v>0</v>
      </c>
      <c r="N2367">
        <v>0</v>
      </c>
    </row>
    <row r="2368" spans="1:14" ht="14.4">
      <c r="A2368">
        <v>13579</v>
      </c>
      <c r="B2368">
        <v>13580</v>
      </c>
      <c r="C2368">
        <v>4116</v>
      </c>
      <c r="D2368" t="s">
        <v>897</v>
      </c>
      <c r="E2368" t="s">
        <v>1812</v>
      </c>
      <c r="F2368">
        <v>60050</v>
      </c>
      <c r="G2368" t="s">
        <v>1812</v>
      </c>
      <c r="H2368" t="s">
        <v>900</v>
      </c>
      <c r="I2368">
        <v>137517</v>
      </c>
      <c r="J2368">
        <v>110047</v>
      </c>
      <c r="K2368">
        <v>27470</v>
      </c>
      <c r="L2368">
        <v>74200</v>
      </c>
      <c r="M2368">
        <v>61400</v>
      </c>
      <c r="N2368">
        <v>12800</v>
      </c>
    </row>
    <row r="2369" spans="1:14" ht="14.4">
      <c r="A2369">
        <v>13579</v>
      </c>
      <c r="B2369">
        <v>13580</v>
      </c>
      <c r="C2369">
        <v>4116</v>
      </c>
      <c r="D2369" t="s">
        <v>897</v>
      </c>
      <c r="E2369" t="s">
        <v>1812</v>
      </c>
      <c r="F2369">
        <v>60051</v>
      </c>
      <c r="G2369" t="s">
        <v>1812</v>
      </c>
      <c r="H2369" t="s">
        <v>900</v>
      </c>
      <c r="I2369">
        <v>248362</v>
      </c>
      <c r="J2369">
        <v>197926</v>
      </c>
      <c r="K2369">
        <v>50436</v>
      </c>
      <c r="L2369">
        <v>19200</v>
      </c>
      <c r="M2369">
        <v>17700</v>
      </c>
      <c r="N2369">
        <v>1500</v>
      </c>
    </row>
    <row r="2370" spans="1:14" ht="14.4">
      <c r="A2370">
        <v>13579</v>
      </c>
      <c r="B2370">
        <v>13580</v>
      </c>
      <c r="C2370">
        <v>4116</v>
      </c>
      <c r="D2370" t="s">
        <v>897</v>
      </c>
      <c r="E2370" t="s">
        <v>967</v>
      </c>
      <c r="F2370">
        <v>60160</v>
      </c>
      <c r="G2370" t="s">
        <v>914</v>
      </c>
      <c r="H2370" t="s">
        <v>900</v>
      </c>
      <c r="I2370">
        <v>539369</v>
      </c>
      <c r="J2370">
        <v>392883</v>
      </c>
      <c r="K2370">
        <v>146486</v>
      </c>
      <c r="L2370">
        <v>353700</v>
      </c>
      <c r="M2370">
        <v>260300</v>
      </c>
      <c r="N2370">
        <v>93400</v>
      </c>
    </row>
    <row r="2371" spans="1:14" ht="14.4">
      <c r="A2371">
        <v>13579</v>
      </c>
      <c r="B2371">
        <v>13580</v>
      </c>
      <c r="C2371">
        <v>4116</v>
      </c>
      <c r="D2371" t="s">
        <v>897</v>
      </c>
      <c r="E2371" t="s">
        <v>967</v>
      </c>
      <c r="F2371">
        <v>60164</v>
      </c>
      <c r="G2371" t="s">
        <v>914</v>
      </c>
      <c r="H2371" t="s">
        <v>900</v>
      </c>
      <c r="I2371">
        <v>434404</v>
      </c>
      <c r="J2371">
        <v>347229</v>
      </c>
      <c r="K2371">
        <v>87175</v>
      </c>
      <c r="L2371">
        <v>137600</v>
      </c>
      <c r="M2371">
        <v>94900</v>
      </c>
      <c r="N2371">
        <v>42700</v>
      </c>
    </row>
    <row r="2372" spans="1:14" ht="14.4">
      <c r="A2372">
        <v>13579</v>
      </c>
      <c r="B2372">
        <v>13580</v>
      </c>
      <c r="C2372">
        <v>4116</v>
      </c>
      <c r="D2372" t="s">
        <v>897</v>
      </c>
      <c r="E2372" t="s">
        <v>1924</v>
      </c>
      <c r="F2372">
        <v>61342</v>
      </c>
      <c r="G2372" t="s">
        <v>923</v>
      </c>
      <c r="H2372" t="s">
        <v>900</v>
      </c>
      <c r="I2372">
        <v>9110</v>
      </c>
      <c r="J2372">
        <v>7250</v>
      </c>
      <c r="K2372">
        <v>1860</v>
      </c>
      <c r="L2372">
        <v>6800</v>
      </c>
      <c r="M2372">
        <v>4900</v>
      </c>
      <c r="N2372">
        <v>1900</v>
      </c>
    </row>
    <row r="2373" spans="1:14" ht="14.4">
      <c r="A2373">
        <v>13579</v>
      </c>
      <c r="B2373">
        <v>13580</v>
      </c>
      <c r="C2373">
        <v>4116</v>
      </c>
      <c r="D2373" t="s">
        <v>897</v>
      </c>
      <c r="E2373" t="s">
        <v>1925</v>
      </c>
      <c r="F2373">
        <v>61548</v>
      </c>
      <c r="G2373" t="s">
        <v>988</v>
      </c>
      <c r="H2373" t="s">
        <v>900</v>
      </c>
      <c r="I2373">
        <v>15636</v>
      </c>
      <c r="J2373">
        <v>14786</v>
      </c>
      <c r="K2373">
        <v>850</v>
      </c>
      <c r="L2373">
        <v>15200</v>
      </c>
      <c r="M2373">
        <v>14300</v>
      </c>
      <c r="N2373">
        <v>900</v>
      </c>
    </row>
    <row r="2374" spans="1:14" ht="14.4">
      <c r="A2374">
        <v>13579</v>
      </c>
      <c r="B2374">
        <v>13580</v>
      </c>
      <c r="C2374">
        <v>4116</v>
      </c>
      <c r="D2374" t="s">
        <v>897</v>
      </c>
      <c r="E2374" t="s">
        <v>1926</v>
      </c>
      <c r="F2374">
        <v>60445</v>
      </c>
      <c r="G2374" t="s">
        <v>914</v>
      </c>
      <c r="H2374" t="s">
        <v>900</v>
      </c>
      <c r="I2374">
        <v>120122</v>
      </c>
      <c r="J2374">
        <v>84967</v>
      </c>
      <c r="K2374">
        <v>35155</v>
      </c>
      <c r="L2374">
        <v>27100</v>
      </c>
      <c r="M2374">
        <v>15600</v>
      </c>
      <c r="N2374">
        <v>11500</v>
      </c>
    </row>
    <row r="2375" spans="1:14" ht="14.4">
      <c r="A2375">
        <v>13579</v>
      </c>
      <c r="B2375">
        <v>13580</v>
      </c>
      <c r="C2375">
        <v>4116</v>
      </c>
      <c r="D2375" t="s">
        <v>897</v>
      </c>
      <c r="E2375" t="s">
        <v>968</v>
      </c>
      <c r="F2375">
        <v>61264</v>
      </c>
      <c r="G2375" t="s">
        <v>937</v>
      </c>
      <c r="H2375" t="s">
        <v>900</v>
      </c>
      <c r="I2375">
        <v>57143</v>
      </c>
      <c r="J2375">
        <v>34343</v>
      </c>
      <c r="K2375">
        <v>22800</v>
      </c>
      <c r="L2375">
        <v>0</v>
      </c>
      <c r="M2375">
        <v>0</v>
      </c>
      <c r="N2375">
        <v>0</v>
      </c>
    </row>
    <row r="2376" spans="1:14" ht="14.4">
      <c r="A2376">
        <v>13579</v>
      </c>
      <c r="B2376">
        <v>13580</v>
      </c>
      <c r="C2376">
        <v>4116</v>
      </c>
      <c r="D2376" t="s">
        <v>897</v>
      </c>
      <c r="E2376" t="s">
        <v>1927</v>
      </c>
      <c r="F2376">
        <v>61759</v>
      </c>
      <c r="G2376" t="s">
        <v>1853</v>
      </c>
      <c r="H2376" t="s">
        <v>900</v>
      </c>
      <c r="I2376">
        <v>11539</v>
      </c>
      <c r="J2376">
        <v>8164</v>
      </c>
      <c r="K2376">
        <v>3375</v>
      </c>
      <c r="L2376">
        <v>10800</v>
      </c>
      <c r="M2376">
        <v>7400</v>
      </c>
      <c r="N2376">
        <v>3400</v>
      </c>
    </row>
    <row r="2377" spans="1:14" ht="14.4">
      <c r="A2377">
        <v>13579</v>
      </c>
      <c r="B2377">
        <v>13580</v>
      </c>
      <c r="C2377">
        <v>4116</v>
      </c>
      <c r="D2377" t="s">
        <v>897</v>
      </c>
      <c r="E2377" t="s">
        <v>1928</v>
      </c>
      <c r="F2377">
        <v>61760</v>
      </c>
      <c r="G2377" t="s">
        <v>988</v>
      </c>
      <c r="H2377" t="s">
        <v>900</v>
      </c>
      <c r="I2377">
        <v>41929</v>
      </c>
      <c r="J2377">
        <v>30994</v>
      </c>
      <c r="K2377">
        <v>10935</v>
      </c>
      <c r="L2377">
        <v>23100</v>
      </c>
      <c r="M2377">
        <v>12100</v>
      </c>
      <c r="N2377">
        <v>11000</v>
      </c>
    </row>
    <row r="2378" spans="1:14" ht="14.4">
      <c r="A2378">
        <v>13579</v>
      </c>
      <c r="B2378">
        <v>13580</v>
      </c>
      <c r="C2378">
        <v>4116</v>
      </c>
      <c r="D2378" t="s">
        <v>897</v>
      </c>
      <c r="E2378" t="s">
        <v>969</v>
      </c>
      <c r="F2378">
        <v>60447</v>
      </c>
      <c r="G2378" t="s">
        <v>970</v>
      </c>
      <c r="H2378" t="s">
        <v>900</v>
      </c>
      <c r="I2378">
        <v>769924</v>
      </c>
      <c r="J2378">
        <v>486717</v>
      </c>
      <c r="K2378">
        <v>283207</v>
      </c>
      <c r="L2378">
        <v>299800</v>
      </c>
      <c r="M2378">
        <v>173000</v>
      </c>
      <c r="N2378">
        <v>126800</v>
      </c>
    </row>
    <row r="2379" spans="1:14" ht="14.4">
      <c r="A2379">
        <v>13579</v>
      </c>
      <c r="B2379">
        <v>13580</v>
      </c>
      <c r="C2379">
        <v>4116</v>
      </c>
      <c r="D2379" t="s">
        <v>897</v>
      </c>
      <c r="E2379" t="s">
        <v>969</v>
      </c>
      <c r="F2379">
        <v>60447</v>
      </c>
      <c r="G2379" t="s">
        <v>973</v>
      </c>
      <c r="H2379" t="s">
        <v>900</v>
      </c>
      <c r="I2379">
        <v>490348</v>
      </c>
      <c r="J2379">
        <v>288608</v>
      </c>
      <c r="K2379">
        <v>201740</v>
      </c>
      <c r="L2379">
        <v>146300</v>
      </c>
      <c r="M2379">
        <v>96200</v>
      </c>
      <c r="N2379">
        <v>50100</v>
      </c>
    </row>
    <row r="2380" spans="1:14" ht="14.4">
      <c r="A2380">
        <v>13579</v>
      </c>
      <c r="B2380">
        <v>13580</v>
      </c>
      <c r="C2380">
        <v>4116</v>
      </c>
      <c r="D2380" t="s">
        <v>897</v>
      </c>
      <c r="E2380" t="s">
        <v>969</v>
      </c>
      <c r="F2380">
        <v>60447</v>
      </c>
      <c r="G2380" t="s">
        <v>917</v>
      </c>
      <c r="H2380" t="s">
        <v>900</v>
      </c>
      <c r="I2380">
        <v>48920</v>
      </c>
      <c r="J2380">
        <v>37670</v>
      </c>
      <c r="K2380">
        <v>11250</v>
      </c>
      <c r="L2380">
        <v>43300</v>
      </c>
      <c r="M2380">
        <v>32000</v>
      </c>
      <c r="N2380">
        <v>11300</v>
      </c>
    </row>
    <row r="2381" spans="1:14" ht="14.4">
      <c r="A2381">
        <v>13579</v>
      </c>
      <c r="B2381">
        <v>13580</v>
      </c>
      <c r="C2381">
        <v>4116</v>
      </c>
      <c r="D2381" t="s">
        <v>897</v>
      </c>
      <c r="E2381" t="s">
        <v>1929</v>
      </c>
      <c r="F2381">
        <v>61265</v>
      </c>
      <c r="G2381" t="s">
        <v>937</v>
      </c>
      <c r="H2381" t="s">
        <v>900</v>
      </c>
      <c r="I2381">
        <v>614440</v>
      </c>
      <c r="J2381">
        <v>502900</v>
      </c>
      <c r="K2381">
        <v>111540</v>
      </c>
      <c r="L2381">
        <v>334400</v>
      </c>
      <c r="M2381">
        <v>234800</v>
      </c>
      <c r="N2381">
        <v>99600</v>
      </c>
    </row>
    <row r="2382" spans="1:14" ht="14.4">
      <c r="A2382">
        <v>13579</v>
      </c>
      <c r="B2382">
        <v>13580</v>
      </c>
      <c r="C2382">
        <v>4116</v>
      </c>
      <c r="D2382" t="s">
        <v>897</v>
      </c>
      <c r="E2382" t="s">
        <v>1930</v>
      </c>
      <c r="F2382">
        <v>60449</v>
      </c>
      <c r="G2382" t="s">
        <v>917</v>
      </c>
      <c r="H2382" t="s">
        <v>900</v>
      </c>
      <c r="I2382">
        <v>113870</v>
      </c>
      <c r="J2382">
        <v>85360</v>
      </c>
      <c r="K2382">
        <v>28510</v>
      </c>
      <c r="L2382">
        <v>37500</v>
      </c>
      <c r="M2382">
        <v>27600</v>
      </c>
      <c r="N2382">
        <v>9900</v>
      </c>
    </row>
    <row r="2383" spans="1:14" ht="14.4">
      <c r="A2383">
        <v>13579</v>
      </c>
      <c r="B2383">
        <v>13580</v>
      </c>
      <c r="C2383">
        <v>4116</v>
      </c>
      <c r="D2383" t="s">
        <v>897</v>
      </c>
      <c r="E2383" t="s">
        <v>392</v>
      </c>
      <c r="F2383">
        <v>61462</v>
      </c>
      <c r="G2383" t="s">
        <v>398</v>
      </c>
      <c r="H2383" t="s">
        <v>900</v>
      </c>
      <c r="I2383">
        <v>25267</v>
      </c>
      <c r="J2383">
        <v>20842</v>
      </c>
      <c r="K2383">
        <v>4425</v>
      </c>
      <c r="L2383">
        <v>19500</v>
      </c>
      <c r="M2383">
        <v>18200</v>
      </c>
      <c r="N2383">
        <v>1300</v>
      </c>
    </row>
    <row r="2384" spans="1:14" ht="14.4">
      <c r="A2384">
        <v>13579</v>
      </c>
      <c r="B2384">
        <v>13580</v>
      </c>
      <c r="C2384">
        <v>4116</v>
      </c>
      <c r="D2384" t="s">
        <v>897</v>
      </c>
      <c r="E2384" t="s">
        <v>232</v>
      </c>
      <c r="F2384">
        <v>60538</v>
      </c>
      <c r="G2384" t="s">
        <v>906</v>
      </c>
      <c r="H2384" t="s">
        <v>900</v>
      </c>
      <c r="I2384">
        <v>49763</v>
      </c>
      <c r="J2384">
        <v>16138</v>
      </c>
      <c r="K2384">
        <v>33625</v>
      </c>
      <c r="L2384">
        <v>0</v>
      </c>
      <c r="M2384">
        <v>0</v>
      </c>
      <c r="N2384">
        <v>0</v>
      </c>
    </row>
    <row r="2385" spans="1:14" ht="14.4">
      <c r="A2385">
        <v>13579</v>
      </c>
      <c r="B2385">
        <v>13580</v>
      </c>
      <c r="C2385">
        <v>4116</v>
      </c>
      <c r="D2385" t="s">
        <v>897</v>
      </c>
      <c r="E2385" t="s">
        <v>232</v>
      </c>
      <c r="F2385">
        <v>60538</v>
      </c>
      <c r="G2385" t="s">
        <v>973</v>
      </c>
      <c r="H2385" t="s">
        <v>900</v>
      </c>
      <c r="I2385">
        <v>370505</v>
      </c>
      <c r="J2385">
        <v>269760</v>
      </c>
      <c r="K2385">
        <v>100745</v>
      </c>
      <c r="L2385">
        <v>210000</v>
      </c>
      <c r="M2385">
        <v>152000</v>
      </c>
      <c r="N2385">
        <v>58000</v>
      </c>
    </row>
    <row r="2386" spans="1:14" ht="14.4">
      <c r="A2386">
        <v>13579</v>
      </c>
      <c r="B2386">
        <v>13580</v>
      </c>
      <c r="C2386">
        <v>4116</v>
      </c>
      <c r="D2386" t="s">
        <v>897</v>
      </c>
      <c r="E2386" t="s">
        <v>441</v>
      </c>
      <c r="F2386">
        <v>60450</v>
      </c>
      <c r="G2386" t="s">
        <v>970</v>
      </c>
      <c r="H2386" t="s">
        <v>900</v>
      </c>
      <c r="I2386">
        <v>377457</v>
      </c>
      <c r="J2386">
        <v>202732</v>
      </c>
      <c r="K2386">
        <v>174725</v>
      </c>
      <c r="L2386">
        <v>178500</v>
      </c>
      <c r="M2386">
        <v>59100</v>
      </c>
      <c r="N2386">
        <v>119400</v>
      </c>
    </row>
    <row r="2387" spans="1:14" ht="14.4">
      <c r="A2387">
        <v>13579</v>
      </c>
      <c r="B2387">
        <v>13580</v>
      </c>
      <c r="C2387">
        <v>4116</v>
      </c>
      <c r="D2387" t="s">
        <v>897</v>
      </c>
      <c r="E2387" t="s">
        <v>1931</v>
      </c>
      <c r="F2387">
        <v>61270</v>
      </c>
      <c r="G2387" t="s">
        <v>1932</v>
      </c>
      <c r="H2387" t="s">
        <v>900</v>
      </c>
      <c r="I2387">
        <v>22959</v>
      </c>
      <c r="J2387">
        <v>22959</v>
      </c>
      <c r="K2387">
        <v>0</v>
      </c>
      <c r="L2387">
        <v>0</v>
      </c>
      <c r="M2387">
        <v>0</v>
      </c>
      <c r="N2387">
        <v>0</v>
      </c>
    </row>
    <row r="2388" spans="1:14" ht="14.4">
      <c r="A2388">
        <v>13579</v>
      </c>
      <c r="B2388">
        <v>13580</v>
      </c>
      <c r="C2388">
        <v>4116</v>
      </c>
      <c r="D2388" t="s">
        <v>897</v>
      </c>
      <c r="E2388" t="s">
        <v>1933</v>
      </c>
      <c r="F2388">
        <v>61550</v>
      </c>
      <c r="G2388" t="s">
        <v>1853</v>
      </c>
      <c r="H2388" t="s">
        <v>900</v>
      </c>
      <c r="I2388">
        <v>4969</v>
      </c>
      <c r="J2388">
        <v>4069</v>
      </c>
      <c r="K2388">
        <v>900</v>
      </c>
      <c r="L2388">
        <v>4600</v>
      </c>
      <c r="M2388">
        <v>3700</v>
      </c>
      <c r="N2388">
        <v>900</v>
      </c>
    </row>
    <row r="2389" spans="1:14" ht="14.4">
      <c r="A2389">
        <v>13579</v>
      </c>
      <c r="B2389">
        <v>13580</v>
      </c>
      <c r="C2389">
        <v>4116</v>
      </c>
      <c r="D2389" t="s">
        <v>897</v>
      </c>
      <c r="E2389" t="s">
        <v>1934</v>
      </c>
      <c r="F2389">
        <v>60053</v>
      </c>
      <c r="G2389" t="s">
        <v>914</v>
      </c>
      <c r="H2389" t="s">
        <v>900</v>
      </c>
      <c r="I2389">
        <v>877144</v>
      </c>
      <c r="J2389">
        <v>622109</v>
      </c>
      <c r="K2389">
        <v>255035</v>
      </c>
      <c r="L2389">
        <v>460000</v>
      </c>
      <c r="M2389">
        <v>314000</v>
      </c>
      <c r="N2389">
        <v>146000</v>
      </c>
    </row>
    <row r="2390" spans="1:14" ht="14.4">
      <c r="A2390">
        <v>13579</v>
      </c>
      <c r="B2390">
        <v>13580</v>
      </c>
      <c r="C2390">
        <v>4116</v>
      </c>
      <c r="D2390" t="s">
        <v>897</v>
      </c>
      <c r="E2390" t="s">
        <v>1935</v>
      </c>
      <c r="F2390">
        <v>61552</v>
      </c>
      <c r="G2390" t="s">
        <v>908</v>
      </c>
      <c r="H2390" t="s">
        <v>900</v>
      </c>
      <c r="I2390">
        <v>123820</v>
      </c>
      <c r="J2390">
        <v>73985</v>
      </c>
      <c r="K2390">
        <v>49835</v>
      </c>
      <c r="L2390">
        <v>88000</v>
      </c>
      <c r="M2390">
        <v>61700</v>
      </c>
      <c r="N2390">
        <v>26300</v>
      </c>
    </row>
    <row r="2391" spans="1:14" ht="14.4">
      <c r="A2391">
        <v>13579</v>
      </c>
      <c r="B2391">
        <v>13580</v>
      </c>
      <c r="C2391">
        <v>4116</v>
      </c>
      <c r="D2391" t="s">
        <v>897</v>
      </c>
      <c r="E2391" t="s">
        <v>1936</v>
      </c>
      <c r="F2391">
        <v>60056</v>
      </c>
      <c r="G2391" t="s">
        <v>914</v>
      </c>
      <c r="H2391" t="s">
        <v>900</v>
      </c>
      <c r="I2391">
        <v>333732</v>
      </c>
      <c r="J2391">
        <v>258552</v>
      </c>
      <c r="K2391">
        <v>75180</v>
      </c>
      <c r="L2391">
        <v>129700</v>
      </c>
      <c r="M2391">
        <v>110100</v>
      </c>
      <c r="N2391">
        <v>19600</v>
      </c>
    </row>
    <row r="2392" spans="1:14" ht="14.4">
      <c r="A2392">
        <v>13579</v>
      </c>
      <c r="B2392">
        <v>13580</v>
      </c>
      <c r="C2392">
        <v>4116</v>
      </c>
      <c r="D2392" t="s">
        <v>897</v>
      </c>
      <c r="E2392" t="s">
        <v>1937</v>
      </c>
      <c r="F2392">
        <v>60546</v>
      </c>
      <c r="G2392" t="s">
        <v>914</v>
      </c>
      <c r="H2392" t="s">
        <v>900</v>
      </c>
      <c r="I2392">
        <v>14235</v>
      </c>
      <c r="J2392">
        <v>7560</v>
      </c>
      <c r="K2392">
        <v>6675</v>
      </c>
      <c r="L2392">
        <v>11800</v>
      </c>
      <c r="M2392">
        <v>5100</v>
      </c>
      <c r="N2392">
        <v>6700</v>
      </c>
    </row>
    <row r="2393" spans="1:14" ht="14.4">
      <c r="A2393">
        <v>13579</v>
      </c>
      <c r="B2393">
        <v>13580</v>
      </c>
      <c r="C2393">
        <v>4116</v>
      </c>
      <c r="D2393" t="s">
        <v>897</v>
      </c>
      <c r="E2393" t="s">
        <v>972</v>
      </c>
      <c r="F2393">
        <v>60540</v>
      </c>
      <c r="G2393" t="s">
        <v>899</v>
      </c>
      <c r="H2393" t="s">
        <v>900</v>
      </c>
      <c r="I2393">
        <v>526192</v>
      </c>
      <c r="J2393">
        <v>376862</v>
      </c>
      <c r="K2393">
        <v>149330</v>
      </c>
      <c r="L2393">
        <v>296500</v>
      </c>
      <c r="M2393">
        <v>211400</v>
      </c>
      <c r="N2393">
        <v>81200</v>
      </c>
    </row>
    <row r="2394" spans="1:14" ht="14.4">
      <c r="A2394">
        <v>13579</v>
      </c>
      <c r="B2394">
        <v>13580</v>
      </c>
      <c r="C2394">
        <v>4116</v>
      </c>
      <c r="D2394" t="s">
        <v>897</v>
      </c>
      <c r="E2394" t="s">
        <v>972</v>
      </c>
      <c r="F2394">
        <v>60563</v>
      </c>
      <c r="G2394" t="s">
        <v>899</v>
      </c>
      <c r="H2394" t="s">
        <v>900</v>
      </c>
      <c r="I2394">
        <v>831936</v>
      </c>
      <c r="J2394">
        <v>530071</v>
      </c>
      <c r="K2394">
        <v>301865</v>
      </c>
      <c r="L2394">
        <v>498600</v>
      </c>
      <c r="M2394">
        <v>262500</v>
      </c>
      <c r="N2394">
        <v>236100</v>
      </c>
    </row>
    <row r="2395" spans="1:14" ht="14.4">
      <c r="A2395">
        <v>13579</v>
      </c>
      <c r="B2395">
        <v>13580</v>
      </c>
      <c r="C2395">
        <v>4116</v>
      </c>
      <c r="D2395" t="s">
        <v>897</v>
      </c>
      <c r="E2395" t="s">
        <v>972</v>
      </c>
      <c r="F2395">
        <v>60564</v>
      </c>
      <c r="G2395" t="s">
        <v>899</v>
      </c>
      <c r="H2395" t="s">
        <v>900</v>
      </c>
      <c r="I2395">
        <v>151678</v>
      </c>
      <c r="J2395">
        <v>129478</v>
      </c>
      <c r="K2395">
        <v>22200</v>
      </c>
      <c r="L2395">
        <v>92800</v>
      </c>
      <c r="M2395">
        <v>82400</v>
      </c>
      <c r="N2395">
        <v>10400</v>
      </c>
    </row>
    <row r="2396" spans="1:14" ht="14.4">
      <c r="A2396">
        <v>13579</v>
      </c>
      <c r="B2396">
        <v>13580</v>
      </c>
      <c r="C2396">
        <v>4116</v>
      </c>
      <c r="D2396" t="s">
        <v>897</v>
      </c>
      <c r="E2396" t="s">
        <v>972</v>
      </c>
      <c r="F2396">
        <v>60564</v>
      </c>
      <c r="G2396" t="s">
        <v>917</v>
      </c>
      <c r="H2396" t="s">
        <v>900</v>
      </c>
      <c r="I2396">
        <v>779004</v>
      </c>
      <c r="J2396">
        <v>571354</v>
      </c>
      <c r="K2396">
        <v>207650</v>
      </c>
      <c r="L2396">
        <v>466600</v>
      </c>
      <c r="M2396">
        <v>331500</v>
      </c>
      <c r="N2396">
        <v>135100</v>
      </c>
    </row>
    <row r="2397" spans="1:14" ht="14.4">
      <c r="A2397">
        <v>13579</v>
      </c>
      <c r="B2397">
        <v>13580</v>
      </c>
      <c r="C2397">
        <v>4116</v>
      </c>
      <c r="D2397" t="s">
        <v>897</v>
      </c>
      <c r="E2397" t="s">
        <v>972</v>
      </c>
      <c r="F2397">
        <v>60565</v>
      </c>
      <c r="G2397" t="s">
        <v>899</v>
      </c>
      <c r="H2397" t="s">
        <v>900</v>
      </c>
      <c r="I2397">
        <v>235745</v>
      </c>
      <c r="J2397">
        <v>158330</v>
      </c>
      <c r="K2397">
        <v>77415</v>
      </c>
      <c r="L2397">
        <v>141300</v>
      </c>
      <c r="M2397">
        <v>93900</v>
      </c>
      <c r="N2397">
        <v>47400</v>
      </c>
    </row>
    <row r="2398" spans="1:14" ht="14.4">
      <c r="A2398">
        <v>13579</v>
      </c>
      <c r="B2398">
        <v>13580</v>
      </c>
      <c r="C2398">
        <v>4116</v>
      </c>
      <c r="D2398" t="s">
        <v>897</v>
      </c>
      <c r="E2398" t="s">
        <v>972</v>
      </c>
      <c r="F2398">
        <v>60565</v>
      </c>
      <c r="G2398" t="s">
        <v>917</v>
      </c>
      <c r="H2398" t="s">
        <v>900</v>
      </c>
      <c r="I2398">
        <v>151971</v>
      </c>
      <c r="J2398">
        <v>116511</v>
      </c>
      <c r="K2398">
        <v>35460</v>
      </c>
      <c r="L2398">
        <v>64300</v>
      </c>
      <c r="M2398">
        <v>41700</v>
      </c>
      <c r="N2398">
        <v>13500</v>
      </c>
    </row>
    <row r="2399" spans="1:14" ht="14.4">
      <c r="A2399">
        <v>13579</v>
      </c>
      <c r="B2399">
        <v>13580</v>
      </c>
      <c r="C2399">
        <v>4116</v>
      </c>
      <c r="D2399" t="s">
        <v>897</v>
      </c>
      <c r="E2399" t="s">
        <v>1938</v>
      </c>
      <c r="F2399">
        <v>61345</v>
      </c>
      <c r="G2399" t="s">
        <v>981</v>
      </c>
      <c r="H2399" t="s">
        <v>900</v>
      </c>
      <c r="I2399">
        <v>38685</v>
      </c>
      <c r="J2399">
        <v>38685</v>
      </c>
      <c r="K2399">
        <v>0</v>
      </c>
      <c r="L2399">
        <v>28600</v>
      </c>
      <c r="M2399">
        <v>28600</v>
      </c>
      <c r="N2399">
        <v>0</v>
      </c>
    </row>
    <row r="2400" spans="1:14" ht="14.4">
      <c r="A2400">
        <v>13579</v>
      </c>
      <c r="B2400">
        <v>13580</v>
      </c>
      <c r="C2400">
        <v>4116</v>
      </c>
      <c r="D2400" t="s">
        <v>897</v>
      </c>
      <c r="E2400" t="s">
        <v>1939</v>
      </c>
      <c r="F2400">
        <v>60451</v>
      </c>
      <c r="G2400" t="s">
        <v>917</v>
      </c>
      <c r="H2400" t="s">
        <v>900</v>
      </c>
      <c r="I2400">
        <v>54979</v>
      </c>
      <c r="J2400">
        <v>39729</v>
      </c>
      <c r="K2400">
        <v>15250</v>
      </c>
      <c r="L2400">
        <v>22500</v>
      </c>
      <c r="M2400">
        <v>9000</v>
      </c>
      <c r="N2400">
        <v>13500</v>
      </c>
    </row>
    <row r="2401" spans="1:14" ht="14.4">
      <c r="A2401">
        <v>13579</v>
      </c>
      <c r="B2401">
        <v>13580</v>
      </c>
      <c r="C2401">
        <v>4116</v>
      </c>
      <c r="D2401" t="s">
        <v>897</v>
      </c>
      <c r="E2401" t="s">
        <v>654</v>
      </c>
      <c r="F2401">
        <v>60541</v>
      </c>
      <c r="G2401" t="s">
        <v>973</v>
      </c>
      <c r="H2401" t="s">
        <v>900</v>
      </c>
      <c r="I2401">
        <v>19508</v>
      </c>
      <c r="J2401">
        <v>12108</v>
      </c>
      <c r="K2401">
        <v>7400</v>
      </c>
      <c r="L2401">
        <v>9400</v>
      </c>
      <c r="M2401">
        <v>9400</v>
      </c>
      <c r="N2401">
        <v>0</v>
      </c>
    </row>
    <row r="2402" spans="1:14" ht="14.4">
      <c r="A2402">
        <v>13579</v>
      </c>
      <c r="B2402">
        <v>13580</v>
      </c>
      <c r="C2402">
        <v>4116</v>
      </c>
      <c r="D2402" t="s">
        <v>897</v>
      </c>
      <c r="E2402" t="s">
        <v>1940</v>
      </c>
      <c r="F2402">
        <v>60714</v>
      </c>
      <c r="G2402" t="s">
        <v>914</v>
      </c>
      <c r="H2402" t="s">
        <v>900</v>
      </c>
      <c r="I2402">
        <v>1537734</v>
      </c>
      <c r="J2402">
        <v>1145938</v>
      </c>
      <c r="K2402">
        <v>391796</v>
      </c>
      <c r="L2402">
        <v>897600</v>
      </c>
      <c r="M2402">
        <v>623400</v>
      </c>
      <c r="N2402">
        <v>266900</v>
      </c>
    </row>
    <row r="2403" spans="1:14" ht="14.4">
      <c r="A2403">
        <v>13579</v>
      </c>
      <c r="B2403">
        <v>13580</v>
      </c>
      <c r="C2403">
        <v>4116</v>
      </c>
      <c r="D2403" t="s">
        <v>897</v>
      </c>
      <c r="E2403" t="s">
        <v>1941</v>
      </c>
      <c r="F2403">
        <v>60706</v>
      </c>
      <c r="G2403" t="s">
        <v>914</v>
      </c>
      <c r="H2403" t="s">
        <v>900</v>
      </c>
      <c r="I2403">
        <v>290259</v>
      </c>
      <c r="J2403">
        <v>238424</v>
      </c>
      <c r="K2403">
        <v>51835</v>
      </c>
      <c r="L2403">
        <v>206200</v>
      </c>
      <c r="M2403">
        <v>174200</v>
      </c>
      <c r="N2403">
        <v>32000</v>
      </c>
    </row>
    <row r="2404" spans="1:14" ht="14.4">
      <c r="A2404">
        <v>13579</v>
      </c>
      <c r="B2404">
        <v>13580</v>
      </c>
      <c r="C2404">
        <v>4116</v>
      </c>
      <c r="D2404" t="s">
        <v>897</v>
      </c>
      <c r="E2404" t="s">
        <v>1942</v>
      </c>
      <c r="F2404">
        <v>60542</v>
      </c>
      <c r="G2404" t="s">
        <v>906</v>
      </c>
      <c r="H2404" t="s">
        <v>900</v>
      </c>
      <c r="I2404">
        <v>57974</v>
      </c>
      <c r="J2404">
        <v>40514</v>
      </c>
      <c r="K2404">
        <v>17460</v>
      </c>
      <c r="L2404">
        <v>46900</v>
      </c>
      <c r="M2404">
        <v>30400</v>
      </c>
      <c r="N2404">
        <v>16500</v>
      </c>
    </row>
    <row r="2405" spans="1:14" ht="14.4">
      <c r="A2405">
        <v>13579</v>
      </c>
      <c r="B2405">
        <v>13580</v>
      </c>
      <c r="C2405">
        <v>4116</v>
      </c>
      <c r="D2405" t="s">
        <v>897</v>
      </c>
      <c r="E2405" t="s">
        <v>974</v>
      </c>
      <c r="F2405">
        <v>60064</v>
      </c>
      <c r="G2405" t="s">
        <v>902</v>
      </c>
      <c r="H2405" t="s">
        <v>900</v>
      </c>
      <c r="I2405">
        <v>185505</v>
      </c>
      <c r="J2405">
        <v>132620</v>
      </c>
      <c r="K2405">
        <v>52885</v>
      </c>
      <c r="L2405">
        <v>86700</v>
      </c>
      <c r="M2405">
        <v>63100</v>
      </c>
      <c r="N2405">
        <v>23600</v>
      </c>
    </row>
    <row r="2406" spans="1:14" ht="14.4">
      <c r="A2406">
        <v>13579</v>
      </c>
      <c r="B2406">
        <v>13580</v>
      </c>
      <c r="C2406">
        <v>4116</v>
      </c>
      <c r="D2406" t="s">
        <v>897</v>
      </c>
      <c r="E2406" t="s">
        <v>1943</v>
      </c>
      <c r="F2406">
        <v>61554</v>
      </c>
      <c r="G2406" t="s">
        <v>1853</v>
      </c>
      <c r="H2406" t="s">
        <v>900</v>
      </c>
      <c r="I2406">
        <v>174295</v>
      </c>
      <c r="J2406">
        <v>174295</v>
      </c>
      <c r="K2406">
        <v>0</v>
      </c>
      <c r="L2406">
        <v>62000</v>
      </c>
      <c r="M2406">
        <v>62000</v>
      </c>
      <c r="N2406">
        <v>0</v>
      </c>
    </row>
    <row r="2407" spans="1:14" ht="14.4">
      <c r="A2407">
        <v>13579</v>
      </c>
      <c r="B2407">
        <v>13580</v>
      </c>
      <c r="C2407">
        <v>4116</v>
      </c>
      <c r="D2407" t="s">
        <v>897</v>
      </c>
      <c r="E2407" t="s">
        <v>1944</v>
      </c>
      <c r="F2407">
        <v>60546</v>
      </c>
      <c r="G2407" t="s">
        <v>914</v>
      </c>
      <c r="H2407" t="s">
        <v>900</v>
      </c>
      <c r="I2407">
        <v>125269</v>
      </c>
      <c r="J2407">
        <v>95526</v>
      </c>
      <c r="K2407">
        <v>29743</v>
      </c>
      <c r="L2407">
        <v>31600</v>
      </c>
      <c r="M2407">
        <v>26300</v>
      </c>
      <c r="N2407">
        <v>5300</v>
      </c>
    </row>
    <row r="2408" spans="1:14" ht="14.4">
      <c r="A2408">
        <v>13579</v>
      </c>
      <c r="B2408">
        <v>13580</v>
      </c>
      <c r="C2408">
        <v>4116</v>
      </c>
      <c r="D2408" t="s">
        <v>897</v>
      </c>
      <c r="E2408" t="s">
        <v>1945</v>
      </c>
      <c r="F2408">
        <v>60062</v>
      </c>
      <c r="G2408" t="s">
        <v>914</v>
      </c>
      <c r="H2408" t="s">
        <v>900</v>
      </c>
      <c r="I2408">
        <v>73761</v>
      </c>
      <c r="J2408">
        <v>62406</v>
      </c>
      <c r="K2408">
        <v>11355</v>
      </c>
      <c r="L2408">
        <v>66200</v>
      </c>
      <c r="M2408">
        <v>56700</v>
      </c>
      <c r="N2408">
        <v>9500</v>
      </c>
    </row>
    <row r="2409" spans="1:14" ht="14.4">
      <c r="A2409">
        <v>13579</v>
      </c>
      <c r="B2409">
        <v>13580</v>
      </c>
      <c r="C2409">
        <v>4116</v>
      </c>
      <c r="D2409" t="s">
        <v>897</v>
      </c>
      <c r="E2409" t="s">
        <v>668</v>
      </c>
      <c r="F2409">
        <v>60093</v>
      </c>
      <c r="G2409" t="s">
        <v>914</v>
      </c>
      <c r="H2409" t="s">
        <v>900</v>
      </c>
      <c r="I2409">
        <v>71729</v>
      </c>
      <c r="J2409">
        <v>47404</v>
      </c>
      <c r="K2409">
        <v>24325</v>
      </c>
      <c r="L2409">
        <v>20200</v>
      </c>
      <c r="M2409">
        <v>15000</v>
      </c>
      <c r="N2409">
        <v>5200</v>
      </c>
    </row>
    <row r="2410" spans="1:14" ht="14.4">
      <c r="A2410">
        <v>13579</v>
      </c>
      <c r="B2410">
        <v>13580</v>
      </c>
      <c r="C2410">
        <v>4116</v>
      </c>
      <c r="D2410" t="s">
        <v>897</v>
      </c>
      <c r="E2410" t="s">
        <v>1946</v>
      </c>
      <c r="F2410">
        <v>60164</v>
      </c>
      <c r="G2410" t="s">
        <v>914</v>
      </c>
      <c r="H2410" t="s">
        <v>900</v>
      </c>
      <c r="I2410">
        <v>365636</v>
      </c>
      <c r="J2410">
        <v>263688</v>
      </c>
      <c r="K2410">
        <v>101948</v>
      </c>
      <c r="L2410">
        <v>174700</v>
      </c>
      <c r="M2410">
        <v>95200</v>
      </c>
      <c r="N2410">
        <v>79500</v>
      </c>
    </row>
    <row r="2411" spans="1:14" ht="14.4">
      <c r="A2411">
        <v>13579</v>
      </c>
      <c r="B2411">
        <v>13580</v>
      </c>
      <c r="C2411">
        <v>4116</v>
      </c>
      <c r="D2411" t="s">
        <v>897</v>
      </c>
      <c r="E2411" t="s">
        <v>1947</v>
      </c>
      <c r="F2411">
        <v>60523</v>
      </c>
      <c r="G2411" t="s">
        <v>899</v>
      </c>
      <c r="H2411" t="s">
        <v>900</v>
      </c>
      <c r="I2411">
        <v>183336</v>
      </c>
      <c r="J2411">
        <v>160391</v>
      </c>
      <c r="K2411">
        <v>22945</v>
      </c>
      <c r="L2411">
        <v>0</v>
      </c>
      <c r="M2411">
        <v>0</v>
      </c>
      <c r="N2411">
        <v>0</v>
      </c>
    </row>
    <row r="2412" spans="1:14" ht="14.4">
      <c r="A2412">
        <v>13579</v>
      </c>
      <c r="B2412">
        <v>13580</v>
      </c>
      <c r="C2412">
        <v>4116</v>
      </c>
      <c r="D2412" t="s">
        <v>897</v>
      </c>
      <c r="E2412" t="s">
        <v>1948</v>
      </c>
      <c r="F2412">
        <v>60181</v>
      </c>
      <c r="G2412" t="s">
        <v>899</v>
      </c>
      <c r="H2412" t="s">
        <v>900</v>
      </c>
      <c r="I2412">
        <v>38650</v>
      </c>
      <c r="J2412">
        <v>38100</v>
      </c>
      <c r="K2412">
        <v>550</v>
      </c>
      <c r="L2412">
        <v>37100</v>
      </c>
      <c r="M2412">
        <v>36600</v>
      </c>
      <c r="N2412">
        <v>500</v>
      </c>
    </row>
    <row r="2413" spans="1:14" ht="14.4">
      <c r="A2413">
        <v>13579</v>
      </c>
      <c r="B2413">
        <v>13580</v>
      </c>
      <c r="C2413">
        <v>4116</v>
      </c>
      <c r="D2413" t="s">
        <v>897</v>
      </c>
      <c r="E2413" t="s">
        <v>1949</v>
      </c>
      <c r="F2413">
        <v>60453</v>
      </c>
      <c r="G2413" t="s">
        <v>914</v>
      </c>
      <c r="H2413" t="s">
        <v>900</v>
      </c>
      <c r="I2413">
        <v>284595</v>
      </c>
      <c r="J2413">
        <v>210220</v>
      </c>
      <c r="K2413">
        <v>74375</v>
      </c>
      <c r="L2413">
        <v>150900</v>
      </c>
      <c r="M2413">
        <v>106000</v>
      </c>
      <c r="N2413">
        <v>44900</v>
      </c>
    </row>
    <row r="2414" spans="1:14" ht="14.4">
      <c r="A2414">
        <v>13579</v>
      </c>
      <c r="B2414">
        <v>13580</v>
      </c>
      <c r="C2414">
        <v>4116</v>
      </c>
      <c r="D2414" t="s">
        <v>897</v>
      </c>
      <c r="E2414" t="s">
        <v>1950</v>
      </c>
      <c r="F2414">
        <v>60302</v>
      </c>
      <c r="G2414" t="s">
        <v>914</v>
      </c>
      <c r="H2414" t="s">
        <v>900</v>
      </c>
      <c r="I2414">
        <v>58424</v>
      </c>
      <c r="J2414">
        <v>57249</v>
      </c>
      <c r="K2414">
        <v>1175</v>
      </c>
      <c r="L2414">
        <v>58000</v>
      </c>
      <c r="M2414">
        <v>56800</v>
      </c>
      <c r="N2414">
        <v>1200</v>
      </c>
    </row>
    <row r="2415" spans="1:14" ht="14.4">
      <c r="A2415">
        <v>13579</v>
      </c>
      <c r="B2415">
        <v>13580</v>
      </c>
      <c r="C2415">
        <v>4116</v>
      </c>
      <c r="D2415" t="s">
        <v>897</v>
      </c>
      <c r="E2415" t="s">
        <v>1950</v>
      </c>
      <c r="F2415">
        <v>60304</v>
      </c>
      <c r="G2415" t="s">
        <v>914</v>
      </c>
      <c r="H2415" t="s">
        <v>900</v>
      </c>
      <c r="I2415">
        <v>63160</v>
      </c>
      <c r="J2415">
        <v>52615</v>
      </c>
      <c r="K2415">
        <v>10545</v>
      </c>
      <c r="L2415">
        <v>40600</v>
      </c>
      <c r="M2415">
        <v>36500</v>
      </c>
      <c r="N2415">
        <v>4100</v>
      </c>
    </row>
    <row r="2416" spans="1:14" ht="14.4">
      <c r="A2416">
        <v>13579</v>
      </c>
      <c r="B2416">
        <v>13580</v>
      </c>
      <c r="C2416">
        <v>4116</v>
      </c>
      <c r="D2416" t="s">
        <v>897</v>
      </c>
      <c r="E2416" t="s">
        <v>1951</v>
      </c>
      <c r="F2416">
        <v>60181</v>
      </c>
      <c r="G2416" t="s">
        <v>899</v>
      </c>
      <c r="H2416" t="s">
        <v>900</v>
      </c>
      <c r="I2416">
        <v>47373</v>
      </c>
      <c r="J2416">
        <v>33830</v>
      </c>
      <c r="K2416">
        <v>13543</v>
      </c>
      <c r="L2416">
        <v>14200</v>
      </c>
      <c r="M2416">
        <v>600</v>
      </c>
      <c r="N2416">
        <v>13600</v>
      </c>
    </row>
    <row r="2417" spans="1:14" ht="14.4">
      <c r="A2417">
        <v>13579</v>
      </c>
      <c r="B2417">
        <v>13580</v>
      </c>
      <c r="C2417">
        <v>4116</v>
      </c>
      <c r="D2417" t="s">
        <v>897</v>
      </c>
      <c r="E2417" t="s">
        <v>1952</v>
      </c>
      <c r="F2417">
        <v>61348</v>
      </c>
      <c r="G2417" t="s">
        <v>923</v>
      </c>
      <c r="H2417" t="s">
        <v>900</v>
      </c>
      <c r="I2417">
        <v>62691</v>
      </c>
      <c r="J2417">
        <v>45866</v>
      </c>
      <c r="K2417">
        <v>16825</v>
      </c>
      <c r="L2417">
        <v>55400</v>
      </c>
      <c r="M2417">
        <v>41100</v>
      </c>
      <c r="N2417">
        <v>14300</v>
      </c>
    </row>
    <row r="2418" spans="1:14" ht="14.4">
      <c r="A2418">
        <v>13579</v>
      </c>
      <c r="B2418">
        <v>13580</v>
      </c>
      <c r="C2418">
        <v>4116</v>
      </c>
      <c r="D2418" t="s">
        <v>897</v>
      </c>
      <c r="E2418" t="s">
        <v>1953</v>
      </c>
      <c r="F2418">
        <v>60461</v>
      </c>
      <c r="G2418" t="s">
        <v>914</v>
      </c>
      <c r="H2418" t="s">
        <v>900</v>
      </c>
      <c r="I2418">
        <v>262155</v>
      </c>
      <c r="J2418">
        <v>212445</v>
      </c>
      <c r="K2418">
        <v>49710</v>
      </c>
      <c r="L2418">
        <v>146700</v>
      </c>
      <c r="M2418">
        <v>125300</v>
      </c>
      <c r="N2418">
        <v>21400</v>
      </c>
    </row>
    <row r="2419" spans="1:14" ht="14.4">
      <c r="A2419">
        <v>13579</v>
      </c>
      <c r="B2419">
        <v>13580</v>
      </c>
      <c r="C2419">
        <v>4116</v>
      </c>
      <c r="D2419" t="s">
        <v>897</v>
      </c>
      <c r="E2419" t="s">
        <v>1954</v>
      </c>
      <c r="F2419">
        <v>60487</v>
      </c>
      <c r="G2419" t="s">
        <v>914</v>
      </c>
      <c r="H2419" t="s">
        <v>900</v>
      </c>
      <c r="I2419">
        <v>47549</v>
      </c>
      <c r="J2419">
        <v>39674</v>
      </c>
      <c r="K2419">
        <v>7875</v>
      </c>
      <c r="L2419">
        <v>0</v>
      </c>
      <c r="M2419">
        <v>0</v>
      </c>
      <c r="N2419">
        <v>0</v>
      </c>
    </row>
    <row r="2420" spans="1:14" ht="14.4">
      <c r="A2420">
        <v>13579</v>
      </c>
      <c r="B2420">
        <v>13580</v>
      </c>
      <c r="C2420">
        <v>4116</v>
      </c>
      <c r="D2420" t="s">
        <v>897</v>
      </c>
      <c r="E2420" t="s">
        <v>1955</v>
      </c>
      <c r="F2420">
        <v>60462</v>
      </c>
      <c r="G2420" t="s">
        <v>914</v>
      </c>
      <c r="H2420" t="s">
        <v>900</v>
      </c>
      <c r="I2420">
        <v>59631</v>
      </c>
      <c r="J2420">
        <v>44381</v>
      </c>
      <c r="K2420">
        <v>15250</v>
      </c>
      <c r="L2420">
        <v>0</v>
      </c>
      <c r="M2420">
        <v>0</v>
      </c>
      <c r="N2420">
        <v>0</v>
      </c>
    </row>
    <row r="2421" spans="1:14" ht="14.4">
      <c r="A2421">
        <v>13579</v>
      </c>
      <c r="B2421">
        <v>13580</v>
      </c>
      <c r="C2421">
        <v>4116</v>
      </c>
      <c r="D2421" t="s">
        <v>897</v>
      </c>
      <c r="E2421" t="s">
        <v>1955</v>
      </c>
      <c r="F2421">
        <v>60467</v>
      </c>
      <c r="G2421" t="s">
        <v>914</v>
      </c>
      <c r="H2421" t="s">
        <v>900</v>
      </c>
      <c r="I2421">
        <v>37082</v>
      </c>
      <c r="J2421">
        <v>28707</v>
      </c>
      <c r="K2421">
        <v>8375</v>
      </c>
      <c r="L2421">
        <v>37100</v>
      </c>
      <c r="M2421">
        <v>28800</v>
      </c>
      <c r="N2421">
        <v>8300</v>
      </c>
    </row>
    <row r="2422" spans="1:14" ht="14.4">
      <c r="A2422">
        <v>13579</v>
      </c>
      <c r="B2422">
        <v>13580</v>
      </c>
      <c r="C2422">
        <v>4116</v>
      </c>
      <c r="D2422" t="s">
        <v>897</v>
      </c>
      <c r="E2422" t="s">
        <v>976</v>
      </c>
      <c r="F2422">
        <v>60543</v>
      </c>
      <c r="G2422" t="s">
        <v>973</v>
      </c>
      <c r="H2422" t="s">
        <v>900</v>
      </c>
      <c r="I2422">
        <v>369776</v>
      </c>
      <c r="J2422">
        <v>277376</v>
      </c>
      <c r="K2422">
        <v>92400</v>
      </c>
      <c r="L2422">
        <v>247900</v>
      </c>
      <c r="M2422">
        <v>180300</v>
      </c>
      <c r="N2422">
        <v>67600</v>
      </c>
    </row>
    <row r="2423" spans="1:14" ht="14.4">
      <c r="A2423">
        <v>13579</v>
      </c>
      <c r="B2423">
        <v>13580</v>
      </c>
      <c r="C2423">
        <v>4116</v>
      </c>
      <c r="D2423" t="s">
        <v>897</v>
      </c>
      <c r="E2423" t="s">
        <v>977</v>
      </c>
      <c r="F2423">
        <v>61350</v>
      </c>
      <c r="G2423" t="s">
        <v>923</v>
      </c>
      <c r="H2423" t="s">
        <v>900</v>
      </c>
      <c r="I2423">
        <v>758348</v>
      </c>
      <c r="J2423">
        <v>583763</v>
      </c>
      <c r="K2423">
        <v>174585</v>
      </c>
      <c r="L2423">
        <v>396800</v>
      </c>
      <c r="M2423">
        <v>301000</v>
      </c>
      <c r="N2423">
        <v>95800</v>
      </c>
    </row>
    <row r="2424" spans="1:14" ht="14.4">
      <c r="A2424">
        <v>13579</v>
      </c>
      <c r="B2424">
        <v>13580</v>
      </c>
      <c r="C2424">
        <v>4116</v>
      </c>
      <c r="D2424" t="s">
        <v>897</v>
      </c>
      <c r="E2424" t="s">
        <v>1956</v>
      </c>
      <c r="F2424">
        <v>60074</v>
      </c>
      <c r="G2424" t="s">
        <v>914</v>
      </c>
      <c r="H2424" t="s">
        <v>900</v>
      </c>
      <c r="I2424">
        <v>29615</v>
      </c>
      <c r="J2424">
        <v>18615</v>
      </c>
      <c r="K2424">
        <v>11000</v>
      </c>
      <c r="L2424">
        <v>27900</v>
      </c>
      <c r="M2424">
        <v>16900</v>
      </c>
      <c r="N2424">
        <v>11000</v>
      </c>
    </row>
    <row r="2425" spans="1:14" ht="14.4">
      <c r="A2425">
        <v>13579</v>
      </c>
      <c r="B2425">
        <v>13580</v>
      </c>
      <c r="C2425">
        <v>4116</v>
      </c>
      <c r="D2425" t="s">
        <v>897</v>
      </c>
      <c r="E2425" t="s">
        <v>1957</v>
      </c>
      <c r="F2425">
        <v>62451</v>
      </c>
      <c r="G2425" t="s">
        <v>1958</v>
      </c>
      <c r="H2425" t="s">
        <v>900</v>
      </c>
      <c r="I2425">
        <v>118402</v>
      </c>
      <c r="J2425">
        <v>110817</v>
      </c>
      <c r="K2425">
        <v>7585</v>
      </c>
      <c r="L2425">
        <v>2100</v>
      </c>
      <c r="M2425">
        <v>0</v>
      </c>
      <c r="N2425">
        <v>2100</v>
      </c>
    </row>
    <row r="2426" spans="1:14" ht="14.4">
      <c r="A2426">
        <v>13579</v>
      </c>
      <c r="B2426">
        <v>13580</v>
      </c>
      <c r="C2426">
        <v>4116</v>
      </c>
      <c r="D2426" t="s">
        <v>897</v>
      </c>
      <c r="E2426" t="s">
        <v>1959</v>
      </c>
      <c r="F2426">
        <v>60463</v>
      </c>
      <c r="G2426" t="s">
        <v>914</v>
      </c>
      <c r="H2426" t="s">
        <v>900</v>
      </c>
      <c r="I2426">
        <v>26366</v>
      </c>
      <c r="J2426">
        <v>25366</v>
      </c>
      <c r="K2426">
        <v>1000</v>
      </c>
      <c r="L2426">
        <v>14000</v>
      </c>
      <c r="M2426">
        <v>14000</v>
      </c>
      <c r="N2426">
        <v>0</v>
      </c>
    </row>
    <row r="2427" spans="1:14" ht="14.4">
      <c r="A2427">
        <v>13579</v>
      </c>
      <c r="B2427">
        <v>13580</v>
      </c>
      <c r="C2427">
        <v>4116</v>
      </c>
      <c r="D2427" t="s">
        <v>897</v>
      </c>
      <c r="E2427" t="s">
        <v>1960</v>
      </c>
      <c r="F2427">
        <v>60465</v>
      </c>
      <c r="G2427" t="s">
        <v>914</v>
      </c>
      <c r="H2427" t="s">
        <v>900</v>
      </c>
      <c r="I2427">
        <v>13908</v>
      </c>
      <c r="J2427">
        <v>8938</v>
      </c>
      <c r="K2427">
        <v>4970</v>
      </c>
      <c r="L2427">
        <v>0</v>
      </c>
      <c r="M2427">
        <v>0</v>
      </c>
      <c r="N2427">
        <v>0</v>
      </c>
    </row>
    <row r="2428" spans="1:14" ht="14.4">
      <c r="A2428">
        <v>13579</v>
      </c>
      <c r="B2428">
        <v>13580</v>
      </c>
      <c r="C2428">
        <v>4116</v>
      </c>
      <c r="D2428" t="s">
        <v>897</v>
      </c>
      <c r="E2428" t="s">
        <v>1961</v>
      </c>
      <c r="F2428">
        <v>60466</v>
      </c>
      <c r="G2428" t="s">
        <v>914</v>
      </c>
      <c r="H2428" t="s">
        <v>900</v>
      </c>
      <c r="I2428">
        <v>348696</v>
      </c>
      <c r="J2428">
        <v>237816</v>
      </c>
      <c r="K2428">
        <v>110880</v>
      </c>
      <c r="L2428">
        <v>157300</v>
      </c>
      <c r="M2428">
        <v>93200</v>
      </c>
      <c r="N2428">
        <v>64100</v>
      </c>
    </row>
    <row r="2429" spans="1:14" ht="14.4">
      <c r="A2429">
        <v>13579</v>
      </c>
      <c r="B2429">
        <v>13580</v>
      </c>
      <c r="C2429">
        <v>4116</v>
      </c>
      <c r="D2429" t="s">
        <v>897</v>
      </c>
      <c r="E2429" t="s">
        <v>1961</v>
      </c>
      <c r="F2429">
        <v>60466</v>
      </c>
      <c r="G2429" t="s">
        <v>917</v>
      </c>
      <c r="H2429" t="s">
        <v>900</v>
      </c>
      <c r="I2429">
        <v>8090</v>
      </c>
      <c r="J2429">
        <v>7590</v>
      </c>
      <c r="K2429">
        <v>500</v>
      </c>
      <c r="L2429">
        <v>8100</v>
      </c>
      <c r="M2429">
        <v>7600</v>
      </c>
      <c r="N2429">
        <v>500</v>
      </c>
    </row>
    <row r="2430" spans="1:14" ht="14.4">
      <c r="A2430">
        <v>13579</v>
      </c>
      <c r="B2430">
        <v>13580</v>
      </c>
      <c r="C2430">
        <v>4116</v>
      </c>
      <c r="D2430" t="s">
        <v>897</v>
      </c>
      <c r="E2430" t="s">
        <v>1961</v>
      </c>
      <c r="F2430">
        <v>60484</v>
      </c>
      <c r="G2430" t="s">
        <v>917</v>
      </c>
      <c r="H2430" t="s">
        <v>900</v>
      </c>
      <c r="I2430">
        <v>46439</v>
      </c>
      <c r="J2430">
        <v>35029</v>
      </c>
      <c r="K2430">
        <v>11410</v>
      </c>
      <c r="L2430">
        <v>0</v>
      </c>
      <c r="M2430">
        <v>0</v>
      </c>
      <c r="N2430">
        <v>0</v>
      </c>
    </row>
    <row r="2431" spans="1:14" ht="14.4">
      <c r="A2431">
        <v>13579</v>
      </c>
      <c r="B2431">
        <v>13580</v>
      </c>
      <c r="C2431">
        <v>4116</v>
      </c>
      <c r="D2431" t="s">
        <v>897</v>
      </c>
      <c r="E2431" t="s">
        <v>978</v>
      </c>
      <c r="F2431">
        <v>60068</v>
      </c>
      <c r="G2431" t="s">
        <v>914</v>
      </c>
      <c r="H2431" t="s">
        <v>900</v>
      </c>
      <c r="I2431">
        <v>2221307</v>
      </c>
      <c r="J2431">
        <v>1571757</v>
      </c>
      <c r="K2431">
        <v>649550</v>
      </c>
      <c r="L2431">
        <v>1146600</v>
      </c>
      <c r="M2431">
        <v>754500</v>
      </c>
      <c r="N2431">
        <v>388800</v>
      </c>
    </row>
    <row r="2432" spans="1:14" ht="14.4">
      <c r="A2432">
        <v>13579</v>
      </c>
      <c r="B2432">
        <v>13580</v>
      </c>
      <c r="C2432">
        <v>4116</v>
      </c>
      <c r="D2432" t="s">
        <v>897</v>
      </c>
      <c r="E2432" t="s">
        <v>1962</v>
      </c>
      <c r="F2432">
        <v>61554</v>
      </c>
      <c r="G2432" t="s">
        <v>1853</v>
      </c>
      <c r="H2432" t="s">
        <v>900</v>
      </c>
      <c r="I2432">
        <v>28228</v>
      </c>
      <c r="J2432">
        <v>24223</v>
      </c>
      <c r="K2432">
        <v>4005</v>
      </c>
      <c r="L2432">
        <v>16600</v>
      </c>
      <c r="M2432">
        <v>14000</v>
      </c>
      <c r="N2432">
        <v>2600</v>
      </c>
    </row>
    <row r="2433" spans="1:14" ht="14.4">
      <c r="A2433">
        <v>13579</v>
      </c>
      <c r="B2433">
        <v>13580</v>
      </c>
      <c r="C2433">
        <v>4116</v>
      </c>
      <c r="D2433" t="s">
        <v>897</v>
      </c>
      <c r="E2433" t="s">
        <v>908</v>
      </c>
      <c r="F2433">
        <v>61603</v>
      </c>
      <c r="G2433" t="s">
        <v>908</v>
      </c>
      <c r="H2433" t="s">
        <v>900</v>
      </c>
      <c r="I2433">
        <v>83425</v>
      </c>
      <c r="J2433">
        <v>65010</v>
      </c>
      <c r="K2433">
        <v>18415</v>
      </c>
      <c r="L2433">
        <v>59300</v>
      </c>
      <c r="M2433">
        <v>45500</v>
      </c>
      <c r="N2433">
        <v>13800</v>
      </c>
    </row>
    <row r="2434" spans="1:14" ht="14.4">
      <c r="A2434">
        <v>13579</v>
      </c>
      <c r="B2434">
        <v>13580</v>
      </c>
      <c r="C2434">
        <v>4116</v>
      </c>
      <c r="D2434" t="s">
        <v>897</v>
      </c>
      <c r="E2434" t="s">
        <v>908</v>
      </c>
      <c r="F2434">
        <v>61604</v>
      </c>
      <c r="G2434" t="s">
        <v>908</v>
      </c>
      <c r="H2434" t="s">
        <v>900</v>
      </c>
      <c r="I2434">
        <v>480526</v>
      </c>
      <c r="J2434">
        <v>348201</v>
      </c>
      <c r="K2434">
        <v>132325</v>
      </c>
      <c r="L2434">
        <v>191500</v>
      </c>
      <c r="M2434">
        <v>107600</v>
      </c>
      <c r="N2434">
        <v>83900</v>
      </c>
    </row>
    <row r="2435" spans="1:14" ht="14.4">
      <c r="A2435">
        <v>13579</v>
      </c>
      <c r="B2435">
        <v>13580</v>
      </c>
      <c r="C2435">
        <v>4116</v>
      </c>
      <c r="D2435" t="s">
        <v>897</v>
      </c>
      <c r="E2435" t="s">
        <v>908</v>
      </c>
      <c r="F2435">
        <v>61605</v>
      </c>
      <c r="G2435" t="s">
        <v>908</v>
      </c>
      <c r="H2435" t="s">
        <v>900</v>
      </c>
      <c r="I2435">
        <v>238698</v>
      </c>
      <c r="J2435">
        <v>201858</v>
      </c>
      <c r="K2435">
        <v>36840</v>
      </c>
      <c r="L2435">
        <v>150500</v>
      </c>
      <c r="M2435">
        <v>128900</v>
      </c>
      <c r="N2435">
        <v>21600</v>
      </c>
    </row>
    <row r="2436" spans="1:14" ht="14.4">
      <c r="A2436">
        <v>13579</v>
      </c>
      <c r="B2436">
        <v>13580</v>
      </c>
      <c r="C2436">
        <v>4116</v>
      </c>
      <c r="D2436" t="s">
        <v>897</v>
      </c>
      <c r="E2436" t="s">
        <v>908</v>
      </c>
      <c r="F2436">
        <v>61614</v>
      </c>
      <c r="G2436" t="s">
        <v>908</v>
      </c>
      <c r="H2436" t="s">
        <v>900</v>
      </c>
      <c r="I2436">
        <v>79972</v>
      </c>
      <c r="J2436">
        <v>68467</v>
      </c>
      <c r="K2436">
        <v>11505</v>
      </c>
      <c r="L2436">
        <v>64600</v>
      </c>
      <c r="M2436">
        <v>53100</v>
      </c>
      <c r="N2436">
        <v>11500</v>
      </c>
    </row>
    <row r="2437" spans="1:14" ht="14.4">
      <c r="A2437">
        <v>13579</v>
      </c>
      <c r="B2437">
        <v>13580</v>
      </c>
      <c r="C2437">
        <v>4116</v>
      </c>
      <c r="D2437" t="s">
        <v>897</v>
      </c>
      <c r="E2437" t="s">
        <v>908</v>
      </c>
      <c r="F2437">
        <v>61615</v>
      </c>
      <c r="G2437" t="s">
        <v>908</v>
      </c>
      <c r="H2437" t="s">
        <v>900</v>
      </c>
      <c r="I2437">
        <v>311675</v>
      </c>
      <c r="J2437">
        <v>267935</v>
      </c>
      <c r="K2437">
        <v>43740</v>
      </c>
      <c r="L2437">
        <v>110500</v>
      </c>
      <c r="M2437">
        <v>104100</v>
      </c>
      <c r="N2437">
        <v>6400</v>
      </c>
    </row>
    <row r="2438" spans="1:14" ht="14.4">
      <c r="A2438">
        <v>13579</v>
      </c>
      <c r="B2438">
        <v>13580</v>
      </c>
      <c r="C2438">
        <v>4116</v>
      </c>
      <c r="D2438" t="s">
        <v>897</v>
      </c>
      <c r="E2438" t="s">
        <v>1963</v>
      </c>
      <c r="F2438">
        <v>61616</v>
      </c>
      <c r="G2438" t="s">
        <v>908</v>
      </c>
      <c r="H2438" t="s">
        <v>900</v>
      </c>
      <c r="I2438">
        <v>325339</v>
      </c>
      <c r="J2438">
        <v>305714</v>
      </c>
      <c r="K2438">
        <v>19625</v>
      </c>
      <c r="L2438">
        <v>32100</v>
      </c>
      <c r="M2438">
        <v>32100</v>
      </c>
      <c r="N2438">
        <v>0</v>
      </c>
    </row>
    <row r="2439" spans="1:14" ht="14.4">
      <c r="A2439">
        <v>13579</v>
      </c>
      <c r="B2439">
        <v>13580</v>
      </c>
      <c r="C2439">
        <v>4116</v>
      </c>
      <c r="D2439" t="s">
        <v>897</v>
      </c>
      <c r="E2439" t="s">
        <v>1964</v>
      </c>
      <c r="F2439">
        <v>61354</v>
      </c>
      <c r="G2439" t="s">
        <v>923</v>
      </c>
      <c r="H2439" t="s">
        <v>900</v>
      </c>
      <c r="I2439">
        <v>48191</v>
      </c>
      <c r="J2439">
        <v>17656</v>
      </c>
      <c r="K2439">
        <v>30535</v>
      </c>
      <c r="L2439">
        <v>5000</v>
      </c>
      <c r="M2439">
        <v>5000</v>
      </c>
      <c r="N2439">
        <v>0</v>
      </c>
    </row>
    <row r="2440" spans="1:14" ht="14.4">
      <c r="A2440">
        <v>13579</v>
      </c>
      <c r="B2440">
        <v>13580</v>
      </c>
      <c r="C2440">
        <v>4116</v>
      </c>
      <c r="D2440" t="s">
        <v>897</v>
      </c>
      <c r="E2440" t="s">
        <v>979</v>
      </c>
      <c r="F2440">
        <v>60426</v>
      </c>
      <c r="G2440" t="s">
        <v>914</v>
      </c>
      <c r="H2440" t="s">
        <v>900</v>
      </c>
      <c r="I2440">
        <v>46923</v>
      </c>
      <c r="J2440">
        <v>37958</v>
      </c>
      <c r="K2440">
        <v>8965</v>
      </c>
      <c r="L2440">
        <v>12100</v>
      </c>
      <c r="M2440">
        <v>9900</v>
      </c>
      <c r="N2440">
        <v>2200</v>
      </c>
    </row>
    <row r="2441" spans="1:14" ht="14.4">
      <c r="A2441">
        <v>13579</v>
      </c>
      <c r="B2441">
        <v>13580</v>
      </c>
      <c r="C2441">
        <v>4116</v>
      </c>
      <c r="D2441" t="s">
        <v>897</v>
      </c>
      <c r="E2441" t="s">
        <v>698</v>
      </c>
      <c r="F2441">
        <v>60544</v>
      </c>
      <c r="G2441" t="s">
        <v>917</v>
      </c>
      <c r="H2441" t="s">
        <v>900</v>
      </c>
      <c r="I2441">
        <v>168773</v>
      </c>
      <c r="J2441">
        <v>124198</v>
      </c>
      <c r="K2441">
        <v>44575</v>
      </c>
      <c r="L2441">
        <v>103600</v>
      </c>
      <c r="M2441">
        <v>70400</v>
      </c>
      <c r="N2441">
        <v>33200</v>
      </c>
    </row>
    <row r="2442" spans="1:14" ht="14.4">
      <c r="A2442">
        <v>13579</v>
      </c>
      <c r="B2442">
        <v>13580</v>
      </c>
      <c r="C2442">
        <v>4116</v>
      </c>
      <c r="D2442" t="s">
        <v>897</v>
      </c>
      <c r="E2442" t="s">
        <v>698</v>
      </c>
      <c r="F2442">
        <v>60585</v>
      </c>
      <c r="G2442" t="s">
        <v>917</v>
      </c>
      <c r="H2442" t="s">
        <v>900</v>
      </c>
      <c r="I2442">
        <v>130002</v>
      </c>
      <c r="J2442">
        <v>96472</v>
      </c>
      <c r="K2442">
        <v>33530</v>
      </c>
      <c r="L2442">
        <v>92700</v>
      </c>
      <c r="M2442">
        <v>71700</v>
      </c>
      <c r="N2442">
        <v>21000</v>
      </c>
    </row>
    <row r="2443" spans="1:14" ht="14.4">
      <c r="A2443">
        <v>13579</v>
      </c>
      <c r="B2443">
        <v>13580</v>
      </c>
      <c r="C2443">
        <v>4116</v>
      </c>
      <c r="D2443" t="s">
        <v>897</v>
      </c>
      <c r="E2443" t="s">
        <v>698</v>
      </c>
      <c r="F2443">
        <v>60586</v>
      </c>
      <c r="G2443" t="s">
        <v>917</v>
      </c>
      <c r="H2443" t="s">
        <v>900</v>
      </c>
      <c r="I2443">
        <v>232881</v>
      </c>
      <c r="J2443">
        <v>188586</v>
      </c>
      <c r="K2443">
        <v>44295</v>
      </c>
      <c r="L2443">
        <v>130000</v>
      </c>
      <c r="M2443">
        <v>102200</v>
      </c>
      <c r="N2443">
        <v>27800</v>
      </c>
    </row>
    <row r="2444" spans="1:14" ht="14.4">
      <c r="A2444">
        <v>13579</v>
      </c>
      <c r="B2444">
        <v>13580</v>
      </c>
      <c r="C2444">
        <v>4116</v>
      </c>
      <c r="D2444" t="s">
        <v>897</v>
      </c>
      <c r="E2444" t="s">
        <v>980</v>
      </c>
      <c r="F2444">
        <v>60545</v>
      </c>
      <c r="G2444" t="s">
        <v>973</v>
      </c>
      <c r="H2444" t="s">
        <v>900</v>
      </c>
      <c r="I2444">
        <v>121417</v>
      </c>
      <c r="J2444">
        <v>95817</v>
      </c>
      <c r="K2444">
        <v>25600</v>
      </c>
      <c r="L2444">
        <v>44400</v>
      </c>
      <c r="M2444">
        <v>21900</v>
      </c>
      <c r="N2444">
        <v>22500</v>
      </c>
    </row>
    <row r="2445" spans="1:14" ht="14.4">
      <c r="A2445">
        <v>13579</v>
      </c>
      <c r="B2445">
        <v>13580</v>
      </c>
      <c r="C2445">
        <v>4116</v>
      </c>
      <c r="D2445" t="s">
        <v>897</v>
      </c>
      <c r="E2445" t="s">
        <v>1965</v>
      </c>
      <c r="F2445">
        <v>62367</v>
      </c>
      <c r="G2445" t="s">
        <v>962</v>
      </c>
      <c r="H2445" t="s">
        <v>900</v>
      </c>
      <c r="I2445">
        <v>80348</v>
      </c>
      <c r="J2445">
        <v>60878</v>
      </c>
      <c r="K2445">
        <v>19470</v>
      </c>
      <c r="L2445">
        <v>62100</v>
      </c>
      <c r="M2445">
        <v>42600</v>
      </c>
      <c r="N2445">
        <v>19500</v>
      </c>
    </row>
    <row r="2446" spans="1:14" ht="14.4">
      <c r="A2446">
        <v>13579</v>
      </c>
      <c r="B2446">
        <v>13580</v>
      </c>
      <c r="C2446">
        <v>4116</v>
      </c>
      <c r="D2446" t="s">
        <v>897</v>
      </c>
      <c r="E2446" t="s">
        <v>1965</v>
      </c>
      <c r="F2446">
        <v>62367</v>
      </c>
      <c r="G2446" t="s">
        <v>1966</v>
      </c>
      <c r="H2446" t="s">
        <v>900</v>
      </c>
      <c r="I2446">
        <v>88616</v>
      </c>
      <c r="J2446">
        <v>83286</v>
      </c>
      <c r="K2446">
        <v>5330</v>
      </c>
      <c r="L2446">
        <v>0</v>
      </c>
      <c r="M2446">
        <v>0</v>
      </c>
      <c r="N2446">
        <v>0</v>
      </c>
    </row>
    <row r="2447" spans="1:14" ht="14.4">
      <c r="A2447">
        <v>13579</v>
      </c>
      <c r="B2447">
        <v>13580</v>
      </c>
      <c r="C2447">
        <v>4116</v>
      </c>
      <c r="D2447" t="s">
        <v>897</v>
      </c>
      <c r="E2447" t="s">
        <v>1967</v>
      </c>
      <c r="F2447">
        <v>60010</v>
      </c>
      <c r="G2447" t="s">
        <v>1812</v>
      </c>
      <c r="H2447" t="s">
        <v>900</v>
      </c>
      <c r="I2447">
        <v>31911</v>
      </c>
      <c r="J2447">
        <v>28711</v>
      </c>
      <c r="K2447">
        <v>3200</v>
      </c>
      <c r="L2447">
        <v>0</v>
      </c>
      <c r="M2447">
        <v>0</v>
      </c>
      <c r="N2447">
        <v>0</v>
      </c>
    </row>
    <row r="2448" spans="1:14" ht="14.4">
      <c r="A2448">
        <v>13579</v>
      </c>
      <c r="B2448">
        <v>13580</v>
      </c>
      <c r="C2448">
        <v>4116</v>
      </c>
      <c r="D2448" t="s">
        <v>897</v>
      </c>
      <c r="E2448" t="s">
        <v>1968</v>
      </c>
      <c r="F2448">
        <v>61275</v>
      </c>
      <c r="G2448" t="s">
        <v>937</v>
      </c>
      <c r="H2448" t="s">
        <v>900</v>
      </c>
      <c r="I2448">
        <v>11369</v>
      </c>
      <c r="J2448">
        <v>7469</v>
      </c>
      <c r="K2448">
        <v>3900</v>
      </c>
      <c r="L2448">
        <v>11100</v>
      </c>
      <c r="M2448">
        <v>7200</v>
      </c>
      <c r="N2448">
        <v>3900</v>
      </c>
    </row>
    <row r="2449" spans="1:14" ht="14.4">
      <c r="A2449">
        <v>13579</v>
      </c>
      <c r="B2449">
        <v>13580</v>
      </c>
      <c r="C2449">
        <v>4116</v>
      </c>
      <c r="D2449" t="s">
        <v>897</v>
      </c>
      <c r="E2449" t="s">
        <v>1969</v>
      </c>
      <c r="F2449">
        <v>60469</v>
      </c>
      <c r="G2449" t="s">
        <v>914</v>
      </c>
      <c r="H2449" t="s">
        <v>900</v>
      </c>
      <c r="I2449">
        <v>194894</v>
      </c>
      <c r="J2449">
        <v>132604</v>
      </c>
      <c r="K2449">
        <v>62290</v>
      </c>
      <c r="L2449">
        <v>136500</v>
      </c>
      <c r="M2449">
        <v>86500</v>
      </c>
      <c r="N2449">
        <v>50000</v>
      </c>
    </row>
    <row r="2450" spans="1:14" ht="14.4">
      <c r="A2450">
        <v>13579</v>
      </c>
      <c r="B2450">
        <v>13580</v>
      </c>
      <c r="C2450">
        <v>4116</v>
      </c>
      <c r="D2450" t="s">
        <v>897</v>
      </c>
      <c r="E2450" t="s">
        <v>1970</v>
      </c>
      <c r="F2450">
        <v>61470</v>
      </c>
      <c r="G2450" t="s">
        <v>962</v>
      </c>
      <c r="H2450" t="s">
        <v>900</v>
      </c>
      <c r="I2450">
        <v>43429</v>
      </c>
      <c r="J2450">
        <v>39009</v>
      </c>
      <c r="K2450">
        <v>4420</v>
      </c>
      <c r="L2450">
        <v>0</v>
      </c>
      <c r="M2450">
        <v>0</v>
      </c>
      <c r="N2450">
        <v>0</v>
      </c>
    </row>
    <row r="2451" spans="1:14" ht="14.4">
      <c r="A2451">
        <v>13579</v>
      </c>
      <c r="B2451">
        <v>13580</v>
      </c>
      <c r="C2451">
        <v>4116</v>
      </c>
      <c r="D2451" t="s">
        <v>897</v>
      </c>
      <c r="E2451" t="s">
        <v>1971</v>
      </c>
      <c r="F2451">
        <v>60069</v>
      </c>
      <c r="G2451" t="s">
        <v>902</v>
      </c>
      <c r="H2451" t="s">
        <v>900</v>
      </c>
      <c r="I2451">
        <v>36136</v>
      </c>
      <c r="J2451">
        <v>26961</v>
      </c>
      <c r="K2451">
        <v>9175</v>
      </c>
      <c r="L2451">
        <v>31900</v>
      </c>
      <c r="M2451">
        <v>22700</v>
      </c>
      <c r="N2451">
        <v>9200</v>
      </c>
    </row>
    <row r="2452" spans="1:14" ht="14.4">
      <c r="A2452">
        <v>13579</v>
      </c>
      <c r="B2452">
        <v>13580</v>
      </c>
      <c r="C2452">
        <v>4116</v>
      </c>
      <c r="D2452" t="s">
        <v>897</v>
      </c>
      <c r="E2452" t="s">
        <v>709</v>
      </c>
      <c r="F2452">
        <v>61356</v>
      </c>
      <c r="G2452" t="s">
        <v>981</v>
      </c>
      <c r="H2452" t="s">
        <v>900</v>
      </c>
      <c r="I2452">
        <v>279326</v>
      </c>
      <c r="J2452">
        <v>215051</v>
      </c>
      <c r="K2452">
        <v>64275</v>
      </c>
      <c r="L2452">
        <v>115000</v>
      </c>
      <c r="M2452">
        <v>82500</v>
      </c>
      <c r="N2452">
        <v>32500</v>
      </c>
    </row>
    <row r="2453" spans="1:14" ht="14.4">
      <c r="A2453">
        <v>13579</v>
      </c>
      <c r="B2453">
        <v>13580</v>
      </c>
      <c r="C2453">
        <v>4116</v>
      </c>
      <c r="D2453" t="s">
        <v>897</v>
      </c>
      <c r="E2453" t="s">
        <v>1972</v>
      </c>
      <c r="F2453">
        <v>61559</v>
      </c>
      <c r="G2453" t="s">
        <v>908</v>
      </c>
      <c r="H2453" t="s">
        <v>900</v>
      </c>
      <c r="I2453">
        <v>10573</v>
      </c>
      <c r="J2453">
        <v>8873</v>
      </c>
      <c r="K2453">
        <v>1700</v>
      </c>
      <c r="L2453">
        <v>0</v>
      </c>
      <c r="M2453">
        <v>0</v>
      </c>
      <c r="N2453">
        <v>0</v>
      </c>
    </row>
    <row r="2454" spans="1:14" ht="14.4">
      <c r="A2454">
        <v>13579</v>
      </c>
      <c r="B2454">
        <v>13580</v>
      </c>
      <c r="C2454">
        <v>4116</v>
      </c>
      <c r="D2454" t="s">
        <v>897</v>
      </c>
      <c r="E2454" t="s">
        <v>1973</v>
      </c>
      <c r="F2454">
        <v>60070</v>
      </c>
      <c r="G2454" t="s">
        <v>914</v>
      </c>
      <c r="H2454" t="s">
        <v>900</v>
      </c>
      <c r="I2454">
        <v>10525</v>
      </c>
      <c r="J2454">
        <v>0</v>
      </c>
      <c r="K2454">
        <v>10525</v>
      </c>
      <c r="L2454">
        <v>0</v>
      </c>
      <c r="M2454">
        <v>0</v>
      </c>
      <c r="N2454">
        <v>0</v>
      </c>
    </row>
    <row r="2455" spans="1:14" ht="14.4">
      <c r="A2455">
        <v>13579</v>
      </c>
      <c r="B2455">
        <v>13580</v>
      </c>
      <c r="C2455">
        <v>4116</v>
      </c>
      <c r="D2455" t="s">
        <v>897</v>
      </c>
      <c r="E2455" t="s">
        <v>982</v>
      </c>
      <c r="F2455">
        <v>60471</v>
      </c>
      <c r="G2455" t="s">
        <v>914</v>
      </c>
      <c r="H2455" t="s">
        <v>900</v>
      </c>
      <c r="I2455">
        <v>379939</v>
      </c>
      <c r="J2455">
        <v>271919</v>
      </c>
      <c r="K2455">
        <v>108020</v>
      </c>
      <c r="L2455">
        <v>128600</v>
      </c>
      <c r="M2455">
        <v>86300</v>
      </c>
      <c r="N2455">
        <v>42300</v>
      </c>
    </row>
    <row r="2456" spans="1:14" ht="14.4">
      <c r="A2456">
        <v>13579</v>
      </c>
      <c r="B2456">
        <v>13580</v>
      </c>
      <c r="C2456">
        <v>4116</v>
      </c>
      <c r="D2456" t="s">
        <v>897</v>
      </c>
      <c r="E2456" t="s">
        <v>983</v>
      </c>
      <c r="F2456">
        <v>60305</v>
      </c>
      <c r="G2456" t="s">
        <v>914</v>
      </c>
      <c r="H2456" t="s">
        <v>900</v>
      </c>
      <c r="I2456">
        <v>63176</v>
      </c>
      <c r="J2456">
        <v>37286</v>
      </c>
      <c r="K2456">
        <v>25890</v>
      </c>
      <c r="L2456">
        <v>45000</v>
      </c>
      <c r="M2456">
        <v>23400</v>
      </c>
      <c r="N2456">
        <v>21600</v>
      </c>
    </row>
    <row r="2457" spans="1:14" ht="14.4">
      <c r="A2457">
        <v>13579</v>
      </c>
      <c r="B2457">
        <v>13580</v>
      </c>
      <c r="C2457">
        <v>4116</v>
      </c>
      <c r="D2457" t="s">
        <v>897</v>
      </c>
      <c r="E2457" t="s">
        <v>984</v>
      </c>
      <c r="F2457">
        <v>60171</v>
      </c>
      <c r="G2457" t="s">
        <v>914</v>
      </c>
      <c r="H2457" t="s">
        <v>900</v>
      </c>
      <c r="I2457">
        <v>420130</v>
      </c>
      <c r="J2457">
        <v>275525</v>
      </c>
      <c r="K2457">
        <v>144605</v>
      </c>
      <c r="L2457">
        <v>247900</v>
      </c>
      <c r="M2457">
        <v>138800</v>
      </c>
      <c r="N2457">
        <v>109100</v>
      </c>
    </row>
    <row r="2458" spans="1:14" ht="14.4">
      <c r="A2458">
        <v>13579</v>
      </c>
      <c r="B2458">
        <v>13580</v>
      </c>
      <c r="C2458">
        <v>4116</v>
      </c>
      <c r="D2458" t="s">
        <v>897</v>
      </c>
      <c r="E2458" t="s">
        <v>985</v>
      </c>
      <c r="F2458">
        <v>60827</v>
      </c>
      <c r="G2458" t="s">
        <v>914</v>
      </c>
      <c r="H2458" t="s">
        <v>900</v>
      </c>
      <c r="I2458">
        <v>785390</v>
      </c>
      <c r="J2458">
        <v>572895</v>
      </c>
      <c r="K2458">
        <v>212495</v>
      </c>
      <c r="L2458">
        <v>274900</v>
      </c>
      <c r="M2458">
        <v>185200</v>
      </c>
      <c r="N2458">
        <v>89700</v>
      </c>
    </row>
    <row r="2459" spans="1:14" ht="14.4">
      <c r="A2459">
        <v>13579</v>
      </c>
      <c r="B2459">
        <v>13580</v>
      </c>
      <c r="C2459">
        <v>4116</v>
      </c>
      <c r="D2459" t="s">
        <v>897</v>
      </c>
      <c r="E2459" t="s">
        <v>986</v>
      </c>
      <c r="F2459">
        <v>60546</v>
      </c>
      <c r="G2459" t="s">
        <v>914</v>
      </c>
      <c r="H2459" t="s">
        <v>900</v>
      </c>
      <c r="I2459">
        <v>494761</v>
      </c>
      <c r="J2459">
        <v>361635</v>
      </c>
      <c r="K2459">
        <v>133126</v>
      </c>
      <c r="L2459">
        <v>141200</v>
      </c>
      <c r="M2459">
        <v>91100</v>
      </c>
      <c r="N2459">
        <v>50100</v>
      </c>
    </row>
    <row r="2460" spans="1:14" ht="14.4">
      <c r="A2460">
        <v>13579</v>
      </c>
      <c r="B2460">
        <v>13580</v>
      </c>
      <c r="C2460">
        <v>4116</v>
      </c>
      <c r="D2460" t="s">
        <v>897</v>
      </c>
      <c r="E2460" t="s">
        <v>987</v>
      </c>
      <c r="F2460">
        <v>61561</v>
      </c>
      <c r="G2460" t="s">
        <v>988</v>
      </c>
      <c r="H2460" t="s">
        <v>900</v>
      </c>
      <c r="I2460">
        <v>526004</v>
      </c>
      <c r="J2460">
        <v>383579</v>
      </c>
      <c r="K2460">
        <v>142425</v>
      </c>
      <c r="L2460">
        <v>163500</v>
      </c>
      <c r="M2460">
        <v>104900</v>
      </c>
      <c r="N2460">
        <v>58600</v>
      </c>
    </row>
    <row r="2461" spans="1:14" ht="14.4">
      <c r="A2461">
        <v>13579</v>
      </c>
      <c r="B2461">
        <v>13580</v>
      </c>
      <c r="C2461">
        <v>4116</v>
      </c>
      <c r="D2461" t="s">
        <v>897</v>
      </c>
      <c r="E2461" t="s">
        <v>989</v>
      </c>
      <c r="F2461">
        <v>60472</v>
      </c>
      <c r="G2461" t="s">
        <v>914</v>
      </c>
      <c r="H2461" t="s">
        <v>900</v>
      </c>
      <c r="I2461">
        <v>121128</v>
      </c>
      <c r="J2461">
        <v>81858</v>
      </c>
      <c r="K2461">
        <v>39270</v>
      </c>
      <c r="L2461">
        <v>74600</v>
      </c>
      <c r="M2461">
        <v>59300</v>
      </c>
      <c r="N2461">
        <v>15300</v>
      </c>
    </row>
    <row r="2462" spans="1:14" ht="14.4">
      <c r="A2462">
        <v>13579</v>
      </c>
      <c r="B2462">
        <v>13580</v>
      </c>
      <c r="C2462">
        <v>4116</v>
      </c>
      <c r="D2462" t="s">
        <v>897</v>
      </c>
      <c r="E2462" t="s">
        <v>1974</v>
      </c>
      <c r="F2462">
        <v>62454</v>
      </c>
      <c r="G2462" t="s">
        <v>1958</v>
      </c>
      <c r="H2462" t="s">
        <v>900</v>
      </c>
      <c r="I2462">
        <v>29222</v>
      </c>
      <c r="J2462">
        <v>29222</v>
      </c>
      <c r="K2462">
        <v>0</v>
      </c>
      <c r="L2462">
        <v>24800</v>
      </c>
      <c r="M2462">
        <v>24800</v>
      </c>
      <c r="N2462">
        <v>0</v>
      </c>
    </row>
    <row r="2463" spans="1:14" ht="14.4">
      <c r="A2463">
        <v>13579</v>
      </c>
      <c r="B2463">
        <v>13580</v>
      </c>
      <c r="C2463">
        <v>4116</v>
      </c>
      <c r="D2463" t="s">
        <v>897</v>
      </c>
      <c r="E2463" t="s">
        <v>937</v>
      </c>
      <c r="F2463">
        <v>61201</v>
      </c>
      <c r="G2463" t="s">
        <v>937</v>
      </c>
      <c r="H2463" t="s">
        <v>900</v>
      </c>
      <c r="I2463">
        <v>17704</v>
      </c>
      <c r="J2463">
        <v>14879</v>
      </c>
      <c r="K2463">
        <v>2825</v>
      </c>
      <c r="L2463">
        <v>4400</v>
      </c>
      <c r="M2463">
        <v>3600</v>
      </c>
      <c r="N2463">
        <v>800</v>
      </c>
    </row>
    <row r="2464" spans="1:14" ht="14.4">
      <c r="A2464">
        <v>13579</v>
      </c>
      <c r="B2464">
        <v>13580</v>
      </c>
      <c r="C2464">
        <v>4116</v>
      </c>
      <c r="D2464" t="s">
        <v>897</v>
      </c>
      <c r="E2464" t="s">
        <v>990</v>
      </c>
      <c r="F2464">
        <v>61102</v>
      </c>
      <c r="G2464" t="s">
        <v>991</v>
      </c>
      <c r="H2464" t="s">
        <v>900</v>
      </c>
      <c r="I2464">
        <v>5050</v>
      </c>
      <c r="J2464">
        <v>0</v>
      </c>
      <c r="K2464">
        <v>5050</v>
      </c>
      <c r="L2464">
        <v>0</v>
      </c>
      <c r="M2464">
        <v>0</v>
      </c>
      <c r="N2464">
        <v>0</v>
      </c>
    </row>
    <row r="2465" spans="1:14" ht="14.4">
      <c r="A2465">
        <v>13579</v>
      </c>
      <c r="B2465">
        <v>13580</v>
      </c>
      <c r="C2465">
        <v>4116</v>
      </c>
      <c r="D2465" t="s">
        <v>897</v>
      </c>
      <c r="E2465" t="s">
        <v>990</v>
      </c>
      <c r="F2465">
        <v>61103</v>
      </c>
      <c r="G2465" t="s">
        <v>991</v>
      </c>
      <c r="H2465" t="s">
        <v>900</v>
      </c>
      <c r="I2465">
        <v>24913</v>
      </c>
      <c r="J2465">
        <v>23128</v>
      </c>
      <c r="K2465">
        <v>1785</v>
      </c>
      <c r="L2465">
        <v>23900</v>
      </c>
      <c r="M2465">
        <v>22100</v>
      </c>
      <c r="N2465">
        <v>1800</v>
      </c>
    </row>
    <row r="2466" spans="1:14" ht="14.4">
      <c r="A2466">
        <v>13579</v>
      </c>
      <c r="B2466">
        <v>13580</v>
      </c>
      <c r="C2466">
        <v>4116</v>
      </c>
      <c r="D2466" t="s">
        <v>897</v>
      </c>
      <c r="E2466" t="s">
        <v>990</v>
      </c>
      <c r="F2466">
        <v>61107</v>
      </c>
      <c r="G2466" t="s">
        <v>991</v>
      </c>
      <c r="H2466" t="s">
        <v>900</v>
      </c>
      <c r="I2466">
        <v>44782</v>
      </c>
      <c r="J2466">
        <v>31992</v>
      </c>
      <c r="K2466">
        <v>12790</v>
      </c>
      <c r="L2466">
        <v>13500</v>
      </c>
      <c r="M2466">
        <v>11300</v>
      </c>
      <c r="N2466">
        <v>2200</v>
      </c>
    </row>
    <row r="2467" spans="1:14" ht="14.4">
      <c r="A2467">
        <v>13579</v>
      </c>
      <c r="B2467">
        <v>13580</v>
      </c>
      <c r="C2467">
        <v>4116</v>
      </c>
      <c r="D2467" t="s">
        <v>897</v>
      </c>
      <c r="E2467" t="s">
        <v>990</v>
      </c>
      <c r="F2467">
        <v>61109</v>
      </c>
      <c r="G2467" t="s">
        <v>991</v>
      </c>
      <c r="H2467" t="s">
        <v>900</v>
      </c>
      <c r="I2467">
        <v>73289</v>
      </c>
      <c r="J2467">
        <v>58529</v>
      </c>
      <c r="K2467">
        <v>14760</v>
      </c>
      <c r="L2467">
        <v>72500</v>
      </c>
      <c r="M2467">
        <v>57800</v>
      </c>
      <c r="N2467">
        <v>14700</v>
      </c>
    </row>
    <row r="2468" spans="1:14" ht="14.4">
      <c r="A2468">
        <v>13579</v>
      </c>
      <c r="B2468">
        <v>13580</v>
      </c>
      <c r="C2468">
        <v>4116</v>
      </c>
      <c r="D2468" t="s">
        <v>897</v>
      </c>
      <c r="E2468" t="s">
        <v>990</v>
      </c>
      <c r="F2468">
        <v>61114</v>
      </c>
      <c r="G2468" t="s">
        <v>991</v>
      </c>
      <c r="H2468" t="s">
        <v>900</v>
      </c>
      <c r="I2468">
        <v>23037</v>
      </c>
      <c r="J2468">
        <v>13187</v>
      </c>
      <c r="K2468">
        <v>9850</v>
      </c>
      <c r="L2468">
        <v>0</v>
      </c>
      <c r="M2468">
        <v>0</v>
      </c>
      <c r="N2468">
        <v>0</v>
      </c>
    </row>
    <row r="2469" spans="1:14" ht="14.4">
      <c r="A2469">
        <v>13579</v>
      </c>
      <c r="B2469">
        <v>13580</v>
      </c>
      <c r="C2469">
        <v>4116</v>
      </c>
      <c r="D2469" t="s">
        <v>897</v>
      </c>
      <c r="E2469" t="s">
        <v>1975</v>
      </c>
      <c r="F2469">
        <v>61562</v>
      </c>
      <c r="G2469" t="s">
        <v>908</v>
      </c>
      <c r="H2469" t="s">
        <v>900</v>
      </c>
      <c r="I2469">
        <v>310697</v>
      </c>
      <c r="J2469">
        <v>243272</v>
      </c>
      <c r="K2469">
        <v>67425</v>
      </c>
      <c r="L2469">
        <v>149100</v>
      </c>
      <c r="M2469">
        <v>119100</v>
      </c>
      <c r="N2469">
        <v>30000</v>
      </c>
    </row>
    <row r="2470" spans="1:14" ht="14.4">
      <c r="A2470">
        <v>13579</v>
      </c>
      <c r="B2470">
        <v>13580</v>
      </c>
      <c r="C2470">
        <v>4116</v>
      </c>
      <c r="D2470" t="s">
        <v>897</v>
      </c>
      <c r="E2470" t="s">
        <v>1976</v>
      </c>
      <c r="F2470">
        <v>60446</v>
      </c>
      <c r="G2470" t="s">
        <v>917</v>
      </c>
      <c r="H2470" t="s">
        <v>900</v>
      </c>
      <c r="I2470">
        <v>130991</v>
      </c>
      <c r="J2470">
        <v>103101</v>
      </c>
      <c r="K2470">
        <v>27890</v>
      </c>
      <c r="L2470">
        <v>76200</v>
      </c>
      <c r="M2470">
        <v>62800</v>
      </c>
      <c r="N2470">
        <v>13400</v>
      </c>
    </row>
    <row r="2471" spans="1:14" ht="14.4">
      <c r="A2471">
        <v>13579</v>
      </c>
      <c r="B2471">
        <v>13580</v>
      </c>
      <c r="C2471">
        <v>4116</v>
      </c>
      <c r="D2471" t="s">
        <v>897</v>
      </c>
      <c r="E2471" t="s">
        <v>726</v>
      </c>
      <c r="F2471">
        <v>60172</v>
      </c>
      <c r="G2471" t="s">
        <v>914</v>
      </c>
      <c r="H2471" t="s">
        <v>900</v>
      </c>
      <c r="I2471">
        <v>23073</v>
      </c>
      <c r="J2471">
        <v>21038</v>
      </c>
      <c r="K2471">
        <v>2035</v>
      </c>
      <c r="L2471">
        <v>14000</v>
      </c>
      <c r="M2471">
        <v>14000</v>
      </c>
      <c r="N2471">
        <v>0</v>
      </c>
    </row>
    <row r="2472" spans="1:14" ht="14.4">
      <c r="A2472">
        <v>13579</v>
      </c>
      <c r="B2472">
        <v>13580</v>
      </c>
      <c r="C2472">
        <v>4116</v>
      </c>
      <c r="D2472" t="s">
        <v>897</v>
      </c>
      <c r="E2472" t="s">
        <v>726</v>
      </c>
      <c r="F2472">
        <v>60172</v>
      </c>
      <c r="G2472" t="s">
        <v>899</v>
      </c>
      <c r="H2472" t="s">
        <v>900</v>
      </c>
      <c r="I2472">
        <v>42705</v>
      </c>
      <c r="J2472">
        <v>29450</v>
      </c>
      <c r="K2472">
        <v>13255</v>
      </c>
      <c r="L2472">
        <v>0</v>
      </c>
      <c r="M2472">
        <v>0</v>
      </c>
      <c r="N2472">
        <v>0</v>
      </c>
    </row>
    <row r="2473" spans="1:14" ht="14.4">
      <c r="A2473">
        <v>13579</v>
      </c>
      <c r="B2473">
        <v>13580</v>
      </c>
      <c r="C2473">
        <v>4116</v>
      </c>
      <c r="D2473" t="s">
        <v>897</v>
      </c>
      <c r="E2473" t="s">
        <v>1977</v>
      </c>
      <c r="F2473">
        <v>60073</v>
      </c>
      <c r="G2473" t="s">
        <v>902</v>
      </c>
      <c r="H2473" t="s">
        <v>900</v>
      </c>
      <c r="I2473">
        <v>18674</v>
      </c>
      <c r="J2473">
        <v>9074</v>
      </c>
      <c r="K2473">
        <v>9600</v>
      </c>
      <c r="L2473">
        <v>12200</v>
      </c>
      <c r="M2473">
        <v>2600</v>
      </c>
      <c r="N2473">
        <v>9600</v>
      </c>
    </row>
    <row r="2474" spans="1:14" ht="14.4">
      <c r="A2474">
        <v>13579</v>
      </c>
      <c r="B2474">
        <v>13580</v>
      </c>
      <c r="C2474">
        <v>4116</v>
      </c>
      <c r="D2474" t="s">
        <v>897</v>
      </c>
      <c r="E2474" t="s">
        <v>1978</v>
      </c>
      <c r="F2474">
        <v>60073</v>
      </c>
      <c r="G2474" t="s">
        <v>902</v>
      </c>
      <c r="H2474" t="s">
        <v>900</v>
      </c>
      <c r="I2474">
        <v>80608</v>
      </c>
      <c r="J2474">
        <v>62303</v>
      </c>
      <c r="K2474">
        <v>18305</v>
      </c>
      <c r="L2474">
        <v>57200</v>
      </c>
      <c r="M2474">
        <v>42400</v>
      </c>
      <c r="N2474">
        <v>14800</v>
      </c>
    </row>
    <row r="2475" spans="1:14" ht="14.4">
      <c r="A2475">
        <v>13579</v>
      </c>
      <c r="B2475">
        <v>13580</v>
      </c>
      <c r="C2475">
        <v>4116</v>
      </c>
      <c r="D2475" t="s">
        <v>897</v>
      </c>
      <c r="E2475" t="s">
        <v>1979</v>
      </c>
      <c r="F2475">
        <v>62681</v>
      </c>
      <c r="G2475" t="s">
        <v>1966</v>
      </c>
      <c r="H2475" t="s">
        <v>900</v>
      </c>
      <c r="I2475">
        <v>17363</v>
      </c>
      <c r="J2475">
        <v>17363</v>
      </c>
      <c r="K2475">
        <v>0</v>
      </c>
      <c r="L2475">
        <v>14000</v>
      </c>
      <c r="M2475">
        <v>14000</v>
      </c>
      <c r="N2475">
        <v>0</v>
      </c>
    </row>
    <row r="2476" spans="1:14" ht="14.4">
      <c r="A2476">
        <v>13579</v>
      </c>
      <c r="B2476">
        <v>13580</v>
      </c>
      <c r="C2476">
        <v>4116</v>
      </c>
      <c r="D2476" t="s">
        <v>897</v>
      </c>
      <c r="E2476" t="s">
        <v>1980</v>
      </c>
      <c r="F2476">
        <v>60174</v>
      </c>
      <c r="G2476" t="s">
        <v>906</v>
      </c>
      <c r="H2476" t="s">
        <v>900</v>
      </c>
      <c r="I2476">
        <v>41304</v>
      </c>
      <c r="J2476">
        <v>22599</v>
      </c>
      <c r="K2476">
        <v>18705</v>
      </c>
      <c r="L2476">
        <v>28500</v>
      </c>
      <c r="M2476">
        <v>17400</v>
      </c>
      <c r="N2476">
        <v>11100</v>
      </c>
    </row>
    <row r="2477" spans="1:14" ht="14.4">
      <c r="A2477">
        <v>13579</v>
      </c>
      <c r="B2477">
        <v>13580</v>
      </c>
      <c r="C2477">
        <v>4116</v>
      </c>
      <c r="D2477" t="s">
        <v>897</v>
      </c>
      <c r="E2477" t="s">
        <v>1981</v>
      </c>
      <c r="F2477">
        <v>60548</v>
      </c>
      <c r="G2477" t="s">
        <v>923</v>
      </c>
      <c r="H2477" t="s">
        <v>900</v>
      </c>
      <c r="I2477">
        <v>272481</v>
      </c>
      <c r="J2477">
        <v>272481</v>
      </c>
      <c r="K2477">
        <v>0</v>
      </c>
      <c r="L2477">
        <v>189400</v>
      </c>
      <c r="M2477">
        <v>189400</v>
      </c>
      <c r="N2477">
        <v>0</v>
      </c>
    </row>
    <row r="2478" spans="1:14" ht="14.4">
      <c r="A2478">
        <v>13579</v>
      </c>
      <c r="B2478">
        <v>13580</v>
      </c>
      <c r="C2478">
        <v>4116</v>
      </c>
      <c r="D2478" t="s">
        <v>897</v>
      </c>
      <c r="E2478" t="s">
        <v>1982</v>
      </c>
      <c r="F2478">
        <v>60411</v>
      </c>
      <c r="G2478" t="s">
        <v>914</v>
      </c>
      <c r="H2478" t="s">
        <v>900</v>
      </c>
      <c r="I2478">
        <v>262797</v>
      </c>
      <c r="J2478">
        <v>199897</v>
      </c>
      <c r="K2478">
        <v>62900</v>
      </c>
      <c r="L2478">
        <v>132600</v>
      </c>
      <c r="M2478">
        <v>108900</v>
      </c>
      <c r="N2478">
        <v>23700</v>
      </c>
    </row>
    <row r="2479" spans="1:14" ht="14.4">
      <c r="A2479">
        <v>13579</v>
      </c>
      <c r="B2479">
        <v>13580</v>
      </c>
      <c r="C2479">
        <v>4116</v>
      </c>
      <c r="D2479" t="s">
        <v>897</v>
      </c>
      <c r="E2479" t="s">
        <v>1983</v>
      </c>
      <c r="F2479">
        <v>60193</v>
      </c>
      <c r="G2479" t="s">
        <v>914</v>
      </c>
      <c r="H2479" t="s">
        <v>900</v>
      </c>
      <c r="I2479">
        <v>37750</v>
      </c>
      <c r="J2479">
        <v>25790</v>
      </c>
      <c r="K2479">
        <v>11960</v>
      </c>
      <c r="L2479">
        <v>34600</v>
      </c>
      <c r="M2479">
        <v>22800</v>
      </c>
      <c r="N2479">
        <v>11800</v>
      </c>
    </row>
    <row r="2480" spans="1:14" ht="14.4">
      <c r="A2480">
        <v>13579</v>
      </c>
      <c r="B2480">
        <v>13580</v>
      </c>
      <c r="C2480">
        <v>4116</v>
      </c>
      <c r="D2480" t="s">
        <v>897</v>
      </c>
      <c r="E2480" t="s">
        <v>1983</v>
      </c>
      <c r="F2480">
        <v>60194</v>
      </c>
      <c r="G2480" t="s">
        <v>914</v>
      </c>
      <c r="H2480" t="s">
        <v>900</v>
      </c>
      <c r="I2480">
        <v>6850</v>
      </c>
      <c r="J2480">
        <v>0</v>
      </c>
      <c r="K2480">
        <v>6850</v>
      </c>
      <c r="L2480">
        <v>0</v>
      </c>
      <c r="M2480">
        <v>0</v>
      </c>
      <c r="N2480">
        <v>0</v>
      </c>
    </row>
    <row r="2481" spans="1:14" ht="14.4">
      <c r="A2481">
        <v>13579</v>
      </c>
      <c r="B2481">
        <v>13580</v>
      </c>
      <c r="C2481">
        <v>4116</v>
      </c>
      <c r="D2481" t="s">
        <v>897</v>
      </c>
      <c r="E2481" t="s">
        <v>1984</v>
      </c>
      <c r="F2481">
        <v>60176</v>
      </c>
      <c r="G2481" t="s">
        <v>914</v>
      </c>
      <c r="H2481" t="s">
        <v>900</v>
      </c>
      <c r="I2481">
        <v>198850</v>
      </c>
      <c r="J2481">
        <v>149105</v>
      </c>
      <c r="K2481">
        <v>49745</v>
      </c>
      <c r="L2481">
        <v>63300</v>
      </c>
      <c r="M2481">
        <v>52400</v>
      </c>
      <c r="N2481">
        <v>10900</v>
      </c>
    </row>
    <row r="2482" spans="1:14" ht="14.4">
      <c r="A2482">
        <v>13579</v>
      </c>
      <c r="B2482">
        <v>13580</v>
      </c>
      <c r="C2482">
        <v>4116</v>
      </c>
      <c r="D2482" t="s">
        <v>897</v>
      </c>
      <c r="E2482" t="s">
        <v>1985</v>
      </c>
      <c r="F2482">
        <v>61359</v>
      </c>
      <c r="G2482" t="s">
        <v>981</v>
      </c>
      <c r="H2482" t="s">
        <v>900</v>
      </c>
      <c r="I2482">
        <v>6853</v>
      </c>
      <c r="J2482">
        <v>6553</v>
      </c>
      <c r="K2482">
        <v>300</v>
      </c>
      <c r="L2482">
        <v>0</v>
      </c>
      <c r="M2482">
        <v>0</v>
      </c>
      <c r="N2482">
        <v>0</v>
      </c>
    </row>
    <row r="2483" spans="1:14" ht="14.4">
      <c r="A2483">
        <v>13579</v>
      </c>
      <c r="B2483">
        <v>13580</v>
      </c>
      <c r="C2483">
        <v>4116</v>
      </c>
      <c r="D2483" t="s">
        <v>897</v>
      </c>
      <c r="E2483" t="s">
        <v>1986</v>
      </c>
      <c r="F2483">
        <v>61360</v>
      </c>
      <c r="G2483" t="s">
        <v>923</v>
      </c>
      <c r="H2483" t="s">
        <v>900</v>
      </c>
      <c r="I2483">
        <v>89636</v>
      </c>
      <c r="J2483">
        <v>66071</v>
      </c>
      <c r="K2483">
        <v>23565</v>
      </c>
      <c r="L2483">
        <v>44900</v>
      </c>
      <c r="M2483">
        <v>21300</v>
      </c>
      <c r="N2483">
        <v>23600</v>
      </c>
    </row>
    <row r="2484" spans="1:14" ht="14.4">
      <c r="A2484">
        <v>13579</v>
      </c>
      <c r="B2484">
        <v>13580</v>
      </c>
      <c r="C2484">
        <v>4116</v>
      </c>
      <c r="D2484" t="s">
        <v>897</v>
      </c>
      <c r="E2484" t="s">
        <v>1987</v>
      </c>
      <c r="F2484">
        <v>60549</v>
      </c>
      <c r="G2484" t="s">
        <v>923</v>
      </c>
      <c r="H2484" t="s">
        <v>900</v>
      </c>
      <c r="I2484">
        <v>28006</v>
      </c>
      <c r="J2484">
        <v>28006</v>
      </c>
      <c r="K2484">
        <v>0</v>
      </c>
      <c r="L2484">
        <v>0</v>
      </c>
      <c r="M2484">
        <v>0</v>
      </c>
      <c r="N2484">
        <v>0</v>
      </c>
    </row>
    <row r="2485" spans="1:14" ht="14.4">
      <c r="A2485">
        <v>13579</v>
      </c>
      <c r="B2485">
        <v>13580</v>
      </c>
      <c r="C2485">
        <v>4116</v>
      </c>
      <c r="D2485" t="s">
        <v>897</v>
      </c>
      <c r="E2485" t="s">
        <v>1988</v>
      </c>
      <c r="F2485">
        <v>60551</v>
      </c>
      <c r="G2485" t="s">
        <v>923</v>
      </c>
      <c r="H2485" t="s">
        <v>900</v>
      </c>
      <c r="I2485">
        <v>143505</v>
      </c>
      <c r="J2485">
        <v>122905</v>
      </c>
      <c r="K2485">
        <v>20600</v>
      </c>
      <c r="L2485">
        <v>0</v>
      </c>
      <c r="M2485">
        <v>0</v>
      </c>
      <c r="N2485">
        <v>0</v>
      </c>
    </row>
    <row r="2486" spans="1:14" ht="14.4">
      <c r="A2486">
        <v>13579</v>
      </c>
      <c r="B2486">
        <v>13580</v>
      </c>
      <c r="C2486">
        <v>4116</v>
      </c>
      <c r="D2486" t="s">
        <v>897</v>
      </c>
      <c r="E2486" t="s">
        <v>1989</v>
      </c>
      <c r="F2486">
        <v>61282</v>
      </c>
      <c r="G2486" t="s">
        <v>937</v>
      </c>
      <c r="H2486" t="s">
        <v>900</v>
      </c>
      <c r="I2486">
        <v>15648</v>
      </c>
      <c r="J2486">
        <v>11858</v>
      </c>
      <c r="K2486">
        <v>3790</v>
      </c>
      <c r="L2486">
        <v>14000</v>
      </c>
      <c r="M2486">
        <v>11500</v>
      </c>
      <c r="N2486">
        <v>2500</v>
      </c>
    </row>
    <row r="2487" spans="1:14" ht="14.4">
      <c r="A2487">
        <v>13579</v>
      </c>
      <c r="B2487">
        <v>13580</v>
      </c>
      <c r="C2487">
        <v>4116</v>
      </c>
      <c r="D2487" t="s">
        <v>897</v>
      </c>
      <c r="E2487" t="s">
        <v>992</v>
      </c>
      <c r="F2487">
        <v>60076</v>
      </c>
      <c r="G2487" t="s">
        <v>914</v>
      </c>
      <c r="H2487" t="s">
        <v>900</v>
      </c>
      <c r="I2487">
        <v>1941770</v>
      </c>
      <c r="J2487">
        <v>1401667</v>
      </c>
      <c r="K2487">
        <v>540103</v>
      </c>
      <c r="L2487">
        <v>1135000</v>
      </c>
      <c r="M2487">
        <v>770000</v>
      </c>
      <c r="N2487">
        <v>365000</v>
      </c>
    </row>
    <row r="2488" spans="1:14" ht="14.4">
      <c r="A2488">
        <v>13579</v>
      </c>
      <c r="B2488">
        <v>13580</v>
      </c>
      <c r="C2488">
        <v>4116</v>
      </c>
      <c r="D2488" t="s">
        <v>897</v>
      </c>
      <c r="E2488" t="s">
        <v>992</v>
      </c>
      <c r="F2488">
        <v>60077</v>
      </c>
      <c r="G2488" t="s">
        <v>914</v>
      </c>
      <c r="H2488" t="s">
        <v>900</v>
      </c>
      <c r="I2488">
        <v>573508</v>
      </c>
      <c r="J2488">
        <v>435478</v>
      </c>
      <c r="K2488">
        <v>138030</v>
      </c>
      <c r="L2488">
        <v>266800</v>
      </c>
      <c r="M2488">
        <v>193200</v>
      </c>
      <c r="N2488">
        <v>73600</v>
      </c>
    </row>
    <row r="2489" spans="1:14" ht="14.4">
      <c r="A2489">
        <v>13579</v>
      </c>
      <c r="B2489">
        <v>13580</v>
      </c>
      <c r="C2489">
        <v>4116</v>
      </c>
      <c r="D2489" t="s">
        <v>897</v>
      </c>
      <c r="E2489" t="s">
        <v>992</v>
      </c>
      <c r="F2489">
        <v>60203</v>
      </c>
      <c r="G2489" t="s">
        <v>914</v>
      </c>
      <c r="H2489" t="s">
        <v>900</v>
      </c>
      <c r="I2489">
        <v>22975</v>
      </c>
      <c r="J2489">
        <v>15600</v>
      </c>
      <c r="K2489">
        <v>7375</v>
      </c>
      <c r="L2489">
        <v>3900</v>
      </c>
      <c r="M2489">
        <v>300</v>
      </c>
      <c r="N2489">
        <v>3600</v>
      </c>
    </row>
    <row r="2490" spans="1:14" ht="14.4">
      <c r="A2490">
        <v>13579</v>
      </c>
      <c r="B2490">
        <v>13580</v>
      </c>
      <c r="C2490">
        <v>4116</v>
      </c>
      <c r="D2490" t="s">
        <v>897</v>
      </c>
      <c r="E2490" t="s">
        <v>1990</v>
      </c>
      <c r="F2490">
        <v>60118</v>
      </c>
      <c r="G2490" t="s">
        <v>906</v>
      </c>
      <c r="H2490" t="s">
        <v>900</v>
      </c>
      <c r="I2490">
        <v>9440</v>
      </c>
      <c r="J2490">
        <v>0</v>
      </c>
      <c r="K2490">
        <v>9440</v>
      </c>
      <c r="L2490">
        <v>9500</v>
      </c>
      <c r="M2490">
        <v>0</v>
      </c>
      <c r="N2490">
        <v>9500</v>
      </c>
    </row>
    <row r="2491" spans="1:14" ht="14.4">
      <c r="A2491">
        <v>13579</v>
      </c>
      <c r="B2491">
        <v>13580</v>
      </c>
      <c r="C2491">
        <v>4116</v>
      </c>
      <c r="D2491" t="s">
        <v>897</v>
      </c>
      <c r="E2491" t="s">
        <v>1991</v>
      </c>
      <c r="F2491">
        <v>60552</v>
      </c>
      <c r="G2491" t="s">
        <v>1859</v>
      </c>
      <c r="H2491" t="s">
        <v>900</v>
      </c>
      <c r="I2491">
        <v>4650</v>
      </c>
      <c r="J2491">
        <v>0</v>
      </c>
      <c r="K2491">
        <v>4650</v>
      </c>
      <c r="L2491">
        <v>4700</v>
      </c>
      <c r="M2491">
        <v>0</v>
      </c>
      <c r="N2491">
        <v>4700</v>
      </c>
    </row>
    <row r="2492" spans="1:14" ht="14.4">
      <c r="A2492">
        <v>13579</v>
      </c>
      <c r="B2492">
        <v>13580</v>
      </c>
      <c r="C2492">
        <v>4116</v>
      </c>
      <c r="D2492" t="s">
        <v>897</v>
      </c>
      <c r="E2492" t="s">
        <v>1992</v>
      </c>
      <c r="F2492">
        <v>61080</v>
      </c>
      <c r="G2492" t="s">
        <v>991</v>
      </c>
      <c r="H2492" t="s">
        <v>900</v>
      </c>
      <c r="I2492">
        <v>26898</v>
      </c>
      <c r="J2492">
        <v>26898</v>
      </c>
      <c r="K2492">
        <v>0</v>
      </c>
      <c r="L2492">
        <v>0</v>
      </c>
      <c r="M2492">
        <v>0</v>
      </c>
      <c r="N2492">
        <v>0</v>
      </c>
    </row>
    <row r="2493" spans="1:14" ht="14.4">
      <c r="A2493">
        <v>13579</v>
      </c>
      <c r="B2493">
        <v>13580</v>
      </c>
      <c r="C2493">
        <v>4116</v>
      </c>
      <c r="D2493" t="s">
        <v>897</v>
      </c>
      <c r="E2493" t="s">
        <v>993</v>
      </c>
      <c r="F2493">
        <v>60177</v>
      </c>
      <c r="G2493" t="s">
        <v>906</v>
      </c>
      <c r="H2493" t="s">
        <v>900</v>
      </c>
      <c r="I2493">
        <v>121699</v>
      </c>
      <c r="J2493">
        <v>108814</v>
      </c>
      <c r="K2493">
        <v>12885</v>
      </c>
      <c r="L2493">
        <v>0</v>
      </c>
      <c r="M2493">
        <v>0</v>
      </c>
      <c r="N2493">
        <v>0</v>
      </c>
    </row>
    <row r="2494" spans="1:14" ht="14.4">
      <c r="A2494">
        <v>13579</v>
      </c>
      <c r="B2494">
        <v>13580</v>
      </c>
      <c r="C2494">
        <v>4116</v>
      </c>
      <c r="D2494" t="s">
        <v>897</v>
      </c>
      <c r="E2494" t="s">
        <v>994</v>
      </c>
      <c r="F2494">
        <v>60473</v>
      </c>
      <c r="G2494" t="s">
        <v>914</v>
      </c>
      <c r="H2494" t="s">
        <v>900</v>
      </c>
      <c r="I2494">
        <v>2585562</v>
      </c>
      <c r="J2494">
        <v>1891635</v>
      </c>
      <c r="K2494">
        <v>693927</v>
      </c>
      <c r="L2494">
        <v>1179500</v>
      </c>
      <c r="M2494">
        <v>899900</v>
      </c>
      <c r="N2494">
        <v>279600</v>
      </c>
    </row>
    <row r="2495" spans="1:14" ht="14.4">
      <c r="A2495">
        <v>13579</v>
      </c>
      <c r="B2495">
        <v>13580</v>
      </c>
      <c r="C2495">
        <v>4116</v>
      </c>
      <c r="D2495" t="s">
        <v>897</v>
      </c>
      <c r="E2495" t="s">
        <v>1993</v>
      </c>
      <c r="F2495">
        <v>61565</v>
      </c>
      <c r="G2495" t="s">
        <v>1903</v>
      </c>
      <c r="H2495" t="s">
        <v>900</v>
      </c>
      <c r="I2495">
        <v>27021</v>
      </c>
      <c r="J2495">
        <v>23201</v>
      </c>
      <c r="K2495">
        <v>3820</v>
      </c>
      <c r="L2495">
        <v>23700</v>
      </c>
      <c r="M2495">
        <v>19900</v>
      </c>
      <c r="N2495">
        <v>3800</v>
      </c>
    </row>
    <row r="2496" spans="1:14" ht="14.4">
      <c r="A2496">
        <v>13579</v>
      </c>
      <c r="B2496">
        <v>13580</v>
      </c>
      <c r="C2496">
        <v>4116</v>
      </c>
      <c r="D2496" t="s">
        <v>897</v>
      </c>
      <c r="E2496" t="s">
        <v>1994</v>
      </c>
      <c r="F2496">
        <v>60076</v>
      </c>
      <c r="G2496" t="s">
        <v>914</v>
      </c>
      <c r="H2496" t="s">
        <v>900</v>
      </c>
      <c r="I2496">
        <v>28198</v>
      </c>
      <c r="J2496">
        <v>15298</v>
      </c>
      <c r="K2496">
        <v>12900</v>
      </c>
      <c r="L2496">
        <v>18200</v>
      </c>
      <c r="M2496">
        <v>15300</v>
      </c>
      <c r="N2496">
        <v>2900</v>
      </c>
    </row>
    <row r="2497" spans="1:14" ht="14.4">
      <c r="A2497">
        <v>13579</v>
      </c>
      <c r="B2497">
        <v>13580</v>
      </c>
      <c r="C2497">
        <v>4116</v>
      </c>
      <c r="D2497" t="s">
        <v>897</v>
      </c>
      <c r="E2497" t="s">
        <v>1995</v>
      </c>
      <c r="F2497">
        <v>61611</v>
      </c>
      <c r="G2497" t="s">
        <v>988</v>
      </c>
      <c r="H2497" t="s">
        <v>900</v>
      </c>
      <c r="I2497">
        <v>213110</v>
      </c>
      <c r="J2497">
        <v>168060</v>
      </c>
      <c r="K2497">
        <v>45050</v>
      </c>
      <c r="L2497">
        <v>93200</v>
      </c>
      <c r="M2497">
        <v>61400</v>
      </c>
      <c r="N2497">
        <v>31800</v>
      </c>
    </row>
    <row r="2498" spans="1:14" ht="14.4">
      <c r="A2498">
        <v>13579</v>
      </c>
      <c r="B2498">
        <v>13580</v>
      </c>
      <c r="C2498">
        <v>4116</v>
      </c>
      <c r="D2498" t="s">
        <v>897</v>
      </c>
      <c r="E2498" t="s">
        <v>1996</v>
      </c>
      <c r="F2498">
        <v>60081</v>
      </c>
      <c r="G2498" t="s">
        <v>902</v>
      </c>
      <c r="H2498" t="s">
        <v>900</v>
      </c>
      <c r="I2498">
        <v>2951</v>
      </c>
      <c r="J2498">
        <v>2951</v>
      </c>
      <c r="K2498">
        <v>0</v>
      </c>
      <c r="L2498">
        <v>3000</v>
      </c>
      <c r="M2498">
        <v>3000</v>
      </c>
      <c r="N2498">
        <v>0</v>
      </c>
    </row>
    <row r="2499" spans="1:14" ht="14.4">
      <c r="A2499">
        <v>13579</v>
      </c>
      <c r="B2499">
        <v>13580</v>
      </c>
      <c r="C2499">
        <v>4116</v>
      </c>
      <c r="D2499" t="s">
        <v>897</v>
      </c>
      <c r="E2499" t="s">
        <v>1996</v>
      </c>
      <c r="F2499">
        <v>60081</v>
      </c>
      <c r="G2499" t="s">
        <v>1812</v>
      </c>
      <c r="H2499" t="s">
        <v>900</v>
      </c>
      <c r="I2499">
        <v>44579</v>
      </c>
      <c r="J2499">
        <v>39079</v>
      </c>
      <c r="K2499">
        <v>5500</v>
      </c>
      <c r="L2499">
        <v>43300</v>
      </c>
      <c r="M2499">
        <v>37800</v>
      </c>
      <c r="N2499">
        <v>5500</v>
      </c>
    </row>
    <row r="2500" spans="1:14" ht="14.4">
      <c r="A2500">
        <v>13579</v>
      </c>
      <c r="B2500">
        <v>13580</v>
      </c>
      <c r="C2500">
        <v>4116</v>
      </c>
      <c r="D2500" t="s">
        <v>897</v>
      </c>
      <c r="E2500" t="s">
        <v>1997</v>
      </c>
      <c r="F2500">
        <v>60174</v>
      </c>
      <c r="G2500" t="s">
        <v>906</v>
      </c>
      <c r="H2500" t="s">
        <v>900</v>
      </c>
      <c r="I2500">
        <v>78093</v>
      </c>
      <c r="J2500">
        <v>61453</v>
      </c>
      <c r="K2500">
        <v>16640</v>
      </c>
      <c r="L2500">
        <v>46100</v>
      </c>
      <c r="M2500">
        <v>38100</v>
      </c>
      <c r="N2500">
        <v>8000</v>
      </c>
    </row>
  </sheetData>
  <sheetProtection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Budget Analysis</vt:lpstr>
      <vt:lpstr>Sensitivity Analysis</vt:lpstr>
      <vt:lpstr>Commercial Data</vt:lpstr>
      <vt:lpstr>Residential Data</vt:lpstr>
    </vt:vector>
  </TitlesOfParts>
  <Template/>
  <Manager/>
  <Company/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Alexander Jakabcsin</dc:creator>
  <cp:keywords/>
  <dc:description/>
  <cp:lastModifiedBy>Benjamin Alexander Jakabcsin</cp:lastModifiedBy>
  <dcterms:created xsi:type="dcterms:W3CDTF">2023-12-04T02:35:18Z</dcterms:created>
  <dcterms:modified xsi:type="dcterms:W3CDTF">2023-12-05T04:29:03Z</dcterms:modified>
  <cp:category/>
</cp:coreProperties>
</file>