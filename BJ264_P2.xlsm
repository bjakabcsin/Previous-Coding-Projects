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printerSettings/printerSettings1.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https://georgetown1-my.sharepoint.com/personal/bj264_georgetown_edu/Documents/"/>
    </mc:Choice>
  </mc:AlternateContent>
  <xr:revisionPtr revIDLastSave="1" documentId="8_{B9DB2C36-1FD8-4561-8843-3DE77351A89C}" xr6:coauthVersionLast="47" xr6:coauthVersionMax="47" xr10:uidLastSave="{E05397BC-65EE-42FD-80FA-22AA6B8B3094}"/>
  <bookViews>
    <workbookView minimized="1" xWindow="0" yWindow="708" windowWidth="20028" windowHeight="11184" xr2:uid="{00000000-000D-0000-FFFF-FFFF00000000}"/>
  </bookViews>
  <sheets>
    <sheet name="Retire" sheetId="1" r:id="rId1"/>
    <sheet name="Display" sheetId="2" r:id="rId2"/>
  </sheets>
  <functionGroups builtInGroupCount="19"/>
  <definedNames>
    <definedName name="Data">Display!$A$1:$F$1200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1" l="1"/>
  <c r="D14" i="1"/>
  <c r="D13" i="1"/>
  <c r="D12" i="1"/>
  <c r="D9" i="1" l="1"/>
  <c r="B1" i="2" s="1"/>
  <c r="D18" i="1"/>
  <c r="G9" i="1"/>
  <c r="D25" i="1"/>
  <c r="D24" i="1"/>
  <c r="D23" i="1"/>
  <c r="E23" i="1"/>
  <c r="D22" i="1"/>
</calcChain>
</file>

<file path=xl/sharedStrings.xml><?xml version="1.0" encoding="utf-8"?>
<sst xmlns="http://schemas.openxmlformats.org/spreadsheetml/2006/main" count="263" uniqueCount="263">
  <si>
    <t>Balance:</t>
  </si>
  <si>
    <t>Withdrawal Percentage:</t>
  </si>
  <si>
    <t>Minimum Withdrawal Amount:</t>
  </si>
  <si>
    <t>Annual Investment Return Rate:</t>
  </si>
  <si>
    <t>This system is designed to help you plan your retirement savings.  Please enter: 1) your current retirement account balance, 2) the annual investment return rate earned on your mutual fund account, 3) the minimum monthly withdrawal (e.g., $4,000), and 4) the percentage of the outstanding balance used to determine your monthly withdrawal (if greater than minimum).  Remember, your payment will be determined monthly and will be either the set minimum withdrawal or the percentage of the balance whichever is greater.</t>
  </si>
  <si>
    <t>Minimum Annual Interest Rate:</t>
  </si>
  <si>
    <t>Maximum Annual Interest Rate:</t>
  </si>
  <si>
    <t>Age at Retirement:</t>
  </si>
  <si>
    <t>Demographics</t>
  </si>
  <si>
    <t>Expected Age at Death</t>
  </si>
  <si>
    <t xml:space="preserve">Payment # </t>
  </si>
  <si>
    <t>Balance</t>
  </si>
  <si>
    <t>----------</t>
  </si>
  <si>
    <t>Withdrawal Amount</t>
  </si>
  <si>
    <t>Interest rate</t>
  </si>
  <si>
    <t>Interest</t>
  </si>
  <si>
    <t>Cumulative Withdrawals</t>
  </si>
  <si>
    <t>Starting Balance</t>
  </si>
  <si>
    <t>Age 67 years and 1 months</t>
  </si>
  <si>
    <t>Age 67 years and 2 months</t>
  </si>
  <si>
    <t>Age 67 years and 3 months</t>
  </si>
  <si>
    <t>Age 67 years and 4 months</t>
  </si>
  <si>
    <t>Age 67 years and 5 months</t>
  </si>
  <si>
    <t>Age 67 years and 6 months</t>
  </si>
  <si>
    <t>Age 67 years and 7 months</t>
  </si>
  <si>
    <t>Age 67 years and 8 months</t>
  </si>
  <si>
    <t>Age 67 years and 9 months</t>
  </si>
  <si>
    <t>Age 67 years and 10 months</t>
  </si>
  <si>
    <t>Age 67 years and 11 months</t>
  </si>
  <si>
    <t>Age 68 years and 12 months</t>
  </si>
  <si>
    <t>Age 68 years and 1 months</t>
  </si>
  <si>
    <t>Age 68 years and 2 months</t>
  </si>
  <si>
    <t>Age 68 years and 3 months</t>
  </si>
  <si>
    <t>Age 68 years and 4 months</t>
  </si>
  <si>
    <t>Age 68 years and 5 months</t>
  </si>
  <si>
    <t>Age 68 years and 6 months</t>
  </si>
  <si>
    <t>Age 68 years and 7 months</t>
  </si>
  <si>
    <t>Age 68 years and 8 months</t>
  </si>
  <si>
    <t>Age 68 years and 9 months</t>
  </si>
  <si>
    <t>Age 68 years and 10 months</t>
  </si>
  <si>
    <t>Age 68 years and 11 months</t>
  </si>
  <si>
    <t>Age 69 years and 12 months</t>
  </si>
  <si>
    <t>Age 69 years and 1 months</t>
  </si>
  <si>
    <t>Age 69 years and 2 months</t>
  </si>
  <si>
    <t>Age 69 years and 3 months</t>
  </si>
  <si>
    <t>Age 69 years and 4 months</t>
  </si>
  <si>
    <t>Age 69 years and 5 months</t>
  </si>
  <si>
    <t>Age 69 years and 6 months</t>
  </si>
  <si>
    <t>Age 69 years and 7 months</t>
  </si>
  <si>
    <t>Age 69 years and 8 months</t>
  </si>
  <si>
    <t>Age 69 years and 9 months</t>
  </si>
  <si>
    <t>Age 69 years and 10 months</t>
  </si>
  <si>
    <t>Age 69 years and 11 months</t>
  </si>
  <si>
    <t>Age 70 years and 12 months</t>
  </si>
  <si>
    <t>Age 70 years and 1 months</t>
  </si>
  <si>
    <t>Age 70 years and 2 months</t>
  </si>
  <si>
    <t>Age 70 years and 3 months</t>
  </si>
  <si>
    <t>Age 70 years and 4 months</t>
  </si>
  <si>
    <t>Age 70 years and 5 months</t>
  </si>
  <si>
    <t>Age 70 years and 6 months</t>
  </si>
  <si>
    <t>Age 70 years and 7 months</t>
  </si>
  <si>
    <t>Age 70 years and 8 months</t>
  </si>
  <si>
    <t>Age 70 years and 9 months</t>
  </si>
  <si>
    <t>Age 70 years and 10 months</t>
  </si>
  <si>
    <t>Age 70 years and 11 months</t>
  </si>
  <si>
    <t>Age 71 years and 12 months</t>
  </si>
  <si>
    <t>Age 71 years and 1 months</t>
  </si>
  <si>
    <t>Age 71 years and 2 months</t>
  </si>
  <si>
    <t>Age 71 years and 3 months</t>
  </si>
  <si>
    <t>Age 71 years and 4 months</t>
  </si>
  <si>
    <t>Age 71 years and 5 months</t>
  </si>
  <si>
    <t>Age 71 years and 6 months</t>
  </si>
  <si>
    <t>Age 71 years and 7 months</t>
  </si>
  <si>
    <t>Age 71 years and 8 months</t>
  </si>
  <si>
    <t>Age 71 years and 9 months</t>
  </si>
  <si>
    <t>Age 71 years and 10 months</t>
  </si>
  <si>
    <t>Age 71 years and 11 months</t>
  </si>
  <si>
    <t>Age 72 years and 12 months</t>
  </si>
  <si>
    <t>Age 72 years and 1 months</t>
  </si>
  <si>
    <t>Age 72 years and 2 months</t>
  </si>
  <si>
    <t>Age 72 years and 3 months</t>
  </si>
  <si>
    <t>Age 72 years and 4 months</t>
  </si>
  <si>
    <t>Age 72 years and 5 months</t>
  </si>
  <si>
    <t>Age 72 years and 6 months</t>
  </si>
  <si>
    <t>Age 72 years and 7 months</t>
  </si>
  <si>
    <t>Age 72 years and 8 months</t>
  </si>
  <si>
    <t>Age 72 years and 9 months</t>
  </si>
  <si>
    <t>Age 72 years and 10 months</t>
  </si>
  <si>
    <t>Age 72 years and 11 months</t>
  </si>
  <si>
    <t>Age 73 years and 12 months</t>
  </si>
  <si>
    <t>Age 73 years and 1 months</t>
  </si>
  <si>
    <t>Age 73 years and 2 months</t>
  </si>
  <si>
    <t>Age 73 years and 3 months</t>
  </si>
  <si>
    <t>Age 73 years and 4 months</t>
  </si>
  <si>
    <t>Age 73 years and 5 months</t>
  </si>
  <si>
    <t>Age 73 years and 6 months</t>
  </si>
  <si>
    <t>Age 73 years and 7 months</t>
  </si>
  <si>
    <t>Age 73 years and 8 months</t>
  </si>
  <si>
    <t>Age 73 years and 9 months</t>
  </si>
  <si>
    <t>Age 73 years and 10 months</t>
  </si>
  <si>
    <t>Age 73 years and 11 months</t>
  </si>
  <si>
    <t>Age 74 years and 12 months</t>
  </si>
  <si>
    <t>Age 74 years and 1 months</t>
  </si>
  <si>
    <t>Age 74 years and 2 months</t>
  </si>
  <si>
    <t>Age 74 years and 3 months</t>
  </si>
  <si>
    <t>Age 74 years and 4 months</t>
  </si>
  <si>
    <t>Age 74 years and 5 months</t>
  </si>
  <si>
    <t>Age 74 years and 6 months</t>
  </si>
  <si>
    <t>Age 74 years and 7 months</t>
  </si>
  <si>
    <t>Age 74 years and 8 months</t>
  </si>
  <si>
    <t>Age 74 years and 9 months</t>
  </si>
  <si>
    <t>Age 74 years and 10 months</t>
  </si>
  <si>
    <t>Age 74 years and 11 months</t>
  </si>
  <si>
    <t>Age 75 years and 12 months</t>
  </si>
  <si>
    <t>Age 75 years and 1 months</t>
  </si>
  <si>
    <t>Age 75 years and 2 months</t>
  </si>
  <si>
    <t>Age 75 years and 3 months</t>
  </si>
  <si>
    <t>Age 75 years and 4 months</t>
  </si>
  <si>
    <t>Age 75 years and 5 months</t>
  </si>
  <si>
    <t>Age 75 years and 6 months</t>
  </si>
  <si>
    <t>Age 75 years and 7 months</t>
  </si>
  <si>
    <t>Age 75 years and 8 months</t>
  </si>
  <si>
    <t>Age 75 years and 9 months</t>
  </si>
  <si>
    <t>Age 75 years and 10 months</t>
  </si>
  <si>
    <t>Age 75 years and 11 months</t>
  </si>
  <si>
    <t>Age 76 years and 12 months</t>
  </si>
  <si>
    <t>Age 76 years and 1 months</t>
  </si>
  <si>
    <t>Age 76 years and 2 months</t>
  </si>
  <si>
    <t>Age 76 years and 3 months</t>
  </si>
  <si>
    <t>Age 76 years and 4 months</t>
  </si>
  <si>
    <t>Age 76 years and 5 months</t>
  </si>
  <si>
    <t>Age 76 years and 6 months</t>
  </si>
  <si>
    <t>Age 76 years and 7 months</t>
  </si>
  <si>
    <t>Age 76 years and 8 months</t>
  </si>
  <si>
    <t>Age 76 years and 9 months</t>
  </si>
  <si>
    <t>Age 76 years and 10 months</t>
  </si>
  <si>
    <t>Age 76 years and 11 months</t>
  </si>
  <si>
    <t>Age 77 years and 12 months</t>
  </si>
  <si>
    <t>Age 77 years and 1 months</t>
  </si>
  <si>
    <t>Age 77 years and 2 months</t>
  </si>
  <si>
    <t>Age 77 years and 3 months</t>
  </si>
  <si>
    <t>Age 77 years and 4 months</t>
  </si>
  <si>
    <t>Age 77 years and 5 months</t>
  </si>
  <si>
    <t>Age 77 years and 6 months</t>
  </si>
  <si>
    <t>Age 77 years and 7 months</t>
  </si>
  <si>
    <t>Age 77 years and 8 months</t>
  </si>
  <si>
    <t>Age 77 years and 9 months</t>
  </si>
  <si>
    <t>Age 77 years and 10 months</t>
  </si>
  <si>
    <t>Age 77 years and 11 months</t>
  </si>
  <si>
    <t>Age 78 years and 12 months</t>
  </si>
  <si>
    <t>Age 78 years and 1 months</t>
  </si>
  <si>
    <t>Age 78 years and 2 months</t>
  </si>
  <si>
    <t>Age 78 years and 3 months</t>
  </si>
  <si>
    <t>Age 78 years and 4 months</t>
  </si>
  <si>
    <t>Age 78 years and 5 months</t>
  </si>
  <si>
    <t>Age 78 years and 6 months</t>
  </si>
  <si>
    <t>Age 78 years and 7 months</t>
  </si>
  <si>
    <t>Age 78 years and 8 months</t>
  </si>
  <si>
    <t>Age 78 years and 9 months</t>
  </si>
  <si>
    <t>Age 78 years and 10 months</t>
  </si>
  <si>
    <t>Age 78 years and 11 months</t>
  </si>
  <si>
    <t>Age 79 years and 12 months</t>
  </si>
  <si>
    <t>Age 79 years and 1 months</t>
  </si>
  <si>
    <t>Age 79 years and 2 months</t>
  </si>
  <si>
    <t>Age 79 years and 3 months</t>
  </si>
  <si>
    <t>Age 79 years and 4 months</t>
  </si>
  <si>
    <t>Age 79 years and 5 months</t>
  </si>
  <si>
    <t>Age 79 years and 6 months</t>
  </si>
  <si>
    <t>Age 79 years and 7 months</t>
  </si>
  <si>
    <t>Age 79 years and 8 months</t>
  </si>
  <si>
    <t>Age 79 years and 9 months</t>
  </si>
  <si>
    <t>Age 79 years and 10 months</t>
  </si>
  <si>
    <t>Age 79 years and 11 months</t>
  </si>
  <si>
    <t>Age 80 years and 12 months</t>
  </si>
  <si>
    <t>Age 80 years and 1 months</t>
  </si>
  <si>
    <t>Age 80 years and 2 months</t>
  </si>
  <si>
    <t>Age 80 years and 3 months</t>
  </si>
  <si>
    <t>Age 80 years and 4 months</t>
  </si>
  <si>
    <t>Age 80 years and 5 months</t>
  </si>
  <si>
    <t>Age 80 years and 6 months</t>
  </si>
  <si>
    <t>Age 80 years and 7 months</t>
  </si>
  <si>
    <t>Age 80 years and 8 months</t>
  </si>
  <si>
    <t>Age 80 years and 9 months</t>
  </si>
  <si>
    <t>Age 80 years and 10 months</t>
  </si>
  <si>
    <t>Age 80 years and 11 months</t>
  </si>
  <si>
    <t>Age 81 years and 12 months</t>
  </si>
  <si>
    <t>Age 81 years and 1 months</t>
  </si>
  <si>
    <t>Age 81 years and 2 months</t>
  </si>
  <si>
    <t>Age 81 years and 3 months</t>
  </si>
  <si>
    <t>Age 81 years and 4 months</t>
  </si>
  <si>
    <t>Age 81 years and 5 months</t>
  </si>
  <si>
    <t>Age 81 years and 6 months</t>
  </si>
  <si>
    <t>Age 81 years and 7 months</t>
  </si>
  <si>
    <t>Age 81 years and 8 months</t>
  </si>
  <si>
    <t>Age 81 years and 9 months</t>
  </si>
  <si>
    <t>Age 81 years and 10 months</t>
  </si>
  <si>
    <t>Age 81 years and 11 months</t>
  </si>
  <si>
    <t>Age 82 years and 12 months</t>
  </si>
  <si>
    <t>Age 82 years and 1 months</t>
  </si>
  <si>
    <t>Age 82 years and 2 months</t>
  </si>
  <si>
    <t>Age 82 years and 3 months</t>
  </si>
  <si>
    <t>Age 82 years and 4 months</t>
  </si>
  <si>
    <t>Age 82 years and 5 months</t>
  </si>
  <si>
    <t>Age 82 years and 6 months</t>
  </si>
  <si>
    <t>Age 82 years and 7 months</t>
  </si>
  <si>
    <t>Age 82 years and 8 months</t>
  </si>
  <si>
    <t>Age 82 years and 9 months</t>
  </si>
  <si>
    <t>Age 82 years and 10 months</t>
  </si>
  <si>
    <t>Age 82 years and 11 months</t>
  </si>
  <si>
    <t>Age 83 years and 12 months</t>
  </si>
  <si>
    <t>Age 83 years and 1 months</t>
  </si>
  <si>
    <t>Age 83 years and 2 months</t>
  </si>
  <si>
    <t>Age 83 years and 3 months</t>
  </si>
  <si>
    <t>Age 83 years and 4 months</t>
  </si>
  <si>
    <t>Age 83 years and 5 months</t>
  </si>
  <si>
    <t>Age 83 years and 6 months</t>
  </si>
  <si>
    <t>Age 83 years and 7 months</t>
  </si>
  <si>
    <t>Age 83 years and 8 months</t>
  </si>
  <si>
    <t>Age 83 years and 9 months</t>
  </si>
  <si>
    <t>Age 83 years and 10 months</t>
  </si>
  <si>
    <t>Age 83 years and 11 months</t>
  </si>
  <si>
    <t>Age 84 years and 12 months</t>
  </si>
  <si>
    <t>Age 84 years and 1 months</t>
  </si>
  <si>
    <t>Age 84 years and 2 months</t>
  </si>
  <si>
    <t>Age 84 years and 3 months</t>
  </si>
  <si>
    <t>Age 84 years and 4 months</t>
  </si>
  <si>
    <t>Age 84 years and 5 months</t>
  </si>
  <si>
    <t>Age 84 years and 6 months</t>
  </si>
  <si>
    <t>Age 84 years and 7 months</t>
  </si>
  <si>
    <t>Age 84 years and 8 months</t>
  </si>
  <si>
    <t>Age 84 years and 9 months</t>
  </si>
  <si>
    <t>Age 84 years and 10 months</t>
  </si>
  <si>
    <t>Age 84 years and 11 months</t>
  </si>
  <si>
    <t>Age 85 years and 12 months</t>
  </si>
  <si>
    <t>Age 85 years and 1 months</t>
  </si>
  <si>
    <t>Age 85 years and 2 months</t>
  </si>
  <si>
    <t>Age 85 years and 3 months</t>
  </si>
  <si>
    <t>Age 85 years and 4 months</t>
  </si>
  <si>
    <t>Age 85 years and 5 months</t>
  </si>
  <si>
    <t>Age 85 years and 6 months</t>
  </si>
  <si>
    <t>Age 85 years and 7 months</t>
  </si>
  <si>
    <t>Age 85 years and 8 months</t>
  </si>
  <si>
    <t>Age 85 years and 9 months</t>
  </si>
  <si>
    <t>Age 85 years and 10 months</t>
  </si>
  <si>
    <t>Age 85 years and 11 months</t>
  </si>
  <si>
    <t>Age 86 years and 12 months</t>
  </si>
  <si>
    <t>Age 86 years and 1 months</t>
  </si>
  <si>
    <t>Age 86 years and 2 months</t>
  </si>
  <si>
    <t>Age 86 years and 3 months</t>
  </si>
  <si>
    <t>Age 86 years and 4 months</t>
  </si>
  <si>
    <t>Age 86 years and 5 months</t>
  </si>
  <si>
    <t>Age 86 years and 6 months</t>
  </si>
  <si>
    <t>Age 86 years and 7 months</t>
  </si>
  <si>
    <t>Age 86 years and 8 months</t>
  </si>
  <si>
    <t>Age 86 years and 9 months</t>
  </si>
  <si>
    <t>Age 86 years and 10 months</t>
  </si>
  <si>
    <t>Age 86 years and 11 months</t>
  </si>
  <si>
    <t>Age 87 years and 12 months</t>
  </si>
  <si>
    <t>Age 87 years and 1 months</t>
  </si>
  <si>
    <t>Age 87 years and 2 months</t>
  </si>
  <si>
    <t>Age 87 years and 3 months</t>
  </si>
  <si>
    <t>Age 87 years and 4 months</t>
  </si>
  <si>
    <t>Age 87 years and 5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</si>
</sst>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quot;$&quot;#,##0.00"/>
    <numFmt numFmtId="165" formatCode="0.0%"/>
  </numFmts>
  <fonts count="5" x14ac:knownFonts="1">
    <font>
      <sz val="10"/>
      <name val="Arial"/>
    </font>
    <font>
      <sz val="10"/>
      <name val="Times"/>
      <family val="1"/>
    </font>
    <font>
      <sz val="10"/>
      <name val="Arial"/>
      <family val="2"/>
    </font>
    <font>
      <sz val="10"/>
      <name val="Arial"/>
      <family val="2"/>
    </font>
    <font>
      <sz val="10"/>
      <color theme="0"/>
      <name val="Arial"/>
      <family val="2"/>
    </font>
  </fonts>
  <fills count="2">
    <fill>
      <patternFill patternType="none"/>
    </fill>
    <fill>
      <patternFill patternType="gray125"/>
    </fill>
  </fills>
  <borders count="24">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2">
    <xf numFmtId="0" fontId="0" fillId="0" borderId="0"/>
    <xf numFmtId="9" fontId="3" fillId="0" borderId="0" applyFont="0" applyFill="0" applyBorder="0" applyAlignment="0" applyProtection="0"/>
  </cellStyleXfs>
  <cellXfs count="42">
    <xf numFmtId="0" fontId="0" fillId="0" borderId="0" xfId="0"/>
    <xf numFmtId="0" fontId="1" fillId="0" borderId="0" xfId="0" applyFont="1"/>
    <xf numFmtId="164" fontId="1" fillId="0" borderId="0" xfId="0" applyNumberFormat="1" applyFont="1"/>
    <xf numFmtId="165" fontId="0" fillId="0" borderId="0" xfId="0" applyNumberFormat="1"/>
    <xf numFmtId="0" fontId="0" fillId="0" borderId="13" xfId="0" applyBorder="1"/>
    <xf numFmtId="0" fontId="0" fillId="0" borderId="15" xfId="0" applyBorder="1"/>
    <xf numFmtId="0" fontId="2" fillId="0" borderId="16" xfId="0" applyFont="1" applyBorder="1"/>
    <xf numFmtId="0" fontId="2" fillId="0" borderId="20" xfId="0" applyFont="1" applyBorder="1"/>
    <xf numFmtId="0" fontId="2" fillId="0" borderId="22" xfId="0" applyFont="1" applyBorder="1"/>
    <xf numFmtId="0" fontId="1" fillId="0" borderId="0" xfId="0" quotePrefix="1" applyFont="1"/>
    <xf numFmtId="8" fontId="1" fillId="0" borderId="0" xfId="0" applyNumberFormat="1" applyFont="1"/>
    <xf numFmtId="10" fontId="1" fillId="0" borderId="0" xfId="1" applyNumberFormat="1" applyFont="1"/>
    <xf numFmtId="0" fontId="0" fillId="0" borderId="0" xfId="0" applyProtection="1">
      <protection locked="0"/>
    </xf>
    <xf numFmtId="0" fontId="0" fillId="0" borderId="0" xfId="0" applyProtection="1"/>
    <xf numFmtId="0" fontId="0" fillId="0" borderId="1" xfId="0" applyBorder="1" applyProtection="1"/>
    <xf numFmtId="8" fontId="0" fillId="0" borderId="2" xfId="0" applyNumberFormat="1" applyBorder="1" applyProtection="1"/>
    <xf numFmtId="165" fontId="2" fillId="0" borderId="1" xfId="0" applyNumberFormat="1" applyFont="1" applyBorder="1" applyProtection="1"/>
    <xf numFmtId="165" fontId="0" fillId="0" borderId="2" xfId="0" applyNumberFormat="1" applyBorder="1" applyProtection="1"/>
    <xf numFmtId="0" fontId="2" fillId="0" borderId="1" xfId="0" applyFont="1" applyBorder="1" applyProtection="1"/>
    <xf numFmtId="164" fontId="0" fillId="0" borderId="2" xfId="0" applyNumberFormat="1" applyBorder="1" applyProtection="1"/>
    <xf numFmtId="0" fontId="2" fillId="0" borderId="3" xfId="0" applyFont="1" applyBorder="1" applyAlignment="1" applyProtection="1">
      <alignment horizontal="left" wrapText="1"/>
    </xf>
    <xf numFmtId="0" fontId="0" fillId="0" borderId="4" xfId="0" applyBorder="1" applyAlignment="1" applyProtection="1">
      <alignment horizontal="left" wrapText="1"/>
    </xf>
    <xf numFmtId="0" fontId="0" fillId="0" borderId="5" xfId="0" applyBorder="1" applyAlignment="1" applyProtection="1">
      <alignment horizontal="left" wrapText="1"/>
    </xf>
    <xf numFmtId="0" fontId="0" fillId="0" borderId="6" xfId="0" applyBorder="1" applyAlignment="1" applyProtection="1">
      <alignment horizontal="left" wrapText="1"/>
    </xf>
    <xf numFmtId="0" fontId="0" fillId="0" borderId="0" xfId="0" applyAlignment="1" applyProtection="1">
      <alignment horizontal="left" wrapText="1"/>
    </xf>
    <xf numFmtId="0" fontId="0" fillId="0" borderId="7" xfId="0" applyBorder="1" applyAlignment="1" applyProtection="1">
      <alignment horizontal="left" wrapText="1"/>
    </xf>
    <xf numFmtId="0" fontId="0" fillId="0" borderId="8" xfId="0" applyBorder="1" applyAlignment="1" applyProtection="1">
      <alignment horizontal="left" wrapText="1"/>
    </xf>
    <xf numFmtId="0" fontId="0" fillId="0" borderId="9" xfId="0" applyBorder="1" applyAlignment="1" applyProtection="1">
      <alignment horizontal="left" wrapText="1"/>
    </xf>
    <xf numFmtId="0" fontId="0" fillId="0" borderId="10" xfId="0" applyBorder="1" applyAlignment="1" applyProtection="1">
      <alignment horizontal="left" wrapText="1"/>
    </xf>
    <xf numFmtId="0" fontId="0" fillId="0" borderId="2" xfId="0" applyBorder="1" applyProtection="1"/>
    <xf numFmtId="0" fontId="0" fillId="0" borderId="9" xfId="0" applyBorder="1" applyProtection="1"/>
    <xf numFmtId="0" fontId="0" fillId="0" borderId="19" xfId="0" applyBorder="1" applyProtection="1"/>
    <xf numFmtId="0" fontId="0" fillId="0" borderId="17" xfId="0" applyBorder="1" applyProtection="1"/>
    <xf numFmtId="0" fontId="0" fillId="0" borderId="21" xfId="0" applyBorder="1" applyProtection="1"/>
    <xf numFmtId="0" fontId="0" fillId="0" borderId="23" xfId="0" applyBorder="1" applyProtection="1"/>
    <xf numFmtId="0" fontId="0" fillId="0" borderId="18" xfId="0" applyBorder="1" applyProtection="1"/>
    <xf numFmtId="0" fontId="2" fillId="0" borderId="11" xfId="0" applyFont="1" applyBorder="1" applyProtection="1"/>
    <xf numFmtId="0" fontId="0" fillId="0" borderId="14" xfId="0" applyBorder="1" applyProtection="1"/>
    <xf numFmtId="0" fontId="2" fillId="0" borderId="12" xfId="0" applyFont="1" applyBorder="1" applyProtection="1"/>
    <xf numFmtId="0" fontId="4" fillId="0" borderId="0" xfId="0" applyFont="1" applyProtection="1"/>
    <xf numFmtId="2" fontId="4" fillId="0" borderId="0" xfId="0" applyNumberFormat="1" applyFont="1" applyProtection="1"/>
    <xf numFmtId="0" fontId="4"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79176FB0-B7F2-11CE-97EF-00AA006D2776}" ax:persistence="persistStreamInit" r:id="rId1"/>
</file>

<file path=xl/activeX/activeX13.xml><?xml version="1.0" encoding="utf-8"?>
<ax:ocx xmlns:ax="http://schemas.microsoft.com/office/2006/activeX" xmlns:r="http://schemas.openxmlformats.org/officeDocument/2006/relationships" ax:classid="{79176FB0-B7F2-11CE-97EF-00AA006D2776}"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8BD21D5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79176FB0-B7F2-11CE-97EF-00AA006D2776}"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967740</xdr:colOff>
          <xdr:row>15</xdr:row>
          <xdr:rowOff>106680</xdr:rowOff>
        </xdr:from>
        <xdr:to>
          <xdr:col>6</xdr:col>
          <xdr:colOff>723900</xdr:colOff>
          <xdr:row>18</xdr:row>
          <xdr:rowOff>83820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14</xdr:row>
          <xdr:rowOff>152400</xdr:rowOff>
        </xdr:from>
        <xdr:to>
          <xdr:col>3</xdr:col>
          <xdr:colOff>129540</xdr:colOff>
          <xdr:row>16</xdr:row>
          <xdr:rowOff>83820</xdr:rowOff>
        </xdr:to>
        <xdr:sp macro="" textlink="">
          <xdr:nvSpPr>
            <xdr:cNvPr id="1026" name="Option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198120</xdr:colOff>
          <xdr:row>15</xdr:row>
          <xdr:rowOff>7620</xdr:rowOff>
        </xdr:from>
        <xdr:to>
          <xdr:col>5</xdr:col>
          <xdr:colOff>967740</xdr:colOff>
          <xdr:row>16</xdr:row>
          <xdr:rowOff>53340</xdr:rowOff>
        </xdr:to>
        <xdr:sp macro="" textlink="">
          <xdr:nvSpPr>
            <xdr:cNvPr id="1027" name="Option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19</xdr:row>
          <xdr:rowOff>45720</xdr:rowOff>
        </xdr:from>
        <xdr:to>
          <xdr:col>6</xdr:col>
          <xdr:colOff>457200</xdr:colOff>
          <xdr:row>21</xdr:row>
          <xdr:rowOff>7620</xdr:rowOff>
        </xdr:to>
        <xdr:sp macro="" textlink="">
          <xdr:nvSpPr>
            <xdr:cNvPr id="1028" name="CheckBox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xdr:colOff>
          <xdr:row>11</xdr:row>
          <xdr:rowOff>22860</xdr:rowOff>
        </xdr:from>
        <xdr:to>
          <xdr:col>4</xdr:col>
          <xdr:colOff>662940</xdr:colOff>
          <xdr:row>11</xdr:row>
          <xdr:rowOff>144780</xdr:rowOff>
        </xdr:to>
        <xdr:sp macro="" textlink="">
          <xdr:nvSpPr>
            <xdr:cNvPr id="1030" name="ScrollBar1"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xdr:row>
          <xdr:rowOff>15240</xdr:rowOff>
        </xdr:from>
        <xdr:to>
          <xdr:col>4</xdr:col>
          <xdr:colOff>655320</xdr:colOff>
          <xdr:row>12</xdr:row>
          <xdr:rowOff>144780</xdr:rowOff>
        </xdr:to>
        <xdr:sp macro="" textlink="">
          <xdr:nvSpPr>
            <xdr:cNvPr id="1031" name="ScrollBar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13</xdr:row>
          <xdr:rowOff>38100</xdr:rowOff>
        </xdr:from>
        <xdr:to>
          <xdr:col>4</xdr:col>
          <xdr:colOff>662940</xdr:colOff>
          <xdr:row>13</xdr:row>
          <xdr:rowOff>160020</xdr:rowOff>
        </xdr:to>
        <xdr:sp macro="" textlink="">
          <xdr:nvSpPr>
            <xdr:cNvPr id="1032" name="ScrollBar3"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xdr:row>
          <xdr:rowOff>30480</xdr:rowOff>
        </xdr:from>
        <xdr:to>
          <xdr:col>4</xdr:col>
          <xdr:colOff>655320</xdr:colOff>
          <xdr:row>8</xdr:row>
          <xdr:rowOff>152400</xdr:rowOff>
        </xdr:to>
        <xdr:sp macro="" textlink="">
          <xdr:nvSpPr>
            <xdr:cNvPr id="1033" name="ScrollBar4"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8</xdr:row>
          <xdr:rowOff>22860</xdr:rowOff>
        </xdr:from>
        <xdr:to>
          <xdr:col>8</xdr:col>
          <xdr:colOff>579120</xdr:colOff>
          <xdr:row>9</xdr:row>
          <xdr:rowOff>0</xdr:rowOff>
        </xdr:to>
        <xdr:sp macro="" textlink="">
          <xdr:nvSpPr>
            <xdr:cNvPr id="1034" name="ScrollBar5"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91440</xdr:colOff>
          <xdr:row>11</xdr:row>
          <xdr:rowOff>0</xdr:rowOff>
        </xdr:from>
        <xdr:to>
          <xdr:col>8</xdr:col>
          <xdr:colOff>525780</xdr:colOff>
          <xdr:row>11</xdr:row>
          <xdr:rowOff>129540</xdr:rowOff>
        </xdr:to>
        <xdr:sp macro="" textlink="">
          <xdr:nvSpPr>
            <xdr:cNvPr id="1035" name="ScrollBar6"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21</xdr:row>
          <xdr:rowOff>15240</xdr:rowOff>
        </xdr:from>
        <xdr:to>
          <xdr:col>4</xdr:col>
          <xdr:colOff>259080</xdr:colOff>
          <xdr:row>21</xdr:row>
          <xdr:rowOff>243840</xdr:rowOff>
        </xdr:to>
        <xdr:sp macro="" textlink="">
          <xdr:nvSpPr>
            <xdr:cNvPr id="1037" name="SpinButton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22</xdr:row>
          <xdr:rowOff>22860</xdr:rowOff>
        </xdr:from>
        <xdr:to>
          <xdr:col>4</xdr:col>
          <xdr:colOff>281940</xdr:colOff>
          <xdr:row>22</xdr:row>
          <xdr:rowOff>266700</xdr:rowOff>
        </xdr:to>
        <xdr:sp macro="" textlink="">
          <xdr:nvSpPr>
            <xdr:cNvPr id="1038" name="SpinButton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23</xdr:row>
          <xdr:rowOff>30480</xdr:rowOff>
        </xdr:from>
        <xdr:to>
          <xdr:col>4</xdr:col>
          <xdr:colOff>266700</xdr:colOff>
          <xdr:row>23</xdr:row>
          <xdr:rowOff>304800</xdr:rowOff>
        </xdr:to>
        <xdr:sp macro="" textlink="">
          <xdr:nvSpPr>
            <xdr:cNvPr id="1039" name="SpinButton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xdr:colOff>
          <xdr:row>24</xdr:row>
          <xdr:rowOff>38100</xdr:rowOff>
        </xdr:from>
        <xdr:to>
          <xdr:col>4</xdr:col>
          <xdr:colOff>289560</xdr:colOff>
          <xdr:row>24</xdr:row>
          <xdr:rowOff>289560</xdr:rowOff>
        </xdr:to>
        <xdr:sp macro="" textlink="">
          <xdr:nvSpPr>
            <xdr:cNvPr id="1040" name="SpinButton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21</xdr:row>
          <xdr:rowOff>38100</xdr:rowOff>
        </xdr:from>
        <xdr:to>
          <xdr:col>2</xdr:col>
          <xdr:colOff>1760220</xdr:colOff>
          <xdr:row>21</xdr:row>
          <xdr:rowOff>228600</xdr:rowOff>
        </xdr:to>
        <xdr:sp macro="" textlink="">
          <xdr:nvSpPr>
            <xdr:cNvPr id="1041" name="OptionButton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xdr:colOff>
          <xdr:row>22</xdr:row>
          <xdr:rowOff>83820</xdr:rowOff>
        </xdr:from>
        <xdr:to>
          <xdr:col>2</xdr:col>
          <xdr:colOff>1798320</xdr:colOff>
          <xdr:row>22</xdr:row>
          <xdr:rowOff>266700</xdr:rowOff>
        </xdr:to>
        <xdr:sp macro="" textlink="">
          <xdr:nvSpPr>
            <xdr:cNvPr id="1042" name="OptionButton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23</xdr:row>
          <xdr:rowOff>38100</xdr:rowOff>
        </xdr:from>
        <xdr:to>
          <xdr:col>2</xdr:col>
          <xdr:colOff>1127760</xdr:colOff>
          <xdr:row>23</xdr:row>
          <xdr:rowOff>289560</xdr:rowOff>
        </xdr:to>
        <xdr:sp macro="" textlink="">
          <xdr:nvSpPr>
            <xdr:cNvPr id="1043" name="OptionButton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xdr:colOff>
          <xdr:row>24</xdr:row>
          <xdr:rowOff>45720</xdr:rowOff>
        </xdr:from>
        <xdr:to>
          <xdr:col>2</xdr:col>
          <xdr:colOff>1150620</xdr:colOff>
          <xdr:row>24</xdr:row>
          <xdr:rowOff>281940</xdr:rowOff>
        </xdr:to>
        <xdr:sp macro="" textlink="">
          <xdr:nvSpPr>
            <xdr:cNvPr id="1044" name="OptionButton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60960</xdr:colOff>
          <xdr:row>16</xdr:row>
          <xdr:rowOff>152400</xdr:rowOff>
        </xdr:from>
        <xdr:to>
          <xdr:col>4</xdr:col>
          <xdr:colOff>281940</xdr:colOff>
          <xdr:row>18</xdr:row>
          <xdr:rowOff>53340</xdr:rowOff>
        </xdr:to>
        <xdr:sp macro="" textlink="">
          <xdr:nvSpPr>
            <xdr:cNvPr id="1045" name="SpinButton5"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632460</xdr:colOff>
          <xdr:row>20</xdr:row>
          <xdr:rowOff>137160</xdr:rowOff>
        </xdr:from>
        <xdr:to>
          <xdr:col>15</xdr:col>
          <xdr:colOff>68580</xdr:colOff>
          <xdr:row>28</xdr:row>
          <xdr:rowOff>91440</xdr:rowOff>
        </xdr:to>
        <xdr:sp macro="" textlink="">
          <xdr:nvSpPr>
            <xdr:cNvPr id="1046" name="ListBox1"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6.emf"/><Relationship Id="rId42" Type="http://schemas.openxmlformats.org/officeDocument/2006/relationships/image" Target="../media/image20.emf"/><Relationship Id="rId7" Type="http://schemas.openxmlformats.org/officeDocument/2006/relationships/control" Target="../activeX/activeX3.xml"/><Relationship Id="rId2" Type="http://schemas.openxmlformats.org/officeDocument/2006/relationships/vmlDrawing" Target="../drawings/vmlDrawing1.v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8.xml"/><Relationship Id="rId40" Type="http://schemas.openxmlformats.org/officeDocument/2006/relationships/image" Target="../media/image19.emf"/><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9.xml"/><Relationship Id="rId31" Type="http://schemas.openxmlformats.org/officeDocument/2006/relationships/control" Target="../activeX/activeX15.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8" Type="http://schemas.openxmlformats.org/officeDocument/2006/relationships/image" Target="../media/image3.emf"/><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J26"/>
  <sheetViews>
    <sheetView showGridLines="0" tabSelected="1" zoomScaleNormal="100" workbookViewId="0">
      <selection activeCell="B11" sqref="B11"/>
    </sheetView>
  </sheetViews>
  <sheetFormatPr defaultRowHeight="13.2" x14ac:dyDescent="0.25"/>
  <cols>
    <col min="2" max="2" width="10.77734375" customWidth="1"/>
    <col min="3" max="3" width="27.77734375" bestFit="1" customWidth="1"/>
    <col min="4" max="4" width="16" customWidth="1"/>
    <col min="5" max="5" width="10.21875" customWidth="1"/>
    <col min="6" max="6" width="28.5546875" customWidth="1"/>
    <col min="7" max="7" width="11.21875" customWidth="1"/>
  </cols>
  <sheetData>
    <row r="2" spans="2:10" ht="12.75" customHeight="1" x14ac:dyDescent="0.25">
      <c r="C2" s="20" t="s">
        <v>4</v>
      </c>
      <c r="D2" s="21"/>
      <c r="E2" s="21"/>
      <c r="F2" s="21"/>
      <c r="G2" s="21"/>
      <c r="H2" s="21"/>
      <c r="I2" s="22"/>
    </row>
    <row r="3" spans="2:10" x14ac:dyDescent="0.25">
      <c r="C3" s="23"/>
      <c r="D3" s="24"/>
      <c r="E3" s="24"/>
      <c r="F3" s="24"/>
      <c r="G3" s="24"/>
      <c r="H3" s="24"/>
      <c r="I3" s="25"/>
    </row>
    <row r="4" spans="2:10" x14ac:dyDescent="0.25">
      <c r="C4" s="23"/>
      <c r="D4" s="24"/>
      <c r="E4" s="24"/>
      <c r="F4" s="24"/>
      <c r="G4" s="24"/>
      <c r="H4" s="24"/>
      <c r="I4" s="25"/>
    </row>
    <row r="5" spans="2:10" x14ac:dyDescent="0.25">
      <c r="C5" s="23"/>
      <c r="D5" s="24"/>
      <c r="E5" s="24"/>
      <c r="F5" s="24"/>
      <c r="G5" s="24"/>
      <c r="H5" s="24"/>
      <c r="I5" s="25"/>
    </row>
    <row r="6" spans="2:10" x14ac:dyDescent="0.25">
      <c r="C6" s="26"/>
      <c r="D6" s="27"/>
      <c r="E6" s="27"/>
      <c r="F6" s="27"/>
      <c r="G6" s="27"/>
      <c r="H6" s="27"/>
      <c r="I6" s="28"/>
    </row>
    <row r="7" spans="2:10" x14ac:dyDescent="0.25">
      <c r="E7" s="12"/>
    </row>
    <row r="8" spans="2:10" x14ac:dyDescent="0.25">
      <c r="E8" s="12"/>
      <c r="J8" s="41"/>
    </row>
    <row r="9" spans="2:10" x14ac:dyDescent="0.25">
      <c r="B9" s="39">
        <v>900000</v>
      </c>
      <c r="C9" s="14" t="s">
        <v>0</v>
      </c>
      <c r="D9" s="15">
        <f>B9</f>
        <v>900000</v>
      </c>
      <c r="E9" s="12"/>
      <c r="F9" s="18" t="s">
        <v>2</v>
      </c>
      <c r="G9" s="19">
        <f>J9</f>
        <v>4000</v>
      </c>
      <c r="J9" s="39">
        <v>4000</v>
      </c>
    </row>
    <row r="10" spans="2:10" x14ac:dyDescent="0.25">
      <c r="B10" s="39">
        <v>5</v>
      </c>
      <c r="C10" s="13"/>
      <c r="D10" s="13"/>
      <c r="E10" s="12"/>
      <c r="F10" s="13"/>
      <c r="G10" s="13"/>
      <c r="J10" s="39"/>
    </row>
    <row r="11" spans="2:10" x14ac:dyDescent="0.25">
      <c r="B11" s="39"/>
      <c r="C11" s="13"/>
      <c r="D11" s="13"/>
      <c r="E11" s="12"/>
      <c r="F11" s="13"/>
      <c r="G11" s="13"/>
      <c r="J11" s="39"/>
    </row>
    <row r="12" spans="2:10" x14ac:dyDescent="0.25">
      <c r="B12" s="40">
        <v>40</v>
      </c>
      <c r="C12" s="16" t="s">
        <v>3</v>
      </c>
      <c r="D12" s="17">
        <f>B12/1000</f>
        <v>0.04</v>
      </c>
      <c r="E12" s="12"/>
      <c r="F12" s="18" t="s">
        <v>1</v>
      </c>
      <c r="G12" s="17">
        <f>J12/1000</f>
        <v>0.01</v>
      </c>
      <c r="H12" s="3"/>
      <c r="J12" s="40">
        <v>10</v>
      </c>
    </row>
    <row r="13" spans="2:10" x14ac:dyDescent="0.25">
      <c r="B13" s="40">
        <v>0</v>
      </c>
      <c r="C13" s="18" t="s">
        <v>5</v>
      </c>
      <c r="D13" s="17">
        <f>B13/1000</f>
        <v>0</v>
      </c>
      <c r="E13" s="12"/>
      <c r="J13" s="41"/>
    </row>
    <row r="14" spans="2:10" x14ac:dyDescent="0.25">
      <c r="B14" s="40">
        <v>100</v>
      </c>
      <c r="C14" s="18" t="s">
        <v>6</v>
      </c>
      <c r="D14" s="17">
        <f>B14/1000</f>
        <v>0.1</v>
      </c>
      <c r="E14" s="12"/>
    </row>
    <row r="15" spans="2:10" x14ac:dyDescent="0.25">
      <c r="E15" s="12"/>
    </row>
    <row r="18" spans="2:10" x14ac:dyDescent="0.25">
      <c r="B18" s="39">
        <v>67</v>
      </c>
      <c r="C18" s="18" t="s">
        <v>7</v>
      </c>
      <c r="D18" s="29">
        <f>B18</f>
        <v>67</v>
      </c>
    </row>
    <row r="19" spans="2:10" ht="13.8" thickBot="1" x14ac:dyDescent="0.3"/>
    <row r="20" spans="2:10" x14ac:dyDescent="0.25">
      <c r="C20" s="36" t="s">
        <v>8</v>
      </c>
      <c r="D20" s="38" t="s">
        <v>9</v>
      </c>
      <c r="E20" s="4"/>
    </row>
    <row r="21" spans="2:10" x14ac:dyDescent="0.25">
      <c r="C21" s="37"/>
      <c r="E21" s="5"/>
    </row>
    <row r="22" spans="2:10" ht="19.8" customHeight="1" x14ac:dyDescent="0.25">
      <c r="C22" s="7"/>
      <c r="D22" s="30">
        <f>E22</f>
        <v>88</v>
      </c>
      <c r="E22" s="33">
        <v>88</v>
      </c>
    </row>
    <row r="23" spans="2:10" ht="22.2" customHeight="1" x14ac:dyDescent="0.25">
      <c r="C23" s="8"/>
      <c r="D23" s="31">
        <f>E23</f>
        <v>78</v>
      </c>
      <c r="E23" s="34">
        <f>78</f>
        <v>78</v>
      </c>
    </row>
    <row r="24" spans="2:10" ht="24.6" customHeight="1" x14ac:dyDescent="0.25">
      <c r="C24" s="8"/>
      <c r="D24" s="31">
        <f>E24</f>
        <v>85</v>
      </c>
      <c r="E24" s="34">
        <v>85</v>
      </c>
    </row>
    <row r="25" spans="2:10" ht="24.6" customHeight="1" thickBot="1" x14ac:dyDescent="0.3">
      <c r="C25" s="6"/>
      <c r="D25" s="32">
        <f>E25</f>
        <v>75</v>
      </c>
      <c r="E25" s="35">
        <v>75</v>
      </c>
    </row>
    <row r="26" spans="2:10" x14ac:dyDescent="0.25">
      <c r="J26" s="12"/>
    </row>
  </sheetData>
  <mergeCells count="1">
    <mergeCell ref="C2:I6"/>
  </mergeCells>
  <phoneticPr fontId="0" type="noConversion"/>
  <pageMargins left="0.75" right="0.75" top="1" bottom="1" header="0.5" footer="0.5"/>
  <headerFooter alignWithMargins="0"/>
  <drawing r:id="rId1"/>
  <legacyDrawing r:id="rId2"/>
  <controls>
    <mc:AlternateContent xmlns:mc="http://schemas.openxmlformats.org/markup-compatibility/2006">
      <mc:Choice Requires="x14">
        <control shapeId="1046" r:id="rId3" name="ListBox1">
          <controlPr defaultSize="0" autoLine="0" listFillRange="Data" r:id="rId4">
            <anchor moveWithCells="1">
              <from>
                <xdr:col>6</xdr:col>
                <xdr:colOff>632460</xdr:colOff>
                <xdr:row>20</xdr:row>
                <xdr:rowOff>137160</xdr:rowOff>
              </from>
              <to>
                <xdr:col>15</xdr:col>
                <xdr:colOff>68580</xdr:colOff>
                <xdr:row>28</xdr:row>
                <xdr:rowOff>91440</xdr:rowOff>
              </to>
            </anchor>
          </controlPr>
        </control>
      </mc:Choice>
      <mc:Fallback>
        <control shapeId="1046" r:id="rId3" name="ListBox1"/>
      </mc:Fallback>
    </mc:AlternateContent>
    <mc:AlternateContent xmlns:mc="http://schemas.openxmlformats.org/markup-compatibility/2006">
      <mc:Choice Requires="x14">
        <control shapeId="1025" r:id="rId5" name="CommandButton1">
          <controlPr defaultSize="0" autoLine="0" r:id="rId6">
            <anchor moveWithCells="1">
              <from>
                <xdr:col>5</xdr:col>
                <xdr:colOff>967740</xdr:colOff>
                <xdr:row>15</xdr:row>
                <xdr:rowOff>106680</xdr:rowOff>
              </from>
              <to>
                <xdr:col>6</xdr:col>
                <xdr:colOff>723900</xdr:colOff>
                <xdr:row>18</xdr:row>
                <xdr:rowOff>83820</xdr:rowOff>
              </to>
            </anchor>
          </controlPr>
        </control>
      </mc:Choice>
      <mc:Fallback>
        <control shapeId="1025" r:id="rId5" name="CommandButton1"/>
      </mc:Fallback>
    </mc:AlternateContent>
    <mc:AlternateContent xmlns:mc="http://schemas.openxmlformats.org/markup-compatibility/2006">
      <mc:Choice Requires="x14">
        <control shapeId="1026" r:id="rId7" name="OptionButton1">
          <controlPr defaultSize="0" autoLine="0" autoPict="0" r:id="rId8">
            <anchor moveWithCells="1">
              <from>
                <xdr:col>2</xdr:col>
                <xdr:colOff>30480</xdr:colOff>
                <xdr:row>14</xdr:row>
                <xdr:rowOff>152400</xdr:rowOff>
              </from>
              <to>
                <xdr:col>3</xdr:col>
                <xdr:colOff>129540</xdr:colOff>
                <xdr:row>16</xdr:row>
                <xdr:rowOff>83820</xdr:rowOff>
              </to>
            </anchor>
          </controlPr>
        </control>
      </mc:Choice>
      <mc:Fallback>
        <control shapeId="1026" r:id="rId7" name="OptionButton1"/>
      </mc:Fallback>
    </mc:AlternateContent>
    <mc:AlternateContent xmlns:mc="http://schemas.openxmlformats.org/markup-compatibility/2006">
      <mc:Choice Requires="x14">
        <control shapeId="1027" r:id="rId9" name="OptionButton2">
          <controlPr defaultSize="0" autoLine="0" autoPict="0" r:id="rId10">
            <anchor moveWithCells="1">
              <from>
                <xdr:col>3</xdr:col>
                <xdr:colOff>198120</xdr:colOff>
                <xdr:row>15</xdr:row>
                <xdr:rowOff>7620</xdr:rowOff>
              </from>
              <to>
                <xdr:col>5</xdr:col>
                <xdr:colOff>967740</xdr:colOff>
                <xdr:row>16</xdr:row>
                <xdr:rowOff>53340</xdr:rowOff>
              </to>
            </anchor>
          </controlPr>
        </control>
      </mc:Choice>
      <mc:Fallback>
        <control shapeId="1027" r:id="rId9" name="OptionButton2"/>
      </mc:Fallback>
    </mc:AlternateContent>
    <mc:AlternateContent xmlns:mc="http://schemas.openxmlformats.org/markup-compatibility/2006">
      <mc:Choice Requires="x14">
        <control shapeId="1028" r:id="rId11" name="CheckBox1">
          <controlPr defaultSize="0" autoLine="0" r:id="rId12">
            <anchor moveWithCells="1">
              <from>
                <xdr:col>5</xdr:col>
                <xdr:colOff>982980</xdr:colOff>
                <xdr:row>19</xdr:row>
                <xdr:rowOff>45720</xdr:rowOff>
              </from>
              <to>
                <xdr:col>6</xdr:col>
                <xdr:colOff>457200</xdr:colOff>
                <xdr:row>21</xdr:row>
                <xdr:rowOff>7620</xdr:rowOff>
              </to>
            </anchor>
          </controlPr>
        </control>
      </mc:Choice>
      <mc:Fallback>
        <control shapeId="1028" r:id="rId11" name="CheckBox1"/>
      </mc:Fallback>
    </mc:AlternateContent>
    <mc:AlternateContent xmlns:mc="http://schemas.openxmlformats.org/markup-compatibility/2006">
      <mc:Choice Requires="x14">
        <control shapeId="1030" r:id="rId13" name="ScrollBar1">
          <controlPr defaultSize="0" autoLine="0" autoPict="0" linkedCell="B12" r:id="rId14">
            <anchor moveWithCells="1">
              <from>
                <xdr:col>4</xdr:col>
                <xdr:colOff>45720</xdr:colOff>
                <xdr:row>11</xdr:row>
                <xdr:rowOff>22860</xdr:rowOff>
              </from>
              <to>
                <xdr:col>4</xdr:col>
                <xdr:colOff>662940</xdr:colOff>
                <xdr:row>11</xdr:row>
                <xdr:rowOff>144780</xdr:rowOff>
              </to>
            </anchor>
          </controlPr>
        </control>
      </mc:Choice>
      <mc:Fallback>
        <control shapeId="1030" r:id="rId13" name="ScrollBar1"/>
      </mc:Fallback>
    </mc:AlternateContent>
    <mc:AlternateContent xmlns:mc="http://schemas.openxmlformats.org/markup-compatibility/2006">
      <mc:Choice Requires="x14">
        <control shapeId="1031" r:id="rId15" name="ScrollBar2">
          <controlPr defaultSize="0" autoLine="0" autoPict="0" linkedCell="B13" r:id="rId16">
            <anchor moveWithCells="1">
              <from>
                <xdr:col>4</xdr:col>
                <xdr:colOff>38100</xdr:colOff>
                <xdr:row>12</xdr:row>
                <xdr:rowOff>15240</xdr:rowOff>
              </from>
              <to>
                <xdr:col>4</xdr:col>
                <xdr:colOff>655320</xdr:colOff>
                <xdr:row>12</xdr:row>
                <xdr:rowOff>144780</xdr:rowOff>
              </to>
            </anchor>
          </controlPr>
        </control>
      </mc:Choice>
      <mc:Fallback>
        <control shapeId="1031" r:id="rId15" name="ScrollBar2"/>
      </mc:Fallback>
    </mc:AlternateContent>
    <mc:AlternateContent xmlns:mc="http://schemas.openxmlformats.org/markup-compatibility/2006">
      <mc:Choice Requires="x14">
        <control shapeId="1032" r:id="rId17" name="ScrollBar3">
          <controlPr defaultSize="0" autoLine="0" autoPict="0" linkedCell="B14" r:id="rId18">
            <anchor moveWithCells="1">
              <from>
                <xdr:col>4</xdr:col>
                <xdr:colOff>68580</xdr:colOff>
                <xdr:row>13</xdr:row>
                <xdr:rowOff>38100</xdr:rowOff>
              </from>
              <to>
                <xdr:col>4</xdr:col>
                <xdr:colOff>662940</xdr:colOff>
                <xdr:row>13</xdr:row>
                <xdr:rowOff>160020</xdr:rowOff>
              </to>
            </anchor>
          </controlPr>
        </control>
      </mc:Choice>
      <mc:Fallback>
        <control shapeId="1032" r:id="rId17" name="ScrollBar3"/>
      </mc:Fallback>
    </mc:AlternateContent>
    <mc:AlternateContent xmlns:mc="http://schemas.openxmlformats.org/markup-compatibility/2006">
      <mc:Choice Requires="x14">
        <control shapeId="1033" r:id="rId19" name="ScrollBar4">
          <controlPr defaultSize="0" autoLine="0" autoPict="0" linkedCell="B9" r:id="rId20">
            <anchor moveWithCells="1">
              <from>
                <xdr:col>4</xdr:col>
                <xdr:colOff>30480</xdr:colOff>
                <xdr:row>8</xdr:row>
                <xdr:rowOff>30480</xdr:rowOff>
              </from>
              <to>
                <xdr:col>4</xdr:col>
                <xdr:colOff>655320</xdr:colOff>
                <xdr:row>8</xdr:row>
                <xdr:rowOff>152400</xdr:rowOff>
              </to>
            </anchor>
          </controlPr>
        </control>
      </mc:Choice>
      <mc:Fallback>
        <control shapeId="1033" r:id="rId19" name="ScrollBar4"/>
      </mc:Fallback>
    </mc:AlternateContent>
    <mc:AlternateContent xmlns:mc="http://schemas.openxmlformats.org/markup-compatibility/2006">
      <mc:Choice Requires="x14">
        <control shapeId="1034" r:id="rId21" name="ScrollBar5">
          <controlPr defaultSize="0" autoLine="0" linkedCell="J9" r:id="rId22">
            <anchor moveWithCells="1">
              <from>
                <xdr:col>7</xdr:col>
                <xdr:colOff>106680</xdr:colOff>
                <xdr:row>8</xdr:row>
                <xdr:rowOff>22860</xdr:rowOff>
              </from>
              <to>
                <xdr:col>8</xdr:col>
                <xdr:colOff>579120</xdr:colOff>
                <xdr:row>9</xdr:row>
                <xdr:rowOff>0</xdr:rowOff>
              </to>
            </anchor>
          </controlPr>
        </control>
      </mc:Choice>
      <mc:Fallback>
        <control shapeId="1034" r:id="rId21" name="ScrollBar5"/>
      </mc:Fallback>
    </mc:AlternateContent>
    <mc:AlternateContent xmlns:mc="http://schemas.openxmlformats.org/markup-compatibility/2006">
      <mc:Choice Requires="x14">
        <control shapeId="1035" r:id="rId23" name="ScrollBar6">
          <controlPr defaultSize="0" autoLine="0" linkedCell="J12" r:id="rId24">
            <anchor moveWithCells="1">
              <from>
                <xdr:col>7</xdr:col>
                <xdr:colOff>91440</xdr:colOff>
                <xdr:row>11</xdr:row>
                <xdr:rowOff>0</xdr:rowOff>
              </from>
              <to>
                <xdr:col>8</xdr:col>
                <xdr:colOff>525780</xdr:colOff>
                <xdr:row>11</xdr:row>
                <xdr:rowOff>129540</xdr:rowOff>
              </to>
            </anchor>
          </controlPr>
        </control>
      </mc:Choice>
      <mc:Fallback>
        <control shapeId="1035" r:id="rId23" name="ScrollBar6"/>
      </mc:Fallback>
    </mc:AlternateContent>
    <mc:AlternateContent xmlns:mc="http://schemas.openxmlformats.org/markup-compatibility/2006">
      <mc:Choice Requires="x14">
        <control shapeId="1037" r:id="rId25" name="SpinButton1">
          <controlPr defaultSize="0" autoLine="0" autoPict="0" linkedCell="E22" r:id="rId26">
            <anchor moveWithCells="1">
              <from>
                <xdr:col>4</xdr:col>
                <xdr:colOff>60960</xdr:colOff>
                <xdr:row>21</xdr:row>
                <xdr:rowOff>15240</xdr:rowOff>
              </from>
              <to>
                <xdr:col>4</xdr:col>
                <xdr:colOff>259080</xdr:colOff>
                <xdr:row>21</xdr:row>
                <xdr:rowOff>243840</xdr:rowOff>
              </to>
            </anchor>
          </controlPr>
        </control>
      </mc:Choice>
      <mc:Fallback>
        <control shapeId="1037" r:id="rId25" name="SpinButton1"/>
      </mc:Fallback>
    </mc:AlternateContent>
    <mc:AlternateContent xmlns:mc="http://schemas.openxmlformats.org/markup-compatibility/2006">
      <mc:Choice Requires="x14">
        <control shapeId="1038" r:id="rId27" name="SpinButton2">
          <controlPr defaultSize="0" autoLine="0" autoPict="0" linkedCell="E23" r:id="rId28">
            <anchor moveWithCells="1">
              <from>
                <xdr:col>4</xdr:col>
                <xdr:colOff>76200</xdr:colOff>
                <xdr:row>22</xdr:row>
                <xdr:rowOff>22860</xdr:rowOff>
              </from>
              <to>
                <xdr:col>4</xdr:col>
                <xdr:colOff>281940</xdr:colOff>
                <xdr:row>22</xdr:row>
                <xdr:rowOff>266700</xdr:rowOff>
              </to>
            </anchor>
          </controlPr>
        </control>
      </mc:Choice>
      <mc:Fallback>
        <control shapeId="1038" r:id="rId27" name="SpinButton2"/>
      </mc:Fallback>
    </mc:AlternateContent>
    <mc:AlternateContent xmlns:mc="http://schemas.openxmlformats.org/markup-compatibility/2006">
      <mc:Choice Requires="x14">
        <control shapeId="1039" r:id="rId29" name="SpinButton3">
          <controlPr defaultSize="0" autoLine="0" autoPict="0" linkedCell="E24" r:id="rId30">
            <anchor moveWithCells="1">
              <from>
                <xdr:col>4</xdr:col>
                <xdr:colOff>76200</xdr:colOff>
                <xdr:row>23</xdr:row>
                <xdr:rowOff>30480</xdr:rowOff>
              </from>
              <to>
                <xdr:col>4</xdr:col>
                <xdr:colOff>266700</xdr:colOff>
                <xdr:row>23</xdr:row>
                <xdr:rowOff>304800</xdr:rowOff>
              </to>
            </anchor>
          </controlPr>
        </control>
      </mc:Choice>
      <mc:Fallback>
        <control shapeId="1039" r:id="rId29" name="SpinButton3"/>
      </mc:Fallback>
    </mc:AlternateContent>
    <mc:AlternateContent xmlns:mc="http://schemas.openxmlformats.org/markup-compatibility/2006">
      <mc:Choice Requires="x14">
        <control shapeId="1040" r:id="rId31" name="SpinButton4">
          <controlPr defaultSize="0" autoLine="0" linkedCell="E25" r:id="rId32">
            <anchor moveWithCells="1">
              <from>
                <xdr:col>4</xdr:col>
                <xdr:colOff>91440</xdr:colOff>
                <xdr:row>24</xdr:row>
                <xdr:rowOff>38100</xdr:rowOff>
              </from>
              <to>
                <xdr:col>4</xdr:col>
                <xdr:colOff>289560</xdr:colOff>
                <xdr:row>24</xdr:row>
                <xdr:rowOff>289560</xdr:rowOff>
              </to>
            </anchor>
          </controlPr>
        </control>
      </mc:Choice>
      <mc:Fallback>
        <control shapeId="1040" r:id="rId31" name="SpinButton4"/>
      </mc:Fallback>
    </mc:AlternateContent>
    <mc:AlternateContent xmlns:mc="http://schemas.openxmlformats.org/markup-compatibility/2006">
      <mc:Choice Requires="x14">
        <control shapeId="1041" r:id="rId33" name="OptionButton3">
          <controlPr defaultSize="0" autoLine="0" autoPict="0" r:id="rId34">
            <anchor moveWithCells="1">
              <from>
                <xdr:col>2</xdr:col>
                <xdr:colOff>99060</xdr:colOff>
                <xdr:row>21</xdr:row>
                <xdr:rowOff>38100</xdr:rowOff>
              </from>
              <to>
                <xdr:col>2</xdr:col>
                <xdr:colOff>1760220</xdr:colOff>
                <xdr:row>21</xdr:row>
                <xdr:rowOff>228600</xdr:rowOff>
              </to>
            </anchor>
          </controlPr>
        </control>
      </mc:Choice>
      <mc:Fallback>
        <control shapeId="1041" r:id="rId33" name="OptionButton3"/>
      </mc:Fallback>
    </mc:AlternateContent>
    <mc:AlternateContent xmlns:mc="http://schemas.openxmlformats.org/markup-compatibility/2006">
      <mc:Choice Requires="x14">
        <control shapeId="1042" r:id="rId35" name="OptionButton4">
          <controlPr defaultSize="0" autoLine="0" autoPict="0" r:id="rId36">
            <anchor moveWithCells="1">
              <from>
                <xdr:col>2</xdr:col>
                <xdr:colOff>106680</xdr:colOff>
                <xdr:row>22</xdr:row>
                <xdr:rowOff>83820</xdr:rowOff>
              </from>
              <to>
                <xdr:col>2</xdr:col>
                <xdr:colOff>1798320</xdr:colOff>
                <xdr:row>22</xdr:row>
                <xdr:rowOff>266700</xdr:rowOff>
              </to>
            </anchor>
          </controlPr>
        </control>
      </mc:Choice>
      <mc:Fallback>
        <control shapeId="1042" r:id="rId35" name="OptionButton4"/>
      </mc:Fallback>
    </mc:AlternateContent>
    <mc:AlternateContent xmlns:mc="http://schemas.openxmlformats.org/markup-compatibility/2006">
      <mc:Choice Requires="x14">
        <control shapeId="1043" r:id="rId37" name="OptionButton5">
          <controlPr defaultSize="0" autoLine="0" autoPict="0" r:id="rId38">
            <anchor moveWithCells="1">
              <from>
                <xdr:col>2</xdr:col>
                <xdr:colOff>137160</xdr:colOff>
                <xdr:row>23</xdr:row>
                <xdr:rowOff>38100</xdr:rowOff>
              </from>
              <to>
                <xdr:col>2</xdr:col>
                <xdr:colOff>1127760</xdr:colOff>
                <xdr:row>23</xdr:row>
                <xdr:rowOff>289560</xdr:rowOff>
              </to>
            </anchor>
          </controlPr>
        </control>
      </mc:Choice>
      <mc:Fallback>
        <control shapeId="1043" r:id="rId37" name="OptionButton5"/>
      </mc:Fallback>
    </mc:AlternateContent>
    <mc:AlternateContent xmlns:mc="http://schemas.openxmlformats.org/markup-compatibility/2006">
      <mc:Choice Requires="x14">
        <control shapeId="1044" r:id="rId39" name="OptionButton6">
          <controlPr defaultSize="0" autoLine="0" autoPict="0" r:id="rId40">
            <anchor moveWithCells="1">
              <from>
                <xdr:col>2</xdr:col>
                <xdr:colOff>91440</xdr:colOff>
                <xdr:row>24</xdr:row>
                <xdr:rowOff>45720</xdr:rowOff>
              </from>
              <to>
                <xdr:col>2</xdr:col>
                <xdr:colOff>1150620</xdr:colOff>
                <xdr:row>24</xdr:row>
                <xdr:rowOff>281940</xdr:rowOff>
              </to>
            </anchor>
          </controlPr>
        </control>
      </mc:Choice>
      <mc:Fallback>
        <control shapeId="1044" r:id="rId39" name="OptionButton6"/>
      </mc:Fallback>
    </mc:AlternateContent>
    <mc:AlternateContent xmlns:mc="http://schemas.openxmlformats.org/markup-compatibility/2006">
      <mc:Choice Requires="x14">
        <control shapeId="1045" r:id="rId41" name="SpinButton5">
          <controlPr defaultSize="0" autoLine="0" linkedCell="B18" r:id="rId42">
            <anchor moveWithCells="1">
              <from>
                <xdr:col>4</xdr:col>
                <xdr:colOff>60960</xdr:colOff>
                <xdr:row>16</xdr:row>
                <xdr:rowOff>152400</xdr:rowOff>
              </from>
              <to>
                <xdr:col>4</xdr:col>
                <xdr:colOff>281940</xdr:colOff>
                <xdr:row>18</xdr:row>
                <xdr:rowOff>53340</xdr:rowOff>
              </to>
            </anchor>
          </controlPr>
        </control>
      </mc:Choice>
      <mc:Fallback>
        <control shapeId="1045" r:id="rId41" name="Spin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248"/>
  <sheetViews>
    <sheetView workbookViewId="0">
      <selection activeCell="L21" sqref="L21"/>
    </sheetView>
  </sheetViews>
  <sheetFormatPr defaultColWidth="9.21875" defaultRowHeight="13.2" x14ac:dyDescent="0.25"/>
  <cols>
    <col min="1" max="1" width="23.6640625" style="1" bestFit="1" customWidth="1"/>
    <col min="2" max="2" width="12" style="1" bestFit="1" customWidth="1"/>
    <col min="3" max="3" width="16.21875" style="2" bestFit="1" customWidth="1"/>
    <col min="4" max="4" width="12" style="11" bestFit="1" customWidth="1"/>
    <col min="5" max="5" width="9.21875" style="2"/>
    <col min="6" max="6" width="19.6640625" style="2" bestFit="1" customWidth="1"/>
    <col min="7" max="16384" width="9.21875" style="1"/>
  </cols>
  <sheetData>
    <row r="1" spans="1:6" x14ac:dyDescent="0.25">
      <c r="A1" s="1" t="s">
        <v>17</v>
      </c>
      <c r="B1" s="10">
        <f>Retire!D9</f>
        <v>900000</v>
      </c>
    </row>
    <row r="2" spans="1:6" x14ac:dyDescent="0.25">
      <c r="A2" s="9" t="s">
        <v>12</v>
      </c>
    </row>
    <row r="3" spans="1:6" x14ac:dyDescent="0.25">
      <c r="A3" s="1" t="s">
        <v>10</v>
      </c>
      <c r="B3" s="1" t="s">
        <v>11</v>
      </c>
      <c r="C3" s="2" t="s">
        <v>13</v>
      </c>
      <c r="D3" s="11" t="s">
        <v>14</v>
      </c>
      <c r="E3" s="2" t="s">
        <v>15</v>
      </c>
      <c r="F3" s="2" t="s">
        <v>16</v>
      </c>
    </row>
    <row r="4" spans="1:6" x14ac:dyDescent="0.25">
      <c r="A4" s="1" t="s">
        <v>18</v>
      </c>
      <c r="B4" s="2">
        <v>894944.47843347979</v>
      </c>
      <c r="C4" s="2">
        <v>9000</v>
      </c>
      <c r="D4" s="11">
        <v>4.6191948208038923E-2</v>
      </c>
      <c r="E4" s="2">
        <v>3944.478433479801</v>
      </c>
      <c r="F4" s="2">
        <v>9000</v>
      </c>
    </row>
    <row r="5" spans="1:6" x14ac:dyDescent="0.25">
      <c r="A5" s="1" t="s">
        <v>19</v>
      </c>
      <c r="B5" s="2">
        <v>889405.52004138683</v>
      </c>
      <c r="C5" s="2">
        <v>8949.4447843347989</v>
      </c>
      <c r="D5" s="11">
        <v>4.8146385791645603E-2</v>
      </c>
      <c r="E5" s="2">
        <v>3410.4863922417508</v>
      </c>
      <c r="F5" s="2">
        <v>17949.444784334799</v>
      </c>
    </row>
    <row r="6" spans="1:6" x14ac:dyDescent="0.25">
      <c r="A6" s="1" t="s">
        <v>20</v>
      </c>
      <c r="B6" s="2">
        <v>884044.25189765624</v>
      </c>
      <c r="C6" s="2">
        <v>8894.0552004138681</v>
      </c>
      <c r="D6" s="11">
        <v>3.403307002081217E-2</v>
      </c>
      <c r="E6" s="2">
        <v>3532.7870566833731</v>
      </c>
      <c r="F6" s="2">
        <v>26843.499984748669</v>
      </c>
    </row>
    <row r="7" spans="1:6" x14ac:dyDescent="0.25">
      <c r="A7" s="1" t="s">
        <v>21</v>
      </c>
      <c r="B7" s="2">
        <v>877685.9654226019</v>
      </c>
      <c r="C7" s="2">
        <v>8840.4425189765625</v>
      </c>
      <c r="D7" s="11">
        <v>3.4753302629907182E-2</v>
      </c>
      <c r="E7" s="2">
        <v>2482.1560439221794</v>
      </c>
      <c r="F7" s="2">
        <v>35683.942503725229</v>
      </c>
    </row>
    <row r="8" spans="1:6" x14ac:dyDescent="0.25">
      <c r="A8" s="1" t="s">
        <v>22</v>
      </c>
      <c r="B8" s="2">
        <v>871425.56086093013</v>
      </c>
      <c r="C8" s="2">
        <v>8776.8596542260184</v>
      </c>
      <c r="D8" s="11">
        <v>5.5668306958517121E-2</v>
      </c>
      <c r="E8" s="2">
        <v>2516.4550925541998</v>
      </c>
      <c r="F8" s="2">
        <v>44460.80215795125</v>
      </c>
    </row>
    <row r="9" spans="1:6" x14ac:dyDescent="0.25">
      <c r="A9" s="1" t="s">
        <v>23</v>
      </c>
      <c r="B9" s="2">
        <v>866713.44506543491</v>
      </c>
      <c r="C9" s="2">
        <v>8714.2556086093009</v>
      </c>
      <c r="D9" s="11">
        <v>7.4880281902092337E-3</v>
      </c>
      <c r="E9" s="2">
        <v>4002.1398131140968</v>
      </c>
      <c r="F9" s="2">
        <v>53175.057766560552</v>
      </c>
    </row>
    <row r="10" spans="1:6" x14ac:dyDescent="0.25">
      <c r="A10" s="1" t="s">
        <v>24</v>
      </c>
      <c r="B10" s="2">
        <v>858581.73352831288</v>
      </c>
      <c r="C10" s="2">
        <v>8667.1344506543501</v>
      </c>
      <c r="D10" s="11">
        <v>5.516243616269427E-2</v>
      </c>
      <c r="E10" s="2">
        <v>535.42291353237545</v>
      </c>
      <c r="F10" s="2">
        <v>61842.192217214906</v>
      </c>
    </row>
    <row r="11" spans="1:6" x14ac:dyDescent="0.25">
      <c r="A11" s="1" t="s">
        <v>25</v>
      </c>
      <c r="B11" s="2">
        <v>853903.23664849217</v>
      </c>
      <c r="C11" s="2">
        <v>8585.8173352831291</v>
      </c>
      <c r="D11" s="11">
        <v>5.7078543088453684E-2</v>
      </c>
      <c r="E11" s="2">
        <v>3907.3204554624026</v>
      </c>
      <c r="F11" s="2">
        <v>70428.009552498028</v>
      </c>
    </row>
    <row r="12" spans="1:6" x14ac:dyDescent="0.25">
      <c r="A12" s="1" t="s">
        <v>26</v>
      </c>
      <c r="B12" s="2">
        <v>849385.21737863624</v>
      </c>
      <c r="C12" s="2">
        <v>8539.032366484922</v>
      </c>
      <c r="D12" s="11">
        <v>5.3255531167044359E-2</v>
      </c>
      <c r="E12" s="2">
        <v>4021.0130966289098</v>
      </c>
      <c r="F12" s="2">
        <v>78967.041918982955</v>
      </c>
    </row>
    <row r="13" spans="1:6" x14ac:dyDescent="0.25">
      <c r="A13" s="1" t="s">
        <v>27</v>
      </c>
      <c r="B13" s="2">
        <v>844623.20823049697</v>
      </c>
      <c r="C13" s="2">
        <v>8493.852173786363</v>
      </c>
      <c r="D13" s="11">
        <v>1.346889111650715E-2</v>
      </c>
      <c r="E13" s="2">
        <v>3731.8430256471133</v>
      </c>
      <c r="F13" s="2">
        <v>87460.894092769318</v>
      </c>
    </row>
    <row r="14" spans="1:6" x14ac:dyDescent="0.25">
      <c r="A14" s="1" t="s">
        <v>28</v>
      </c>
      <c r="B14" s="2">
        <v>837115.50753534783</v>
      </c>
      <c r="C14" s="2">
        <v>8446.2320823049704</v>
      </c>
      <c r="D14" s="11">
        <v>4.0695586870205587E-2</v>
      </c>
      <c r="E14" s="2">
        <v>938.53138715584942</v>
      </c>
      <c r="F14" s="2">
        <v>95907.126175074285</v>
      </c>
    </row>
    <row r="15" spans="1:6" x14ac:dyDescent="0.25">
      <c r="A15" s="1" t="s">
        <v>29</v>
      </c>
      <c r="B15" s="2">
        <v>831554.87227572175</v>
      </c>
      <c r="C15" s="2">
        <v>8371.1550753534793</v>
      </c>
      <c r="D15" s="11">
        <v>5.8740764054267099E-2</v>
      </c>
      <c r="E15" s="2">
        <v>2810.5198157273317</v>
      </c>
      <c r="F15" s="2">
        <v>104278.28125042777</v>
      </c>
    </row>
    <row r="16" spans="1:6" x14ac:dyDescent="0.25">
      <c r="A16" s="1" t="s">
        <v>30</v>
      </c>
      <c r="B16" s="2">
        <v>827269.13245838275</v>
      </c>
      <c r="C16" s="2">
        <v>8315.5487227572175</v>
      </c>
      <c r="D16" s="11">
        <v>5.6230952958741448E-2</v>
      </c>
      <c r="E16" s="2">
        <v>4029.8089054182615</v>
      </c>
      <c r="F16" s="2">
        <v>112593.82997318498</v>
      </c>
    </row>
    <row r="17" spans="1:6" x14ac:dyDescent="0.25">
      <c r="A17" s="1" t="s">
        <v>31</v>
      </c>
      <c r="B17" s="2">
        <v>822834.18699669652</v>
      </c>
      <c r="C17" s="2">
        <v>8272.6913245838277</v>
      </c>
      <c r="D17" s="11">
        <v>3.8654167668129201E-2</v>
      </c>
      <c r="E17" s="2">
        <v>3837.7458628976087</v>
      </c>
      <c r="F17" s="2">
        <v>120866.52129776881</v>
      </c>
    </row>
    <row r="18" spans="1:6" x14ac:dyDescent="0.25">
      <c r="A18" s="1" t="s">
        <v>32</v>
      </c>
      <c r="B18" s="2">
        <v>817229.83770347678</v>
      </c>
      <c r="C18" s="2">
        <v>8228.3418699669655</v>
      </c>
      <c r="D18" s="11">
        <v>6.2030739577953534E-2</v>
      </c>
      <c r="E18" s="2">
        <v>2623.9925767472246</v>
      </c>
      <c r="F18" s="2">
        <v>129094.86316773578</v>
      </c>
    </row>
    <row r="19" spans="1:6" x14ac:dyDescent="0.25">
      <c r="A19" s="1" t="s">
        <v>33</v>
      </c>
      <c r="B19" s="2">
        <v>813239.74245357024</v>
      </c>
      <c r="C19" s="2">
        <v>8172.2983770347682</v>
      </c>
      <c r="D19" s="11">
        <v>5.9040522851231195E-2</v>
      </c>
      <c r="E19" s="2">
        <v>4182.2031271282021</v>
      </c>
      <c r="F19" s="2">
        <v>137267.16154477056</v>
      </c>
    </row>
    <row r="20" spans="1:6" x14ac:dyDescent="0.25">
      <c r="A20" s="1" t="s">
        <v>34</v>
      </c>
      <c r="B20" s="2">
        <v>809068.5082458579</v>
      </c>
      <c r="C20" s="2">
        <v>8132.3974245357031</v>
      </c>
      <c r="D20" s="11">
        <v>1.4998248315892294E-2</v>
      </c>
      <c r="E20" s="2">
        <v>3961.1632168233991</v>
      </c>
      <c r="F20" s="2">
        <v>145399.55896930626</v>
      </c>
    </row>
    <row r="21" spans="1:6" x14ac:dyDescent="0.25">
      <c r="A21" s="1" t="s">
        <v>35</v>
      </c>
      <c r="B21" s="2">
        <v>801978.92852067668</v>
      </c>
      <c r="C21" s="2">
        <v>8090.685082458579</v>
      </c>
      <c r="D21" s="11">
        <v>6.1629754136495851E-2</v>
      </c>
      <c r="E21" s="2">
        <v>1001.1053572772942</v>
      </c>
      <c r="F21" s="2">
        <v>153490.24405176484</v>
      </c>
    </row>
    <row r="22" spans="1:6" x14ac:dyDescent="0.25">
      <c r="A22" s="1" t="s">
        <v>36</v>
      </c>
      <c r="B22" s="2">
        <v>798036.76478092873</v>
      </c>
      <c r="C22" s="2">
        <v>8019.7892852067671</v>
      </c>
      <c r="D22" s="11">
        <v>3.8158547072191372E-2</v>
      </c>
      <c r="E22" s="2">
        <v>4077.6255454588236</v>
      </c>
      <c r="F22" s="2">
        <v>161510.0333369716</v>
      </c>
    </row>
    <row r="23" spans="1:6" x14ac:dyDescent="0.25">
      <c r="A23" s="1" t="s">
        <v>37</v>
      </c>
      <c r="B23" s="2">
        <v>792568.68081809359</v>
      </c>
      <c r="C23" s="2">
        <v>7980.3676478092875</v>
      </c>
      <c r="D23" s="11">
        <v>4.5820014347755185E-2</v>
      </c>
      <c r="E23" s="2">
        <v>2512.2836849741716</v>
      </c>
      <c r="F23" s="2">
        <v>169490.40098478089</v>
      </c>
    </row>
    <row r="24" spans="1:6" x14ac:dyDescent="0.25">
      <c r="A24" s="1" t="s">
        <v>38</v>
      </c>
      <c r="B24" s="2">
        <v>787639.0234468627</v>
      </c>
      <c r="C24" s="2">
        <v>7925.6868081809362</v>
      </c>
      <c r="D24" s="11">
        <v>5.5393561324398988E-2</v>
      </c>
      <c r="E24" s="2">
        <v>2996.029436949982</v>
      </c>
      <c r="F24" s="2">
        <v>177416.08779296183</v>
      </c>
    </row>
    <row r="25" spans="1:6" x14ac:dyDescent="0.25">
      <c r="A25" s="1" t="s">
        <v>39</v>
      </c>
      <c r="B25" s="2">
        <v>783362.11898250459</v>
      </c>
      <c r="C25" s="2">
        <v>7876.3902344686276</v>
      </c>
      <c r="D25" s="11">
        <v>1.4629357691319579E-2</v>
      </c>
      <c r="E25" s="2">
        <v>3599.4857701104656</v>
      </c>
      <c r="F25" s="2">
        <v>185292.47802743045</v>
      </c>
    </row>
    <row r="26" spans="1:6" x14ac:dyDescent="0.25">
      <c r="A26" s="1" t="s">
        <v>40</v>
      </c>
      <c r="B26" s="2">
        <v>776473.95477551466</v>
      </c>
      <c r="C26" s="2">
        <v>7833.6211898250458</v>
      </c>
      <c r="D26" s="11">
        <v>4.8680930481593214E-2</v>
      </c>
      <c r="E26" s="2">
        <v>945.45698283507136</v>
      </c>
      <c r="F26" s="2">
        <v>193126.09921725548</v>
      </c>
    </row>
    <row r="27" spans="1:6" x14ac:dyDescent="0.25">
      <c r="A27" s="1" t="s">
        <v>41</v>
      </c>
      <c r="B27" s="2">
        <v>771827.67188334814</v>
      </c>
      <c r="C27" s="2">
        <v>7764.7395477551472</v>
      </c>
      <c r="D27" s="11">
        <v>4.3298965849651559E-2</v>
      </c>
      <c r="E27" s="2">
        <v>3118.4566555885531</v>
      </c>
      <c r="F27" s="2">
        <v>200890.83876501065</v>
      </c>
    </row>
    <row r="28" spans="1:6" x14ac:dyDescent="0.25">
      <c r="A28" s="1" t="s">
        <v>42</v>
      </c>
      <c r="B28" s="2">
        <v>766866.4907150669</v>
      </c>
      <c r="C28" s="2">
        <v>7718.2767188334819</v>
      </c>
      <c r="D28" s="11">
        <v>3.453493538777145E-2</v>
      </c>
      <c r="E28" s="2">
        <v>2757.0955505521856</v>
      </c>
      <c r="F28" s="2">
        <v>208609.11548384413</v>
      </c>
    </row>
    <row r="29" spans="1:6" x14ac:dyDescent="0.25">
      <c r="A29" s="1" t="s">
        <v>43</v>
      </c>
      <c r="B29" s="2">
        <v>761382.72979631729</v>
      </c>
      <c r="C29" s="2">
        <v>7668.664907150669</v>
      </c>
      <c r="D29" s="11">
        <v>4.9907782868484331E-2</v>
      </c>
      <c r="E29" s="2">
        <v>2184.9039884010795</v>
      </c>
      <c r="F29" s="2">
        <v>216277.7803909948</v>
      </c>
    </row>
    <row r="30" spans="1:6" x14ac:dyDescent="0.25">
      <c r="A30" s="1" t="s">
        <v>44</v>
      </c>
      <c r="B30" s="2">
        <v>756903.81372492935</v>
      </c>
      <c r="C30" s="2">
        <v>7613.8272979631729</v>
      </c>
      <c r="D30" s="11">
        <v>5.0904663360954366E-2</v>
      </c>
      <c r="E30" s="2">
        <v>3134.9112265752992</v>
      </c>
      <c r="F30" s="2">
        <v>223891.60768895797</v>
      </c>
    </row>
    <row r="31" spans="1:6" x14ac:dyDescent="0.25">
      <c r="A31" s="1" t="s">
        <v>45</v>
      </c>
      <c r="B31" s="2">
        <v>752513.49512900901</v>
      </c>
      <c r="C31" s="2">
        <v>7569.0381372492939</v>
      </c>
      <c r="D31" s="11">
        <v>3.2483406966236708E-2</v>
      </c>
      <c r="E31" s="2">
        <v>3178.7195413289282</v>
      </c>
      <c r="F31" s="2">
        <v>231460.64582620727</v>
      </c>
    </row>
    <row r="32" spans="1:6" x14ac:dyDescent="0.25">
      <c r="A32" s="1" t="s">
        <v>46</v>
      </c>
      <c r="B32" s="2">
        <v>747005.00685178244</v>
      </c>
      <c r="C32" s="2">
        <v>7525.1349512900906</v>
      </c>
      <c r="D32" s="11">
        <v>3.3427058220593671E-2</v>
      </c>
      <c r="E32" s="2">
        <v>2016.6466740635146</v>
      </c>
      <c r="F32" s="2">
        <v>238985.78077749736</v>
      </c>
    </row>
    <row r="33" spans="1:6" x14ac:dyDescent="0.25">
      <c r="A33" s="1" t="s">
        <v>47</v>
      </c>
      <c r="B33" s="2">
        <v>741594.99662131118</v>
      </c>
      <c r="C33" s="2">
        <v>7470.0500685178249</v>
      </c>
      <c r="D33" s="11">
        <v>5.7612554848848252E-2</v>
      </c>
      <c r="E33" s="2">
        <v>2060.0398380465344</v>
      </c>
      <c r="F33" s="2">
        <v>246455.83084601519</v>
      </c>
    </row>
    <row r="34" spans="1:6" x14ac:dyDescent="0.25">
      <c r="A34" s="1" t="s">
        <v>48</v>
      </c>
      <c r="B34" s="2">
        <v>737703.87420462247</v>
      </c>
      <c r="C34" s="2">
        <v>7415.949966213112</v>
      </c>
      <c r="D34" s="11">
        <v>5.7431772637633091E-2</v>
      </c>
      <c r="E34" s="2">
        <v>3524.8275495243297</v>
      </c>
      <c r="F34" s="2">
        <v>253871.7808122283</v>
      </c>
    </row>
    <row r="35" spans="1:6" x14ac:dyDescent="0.25">
      <c r="A35" s="1" t="s">
        <v>49</v>
      </c>
      <c r="B35" s="2">
        <v>733822.16585969692</v>
      </c>
      <c r="C35" s="2">
        <v>7377.0387420462248</v>
      </c>
      <c r="D35" s="11">
        <v>4.8545360451932799E-2</v>
      </c>
      <c r="E35" s="2">
        <v>3495.3303971207292</v>
      </c>
      <c r="F35" s="2">
        <v>261248.81955427452</v>
      </c>
    </row>
    <row r="36" spans="1:6" x14ac:dyDescent="0.25">
      <c r="A36" s="1" t="s">
        <v>50</v>
      </c>
      <c r="B36" s="2">
        <v>729422.89627891523</v>
      </c>
      <c r="C36" s="2">
        <v>7338.2216585969691</v>
      </c>
      <c r="D36" s="11">
        <v>6.2804240732303909E-2</v>
      </c>
      <c r="E36" s="2">
        <v>2938.9520778153524</v>
      </c>
      <c r="F36" s="2">
        <v>268587.0412128715</v>
      </c>
    </row>
    <row r="37" spans="1:6" x14ac:dyDescent="0.25">
      <c r="A37" s="1" t="s">
        <v>51</v>
      </c>
      <c r="B37" s="2">
        <v>725908.06253794441</v>
      </c>
      <c r="C37" s="2">
        <v>7294.2289627891523</v>
      </c>
      <c r="D37" s="11">
        <v>6.0364370622718169E-2</v>
      </c>
      <c r="E37" s="2">
        <v>3779.3952218183153</v>
      </c>
      <c r="F37" s="2">
        <v>275881.27017566067</v>
      </c>
    </row>
    <row r="38" spans="1:6" x14ac:dyDescent="0.25">
      <c r="A38" s="1" t="s">
        <v>52</v>
      </c>
      <c r="B38" s="2">
        <v>722264.04803688242</v>
      </c>
      <c r="C38" s="2">
        <v>7259.0806253794444</v>
      </c>
      <c r="D38" s="11">
        <v>3.0124143596205109E-2</v>
      </c>
      <c r="E38" s="2">
        <v>3615.0661243174295</v>
      </c>
      <c r="F38" s="2">
        <v>283140.35080104013</v>
      </c>
    </row>
    <row r="39" spans="1:6" x14ac:dyDescent="0.25">
      <c r="A39" s="1" t="s">
        <v>53</v>
      </c>
      <c r="B39" s="2">
        <v>716836.40839305229</v>
      </c>
      <c r="C39" s="2">
        <v>7222.6404803688247</v>
      </c>
      <c r="D39" s="11">
        <v>5.2730086540760293E-2</v>
      </c>
      <c r="E39" s="2">
        <v>1795.000836538753</v>
      </c>
      <c r="F39" s="2">
        <v>290362.99128140893</v>
      </c>
    </row>
    <row r="40" spans="1:6" x14ac:dyDescent="0.25">
      <c r="A40" s="1" t="s">
        <v>54</v>
      </c>
      <c r="B40" s="2">
        <v>712786.44909175776</v>
      </c>
      <c r="C40" s="2">
        <v>7168.3640839305226</v>
      </c>
      <c r="D40" s="11">
        <v>6.261000679521779E-2</v>
      </c>
      <c r="E40" s="2">
        <v>3118.4047826360083</v>
      </c>
      <c r="F40" s="2">
        <v>297531.35536533943</v>
      </c>
    </row>
    <row r="41" spans="1:6" x14ac:dyDescent="0.25">
      <c r="A41" s="1" t="s">
        <v>55</v>
      </c>
      <c r="B41" s="2">
        <v>709340.35866558715</v>
      </c>
      <c r="C41" s="2">
        <v>7127.8644909175782</v>
      </c>
      <c r="D41" s="11">
        <v>3.1236603726538109E-2</v>
      </c>
      <c r="E41" s="2">
        <v>3681.7740647468645</v>
      </c>
      <c r="F41" s="2">
        <v>304659.21985625703</v>
      </c>
    </row>
    <row r="42" spans="1:6" x14ac:dyDescent="0.25">
      <c r="A42" s="1" t="s">
        <v>56</v>
      </c>
      <c r="B42" s="2">
        <v>704074.93923342868</v>
      </c>
      <c r="C42" s="2">
        <v>7093.4035866558715</v>
      </c>
      <c r="D42" s="11">
        <v>4.6211387393467224E-2</v>
      </c>
      <c r="E42" s="2">
        <v>1827.9841544973822</v>
      </c>
      <c r="F42" s="2">
        <v>311752.62344291288</v>
      </c>
    </row>
    <row r="43" spans="1:6" x14ac:dyDescent="0.25">
      <c r="A43" s="1" t="s">
        <v>57</v>
      </c>
      <c r="B43" s="2">
        <v>699718.43292219762</v>
      </c>
      <c r="C43" s="2">
        <v>7040.7493923342872</v>
      </c>
      <c r="D43" s="11">
        <v>2.0627134964001183E-2</v>
      </c>
      <c r="E43" s="2">
        <v>2684.2430811031991</v>
      </c>
      <c r="F43" s="2">
        <v>318793.3728352472</v>
      </c>
    </row>
    <row r="44" spans="1:6" x14ac:dyDescent="0.25">
      <c r="A44" s="1" t="s">
        <v>58</v>
      </c>
      <c r="B44" s="2">
        <v>693911.98648357228</v>
      </c>
      <c r="C44" s="2">
        <v>6997.1843292219764</v>
      </c>
      <c r="D44" s="11">
        <v>6.3227037355201646E-2</v>
      </c>
      <c r="E44" s="2">
        <v>1190.7378905965602</v>
      </c>
      <c r="F44" s="2">
        <v>325790.55716446915</v>
      </c>
    </row>
    <row r="45" spans="1:6" x14ac:dyDescent="0.25">
      <c r="A45" s="1" t="s">
        <v>59</v>
      </c>
      <c r="B45" s="2">
        <v>690592.47154371254</v>
      </c>
      <c r="C45" s="2">
        <v>6939.1198648357231</v>
      </c>
      <c r="D45" s="11">
        <v>5.2006764650497458E-2</v>
      </c>
      <c r="E45" s="2">
        <v>3619.6049249760677</v>
      </c>
      <c r="F45" s="2">
        <v>332729.67702930485</v>
      </c>
    </row>
    <row r="46" spans="1:6" x14ac:dyDescent="0.25">
      <c r="A46" s="1" t="s">
        <v>60</v>
      </c>
      <c r="B46" s="2">
        <v>686649.57393957616</v>
      </c>
      <c r="C46" s="2">
        <v>6905.924715437126</v>
      </c>
      <c r="D46" s="11">
        <v>7.9256334887963676E-3</v>
      </c>
      <c r="E46" s="2">
        <v>2963.0271113007857</v>
      </c>
      <c r="F46" s="2">
        <v>339635.60174474196</v>
      </c>
    </row>
    <row r="47" spans="1:6" x14ac:dyDescent="0.25">
      <c r="A47" s="1" t="s">
        <v>61</v>
      </c>
      <c r="B47" s="2">
        <v>680232.05416098877</v>
      </c>
      <c r="C47" s="2">
        <v>6866.495739395762</v>
      </c>
      <c r="D47" s="11">
        <v>4.7965979977628241E-2</v>
      </c>
      <c r="E47" s="2">
        <v>448.97596080836917</v>
      </c>
      <c r="F47" s="2">
        <v>346502.09748413775</v>
      </c>
    </row>
    <row r="48" spans="1:6" x14ac:dyDescent="0.25">
      <c r="A48" s="1" t="s">
        <v>62</v>
      </c>
      <c r="B48" s="2">
        <v>676121.54337930609</v>
      </c>
      <c r="C48" s="2">
        <v>6802.3205416098881</v>
      </c>
      <c r="D48" s="11">
        <v>2.0005223069056857E-2</v>
      </c>
      <c r="E48" s="2">
        <v>2691.8097599272205</v>
      </c>
      <c r="F48" s="2">
        <v>353304.41802574764</v>
      </c>
    </row>
    <row r="49" spans="1:6" x14ac:dyDescent="0.25">
      <c r="A49" s="1" t="s">
        <v>63</v>
      </c>
      <c r="B49" s="2">
        <v>670476.21983502363</v>
      </c>
      <c r="C49" s="2">
        <v>6761.2154337930615</v>
      </c>
      <c r="D49" s="11">
        <v>2.0300013298819562E-2</v>
      </c>
      <c r="E49" s="2">
        <v>1115.8918895105867</v>
      </c>
      <c r="F49" s="2">
        <v>360065.63345954072</v>
      </c>
    </row>
    <row r="50" spans="1:6" x14ac:dyDescent="0.25">
      <c r="A50" s="1" t="s">
        <v>64</v>
      </c>
      <c r="B50" s="2">
        <v>664894.33842145675</v>
      </c>
      <c r="C50" s="2">
        <v>6704.7621983502368</v>
      </c>
      <c r="D50" s="11">
        <v>5.6529086027802287E-2</v>
      </c>
      <c r="E50" s="2">
        <v>1122.8807847834428</v>
      </c>
      <c r="F50" s="2">
        <v>366770.39565789094</v>
      </c>
    </row>
    <row r="51" spans="1:6" x14ac:dyDescent="0.25">
      <c r="A51" s="1" t="s">
        <v>65</v>
      </c>
      <c r="B51" s="2">
        <v>661346.22925086424</v>
      </c>
      <c r="C51" s="2">
        <v>6648.9433842145672</v>
      </c>
      <c r="D51" s="11">
        <v>3.3733086056487761E-2</v>
      </c>
      <c r="E51" s="2">
        <v>3100.8342136220804</v>
      </c>
      <c r="F51" s="2">
        <v>373419.33904210554</v>
      </c>
    </row>
    <row r="52" spans="1:6" x14ac:dyDescent="0.25">
      <c r="A52" s="1" t="s">
        <v>66</v>
      </c>
      <c r="B52" s="2">
        <v>656573.28002267296</v>
      </c>
      <c r="C52" s="2">
        <v>6613.4622925086423</v>
      </c>
      <c r="D52" s="11">
        <v>1.3512834029255199E-2</v>
      </c>
      <c r="E52" s="2">
        <v>1840.5130643173795</v>
      </c>
      <c r="F52" s="2">
        <v>380032.80133461417</v>
      </c>
    </row>
    <row r="53" spans="1:6" x14ac:dyDescent="0.25">
      <c r="A53" s="1" t="s">
        <v>67</v>
      </c>
      <c r="B53" s="2">
        <v>650739.50089772791</v>
      </c>
      <c r="C53" s="2">
        <v>6565.7328002267295</v>
      </c>
      <c r="D53" s="11">
        <v>3.4396095738525805E-2</v>
      </c>
      <c r="E53" s="2">
        <v>731.9536752816814</v>
      </c>
      <c r="F53" s="2">
        <v>386598.53413484088</v>
      </c>
    </row>
    <row r="54" spans="1:6" x14ac:dyDescent="0.25">
      <c r="A54" s="1" t="s">
        <v>68</v>
      </c>
      <c r="B54" s="2">
        <v>646078.6949880824</v>
      </c>
      <c r="C54" s="2">
        <v>6507.3950089772788</v>
      </c>
      <c r="D54" s="11">
        <v>3.9090187941143571E-2</v>
      </c>
      <c r="E54" s="2">
        <v>1846.5890993317967</v>
      </c>
      <c r="F54" s="2">
        <v>393105.92914381815</v>
      </c>
    </row>
    <row r="55" spans="1:6" x14ac:dyDescent="0.25">
      <c r="A55" s="1" t="s">
        <v>69</v>
      </c>
      <c r="B55" s="2">
        <v>641701.47339117946</v>
      </c>
      <c r="C55" s="2">
        <v>6460.7869498808241</v>
      </c>
      <c r="D55" s="11">
        <v>3.4697002449615835E-2</v>
      </c>
      <c r="E55" s="2">
        <v>2083.5653529778656</v>
      </c>
      <c r="F55" s="2">
        <v>399566.71609369898</v>
      </c>
    </row>
    <row r="56" spans="1:6" x14ac:dyDescent="0.25">
      <c r="A56" s="1" t="s">
        <v>70</v>
      </c>
      <c r="B56" s="2">
        <v>637121.33085878717</v>
      </c>
      <c r="C56" s="2">
        <v>6417.0147339117948</v>
      </c>
      <c r="D56" s="11">
        <v>6.1597762489553815E-2</v>
      </c>
      <c r="E56" s="2">
        <v>1836.8722015195071</v>
      </c>
      <c r="F56" s="2">
        <v>405983.73082761077</v>
      </c>
    </row>
    <row r="57" spans="1:6" x14ac:dyDescent="0.25">
      <c r="A57" s="1" t="s">
        <v>71</v>
      </c>
      <c r="B57" s="2">
        <v>633987.85054445884</v>
      </c>
      <c r="C57" s="2">
        <v>6371.2133085878722</v>
      </c>
      <c r="D57" s="11">
        <v>6.2604452588469917E-2</v>
      </c>
      <c r="E57" s="2">
        <v>3237.7329942596102</v>
      </c>
      <c r="F57" s="2">
        <v>412354.94413619861</v>
      </c>
    </row>
    <row r="58" spans="1:6" x14ac:dyDescent="0.25">
      <c r="A58" s="1" t="s">
        <v>72</v>
      </c>
      <c r="B58" s="2">
        <v>630922.43518132798</v>
      </c>
      <c r="C58" s="2">
        <v>6339.8785054445889</v>
      </c>
      <c r="D58" s="11">
        <v>4.0068658078721481E-2</v>
      </c>
      <c r="E58" s="2">
        <v>3274.463142313813</v>
      </c>
      <c r="F58" s="2">
        <v>418694.82264164317</v>
      </c>
    </row>
    <row r="59" spans="1:6" x14ac:dyDescent="0.25">
      <c r="A59" s="1" t="s">
        <v>73</v>
      </c>
      <c r="B59" s="2">
        <v>626698.82859419635</v>
      </c>
      <c r="C59" s="2">
        <v>6309.22435181328</v>
      </c>
      <c r="D59" s="11">
        <v>3.3363450670186201E-2</v>
      </c>
      <c r="E59" s="2">
        <v>2085.6177646816832</v>
      </c>
      <c r="F59" s="2">
        <v>425004.04699345643</v>
      </c>
    </row>
    <row r="60" spans="1:6" x14ac:dyDescent="0.25">
      <c r="A60" s="1" t="s">
        <v>74</v>
      </c>
      <c r="B60" s="2">
        <v>622156.81923311576</v>
      </c>
      <c r="C60" s="2">
        <v>6266.988285941964</v>
      </c>
      <c r="D60" s="11">
        <v>2.5333102283762645E-2</v>
      </c>
      <c r="E60" s="2">
        <v>1724.9789248614406</v>
      </c>
      <c r="F60" s="2">
        <v>431271.03527939838</v>
      </c>
    </row>
    <row r="61" spans="1:6" x14ac:dyDescent="0.25">
      <c r="A61" s="1" t="s">
        <v>75</v>
      </c>
      <c r="B61" s="2">
        <v>617235.54693368392</v>
      </c>
      <c r="C61" s="2">
        <v>6221.5681923311577</v>
      </c>
      <c r="D61" s="11">
        <v>2.5520312764574116E-2</v>
      </c>
      <c r="E61" s="2">
        <v>1300.2958928992682</v>
      </c>
      <c r="F61" s="2">
        <v>437492.60347172956</v>
      </c>
    </row>
    <row r="62" spans="1:6" x14ac:dyDescent="0.25">
      <c r="A62" s="1" t="s">
        <v>76</v>
      </c>
      <c r="B62" s="2">
        <v>612362.73511143785</v>
      </c>
      <c r="C62" s="2">
        <v>6172.3554693368396</v>
      </c>
      <c r="D62" s="11">
        <v>5.0856155317034843E-2</v>
      </c>
      <c r="E62" s="2">
        <v>1299.5436470907478</v>
      </c>
      <c r="F62" s="2">
        <v>443664.9589410664</v>
      </c>
    </row>
    <row r="63" spans="1:6" x14ac:dyDescent="0.25">
      <c r="A63" s="1" t="s">
        <v>77</v>
      </c>
      <c r="B63" s="2">
        <v>608808.35694561678</v>
      </c>
      <c r="C63" s="2">
        <v>6123.6273511143791</v>
      </c>
      <c r="D63" s="11">
        <v>4.0500529415296679E-2</v>
      </c>
      <c r="E63" s="2">
        <v>2569.2491852933026</v>
      </c>
      <c r="F63" s="2">
        <v>449788.58629218076</v>
      </c>
    </row>
    <row r="64" spans="1:6" x14ac:dyDescent="0.25">
      <c r="A64" s="1" t="s">
        <v>78</v>
      </c>
      <c r="B64" s="2">
        <v>604754.48088958289</v>
      </c>
      <c r="C64" s="2">
        <v>6088.0835694561674</v>
      </c>
      <c r="D64" s="11">
        <v>4.063332692418245E-2</v>
      </c>
      <c r="E64" s="2">
        <v>2034.2075134222375</v>
      </c>
      <c r="F64" s="2">
        <v>455876.66986163694</v>
      </c>
    </row>
    <row r="65" spans="1:6" x14ac:dyDescent="0.25">
      <c r="A65" s="1" t="s">
        <v>79</v>
      </c>
      <c r="B65" s="2">
        <v>600734.22396948223</v>
      </c>
      <c r="C65" s="2">
        <v>6047.5448088958292</v>
      </c>
      <c r="D65" s="11">
        <v>5.3394024658925593E-2</v>
      </c>
      <c r="E65" s="2">
        <v>2027.2878887951804</v>
      </c>
      <c r="F65" s="2">
        <v>461924.21467053279</v>
      </c>
    </row>
    <row r="66" spans="1:6" x14ac:dyDescent="0.25">
      <c r="A66" s="1" t="s">
        <v>80</v>
      </c>
      <c r="B66" s="2">
        <v>597373.12021215458</v>
      </c>
      <c r="C66" s="2">
        <v>6007.3422396948226</v>
      </c>
      <c r="D66" s="11">
        <v>3.6122359129790546E-2</v>
      </c>
      <c r="E66" s="2">
        <v>2646.2384823671828</v>
      </c>
      <c r="F66" s="2">
        <v>467931.55691022763</v>
      </c>
    </row>
    <row r="67" spans="1:6" x14ac:dyDescent="0.25">
      <c r="A67" s="1" t="s">
        <v>81</v>
      </c>
      <c r="B67" s="2">
        <v>593179.61743661296</v>
      </c>
      <c r="C67" s="2">
        <v>5973.7312021215457</v>
      </c>
      <c r="D67" s="11">
        <v>5.0326092228641574E-2</v>
      </c>
      <c r="E67" s="2">
        <v>1780.2284265799262</v>
      </c>
      <c r="F67" s="2">
        <v>473905.28811234917</v>
      </c>
    </row>
    <row r="68" spans="1:6" x14ac:dyDescent="0.25">
      <c r="A68" s="1" t="s">
        <v>82</v>
      </c>
      <c r="B68" s="2">
        <v>589710.64526340622</v>
      </c>
      <c r="C68" s="2">
        <v>5931.7961743661299</v>
      </c>
      <c r="D68" s="11">
        <v>2.881396434314815E-2</v>
      </c>
      <c r="E68" s="2">
        <v>2462.824001159388</v>
      </c>
      <c r="F68" s="2">
        <v>479837.08428671531</v>
      </c>
    </row>
    <row r="69" spans="1:6" x14ac:dyDescent="0.25">
      <c r="A69" s="1" t="s">
        <v>83</v>
      </c>
      <c r="B69" s="2">
        <v>585215.37068496714</v>
      </c>
      <c r="C69" s="2">
        <v>5897.1064526340624</v>
      </c>
      <c r="D69" s="11">
        <v>2.7277354693147689E-2</v>
      </c>
      <c r="E69" s="2">
        <v>1401.8318741950604</v>
      </c>
      <c r="F69" s="2">
        <v>485734.19073934935</v>
      </c>
    </row>
    <row r="70" spans="1:6" x14ac:dyDescent="0.25">
      <c r="A70" s="1" t="s">
        <v>84</v>
      </c>
      <c r="B70" s="2">
        <v>580680.17497525702</v>
      </c>
      <c r="C70" s="2">
        <v>5852.1537068496718</v>
      </c>
      <c r="D70" s="11">
        <v>4.8305651970220492E-2</v>
      </c>
      <c r="E70" s="2">
        <v>1316.9579971395997</v>
      </c>
      <c r="F70" s="2">
        <v>491586.34444619901</v>
      </c>
    </row>
    <row r="71" spans="1:6" x14ac:dyDescent="0.25">
      <c r="A71" s="1" t="s">
        <v>85</v>
      </c>
      <c r="B71" s="2">
        <v>577187.50931666919</v>
      </c>
      <c r="C71" s="2">
        <v>5806.8017497525707</v>
      </c>
      <c r="D71" s="11">
        <v>1.7968265692776965E-2</v>
      </c>
      <c r="E71" s="2">
        <v>2314.1360911648239</v>
      </c>
      <c r="F71" s="2">
        <v>497393.14619595156</v>
      </c>
    </row>
    <row r="72" spans="1:6" x14ac:dyDescent="0.25">
      <c r="A72" s="1" t="s">
        <v>86</v>
      </c>
      <c r="B72" s="2">
        <v>572271.24655156373</v>
      </c>
      <c r="C72" s="2">
        <v>5771.8750931666918</v>
      </c>
      <c r="D72" s="11">
        <v>4.2800535214723053E-2</v>
      </c>
      <c r="E72" s="2">
        <v>855.61232806121257</v>
      </c>
      <c r="F72" s="2">
        <v>503165.02128911827</v>
      </c>
    </row>
    <row r="73" spans="1:6" x14ac:dyDescent="0.25">
      <c r="A73" s="1" t="s">
        <v>87</v>
      </c>
      <c r="B73" s="2">
        <v>568569.24912638147</v>
      </c>
      <c r="C73" s="2">
        <v>5722.7124655156376</v>
      </c>
      <c r="D73" s="11">
        <v>6.0190691315685857E-2</v>
      </c>
      <c r="E73" s="2">
        <v>2020.7150403333023</v>
      </c>
      <c r="F73" s="2">
        <v>508887.73375463393</v>
      </c>
    </row>
    <row r="74" spans="1:6" x14ac:dyDescent="0.25">
      <c r="A74" s="1" t="s">
        <v>88</v>
      </c>
      <c r="B74" s="2">
        <v>565706.91916879255</v>
      </c>
      <c r="C74" s="2">
        <v>5685.6924912638151</v>
      </c>
      <c r="D74" s="11">
        <v>3.2333776438190492E-2</v>
      </c>
      <c r="E74" s="2">
        <v>2823.3625336749787</v>
      </c>
      <c r="F74" s="2">
        <v>514573.42624589772</v>
      </c>
    </row>
    <row r="75" spans="1:6" x14ac:dyDescent="0.25">
      <c r="A75" s="1" t="s">
        <v>89</v>
      </c>
      <c r="B75" s="2">
        <v>561558.8938640547</v>
      </c>
      <c r="C75" s="2">
        <v>5657.0691916879259</v>
      </c>
      <c r="D75" s="11">
        <v>5.6043276805035021E-2</v>
      </c>
      <c r="E75" s="2">
        <v>1509.043886950152</v>
      </c>
      <c r="F75" s="2">
        <v>520230.49543758563</v>
      </c>
    </row>
    <row r="76" spans="1:6" x14ac:dyDescent="0.25">
      <c r="A76" s="1" t="s">
        <v>90</v>
      </c>
      <c r="B76" s="2">
        <v>558539.71196923428</v>
      </c>
      <c r="C76" s="2">
        <v>5615.588938640547</v>
      </c>
      <c r="D76" s="11">
        <v>3.8930838907581942E-2</v>
      </c>
      <c r="E76" s="2">
        <v>2596.4070438200811</v>
      </c>
      <c r="F76" s="2">
        <v>525846.08437622618</v>
      </c>
    </row>
    <row r="77" spans="1:6" x14ac:dyDescent="0.25">
      <c r="A77" s="1" t="s">
        <v>91</v>
      </c>
      <c r="B77" s="2">
        <v>554748.22946243035</v>
      </c>
      <c r="C77" s="2">
        <v>5585.397119692343</v>
      </c>
      <c r="D77" s="11">
        <v>3.403909771742103E-2</v>
      </c>
      <c r="E77" s="2">
        <v>1793.9146128883222</v>
      </c>
      <c r="F77" s="2">
        <v>531431.48149591847</v>
      </c>
    </row>
    <row r="78" spans="1:6" x14ac:dyDescent="0.25">
      <c r="A78" s="1" t="s">
        <v>92</v>
      </c>
      <c r="B78" s="2">
        <v>550758.60532608314</v>
      </c>
      <c r="C78" s="2">
        <v>5547.4822946243039</v>
      </c>
      <c r="D78" s="11">
        <v>6.0642463292539597E-2</v>
      </c>
      <c r="E78" s="2">
        <v>1557.8581582771326</v>
      </c>
      <c r="F78" s="2">
        <v>536978.9637905428</v>
      </c>
    </row>
    <row r="79" spans="1:6" x14ac:dyDescent="0.25">
      <c r="A79" s="1" t="s">
        <v>93</v>
      </c>
      <c r="B79" s="2">
        <v>548006.46634961164</v>
      </c>
      <c r="C79" s="2">
        <v>5507.5860532608312</v>
      </c>
      <c r="D79" s="11">
        <v>5.0268973246420996E-2</v>
      </c>
      <c r="E79" s="2">
        <v>2755.4470767893272</v>
      </c>
      <c r="F79" s="2">
        <v>542486.54984380363</v>
      </c>
    </row>
    <row r="80" spans="1:6" x14ac:dyDescent="0.25">
      <c r="A80" s="1" t="s">
        <v>94</v>
      </c>
      <c r="B80" s="2">
        <v>544799.08878376859</v>
      </c>
      <c r="C80" s="2">
        <v>5480.0646634961167</v>
      </c>
      <c r="D80" s="11">
        <v>5.0105569969188614E-2</v>
      </c>
      <c r="E80" s="2">
        <v>2272.6870976530327</v>
      </c>
      <c r="F80" s="2">
        <v>547966.61450729973</v>
      </c>
    </row>
    <row r="81" spans="1:6" x14ac:dyDescent="0.25">
      <c r="A81" s="1" t="s">
        <v>95</v>
      </c>
      <c r="B81" s="2">
        <v>541603.13907706283</v>
      </c>
      <c r="C81" s="2">
        <v>5447.9908878376864</v>
      </c>
      <c r="D81" s="11">
        <v>4.1398375140199131E-2</v>
      </c>
      <c r="E81" s="2">
        <v>2252.0411811319386</v>
      </c>
      <c r="F81" s="2">
        <v>553414.60539513745</v>
      </c>
    </row>
    <row r="82" spans="1:6" x14ac:dyDescent="0.25">
      <c r="A82" s="1" t="s">
        <v>96</v>
      </c>
      <c r="B82" s="2">
        <v>538036.88060540357</v>
      </c>
      <c r="C82" s="2">
        <v>5416.0313907706286</v>
      </c>
      <c r="D82" s="11">
        <v>1.979634547560365E-2</v>
      </c>
      <c r="E82" s="2">
        <v>1849.7729191112896</v>
      </c>
      <c r="F82" s="2">
        <v>558830.63678590802</v>
      </c>
    </row>
    <row r="83" spans="1:6" x14ac:dyDescent="0.25">
      <c r="A83" s="1" t="s">
        <v>97</v>
      </c>
      <c r="B83" s="2">
        <v>533535.23282663373</v>
      </c>
      <c r="C83" s="2">
        <v>5380.3688060540362</v>
      </c>
      <c r="D83" s="11">
        <v>4.7372570267424433E-2</v>
      </c>
      <c r="E83" s="2">
        <v>878.72102728415632</v>
      </c>
      <c r="F83" s="2">
        <v>564211.00559196202</v>
      </c>
    </row>
    <row r="84" spans="1:6" x14ac:dyDescent="0.25">
      <c r="A84" s="1" t="s">
        <v>98</v>
      </c>
      <c r="B84" s="2">
        <v>530285.06266121357</v>
      </c>
      <c r="C84" s="2">
        <v>5335.3523282663373</v>
      </c>
      <c r="D84" s="11">
        <v>5.2706178261748678E-2</v>
      </c>
      <c r="E84" s="2">
        <v>2085.1821628461748</v>
      </c>
      <c r="F84" s="2">
        <v>569546.35792022839</v>
      </c>
    </row>
    <row r="85" spans="1:6" x14ac:dyDescent="0.25">
      <c r="A85" s="1" t="s">
        <v>99</v>
      </c>
      <c r="B85" s="2">
        <v>527288.02920558001</v>
      </c>
      <c r="C85" s="2">
        <v>5302.8506266121358</v>
      </c>
      <c r="D85" s="11">
        <v>6.045552308666876E-2</v>
      </c>
      <c r="E85" s="2">
        <v>2305.8171709785706</v>
      </c>
      <c r="F85" s="2">
        <v>574849.20854684047</v>
      </c>
    </row>
    <row r="86" spans="1:6" x14ac:dyDescent="0.25">
      <c r="A86" s="1" t="s">
        <v>100</v>
      </c>
      <c r="B86" s="2">
        <v>524645.04048741865</v>
      </c>
      <c r="C86" s="2">
        <v>5272.8802920558001</v>
      </c>
      <c r="D86" s="11">
        <v>5.7786405705729856E-2</v>
      </c>
      <c r="E86" s="2">
        <v>2629.891573894366</v>
      </c>
      <c r="F86" s="2">
        <v>580122.08883889625</v>
      </c>
    </row>
    <row r="87" spans="1:6" x14ac:dyDescent="0.25">
      <c r="A87" s="1" t="s">
        <v>101</v>
      </c>
      <c r="B87" s="2">
        <v>521899.77155333565</v>
      </c>
      <c r="C87" s="2">
        <v>5246.4504048741865</v>
      </c>
      <c r="D87" s="11">
        <v>9.5140320395089972E-3</v>
      </c>
      <c r="E87" s="2">
        <v>2501.1814707911658</v>
      </c>
      <c r="F87" s="2">
        <v>585368.53924377041</v>
      </c>
    </row>
    <row r="88" spans="1:6" x14ac:dyDescent="0.25">
      <c r="A88" s="1" t="s">
        <v>102</v>
      </c>
      <c r="B88" s="2">
        <v>517090.41695750988</v>
      </c>
      <c r="C88" s="2">
        <v>5218.9977155333563</v>
      </c>
      <c r="D88" s="11">
        <v>4.6620192660895489E-2</v>
      </c>
      <c r="E88" s="2">
        <v>409.6431197075961</v>
      </c>
      <c r="F88" s="2">
        <v>590587.53695930378</v>
      </c>
    </row>
    <row r="89" spans="1:6" x14ac:dyDescent="0.25">
      <c r="A89" s="1" t="s">
        <v>103</v>
      </c>
      <c r="B89" s="2">
        <v>513908.32831402193</v>
      </c>
      <c r="C89" s="2">
        <v>5170.9041695750993</v>
      </c>
      <c r="D89" s="11">
        <v>6.0536401642675985E-2</v>
      </c>
      <c r="E89" s="2">
        <v>1988.815526087106</v>
      </c>
      <c r="F89" s="2">
        <v>595758.44112887885</v>
      </c>
    </row>
    <row r="90" spans="1:6" x14ac:dyDescent="0.25">
      <c r="A90" s="1" t="s">
        <v>104</v>
      </c>
      <c r="B90" s="2">
        <v>511335.83331093425</v>
      </c>
      <c r="C90" s="2">
        <v>5139.0832831402195</v>
      </c>
      <c r="D90" s="11">
        <v>4.1485473848146819E-2</v>
      </c>
      <c r="E90" s="2">
        <v>2566.5882800525405</v>
      </c>
      <c r="F90" s="2">
        <v>600897.52441201906</v>
      </c>
    </row>
    <row r="91" spans="1:6" x14ac:dyDescent="0.25">
      <c r="A91" s="1" t="s">
        <v>105</v>
      </c>
      <c r="B91" s="2">
        <v>507972.54824841127</v>
      </c>
      <c r="C91" s="2">
        <v>5113.3583331093423</v>
      </c>
      <c r="D91" s="11">
        <v>5.2074857657938969E-2</v>
      </c>
      <c r="E91" s="2">
        <v>1750.0732705863927</v>
      </c>
      <c r="F91" s="2">
        <v>606010.88274512836</v>
      </c>
    </row>
    <row r="92" spans="1:6" x14ac:dyDescent="0.25">
      <c r="A92" s="1" t="s">
        <v>106</v>
      </c>
      <c r="B92" s="2">
        <v>505075.16211282177</v>
      </c>
      <c r="C92" s="2">
        <v>5079.7254824841129</v>
      </c>
      <c r="D92" s="11">
        <v>4.4830968012096406E-2</v>
      </c>
      <c r="E92" s="2">
        <v>2182.3393468945656</v>
      </c>
      <c r="F92" s="2">
        <v>611090.60822761245</v>
      </c>
    </row>
    <row r="93" spans="1:6" x14ac:dyDescent="0.25">
      <c r="A93" s="1" t="s">
        <v>107</v>
      </c>
      <c r="B93" s="2">
        <v>501892.45868769527</v>
      </c>
      <c r="C93" s="2">
        <v>5050.7516211282182</v>
      </c>
      <c r="D93" s="11">
        <v>4.5331556325098644E-2</v>
      </c>
      <c r="E93" s="2">
        <v>1868.0481960017062</v>
      </c>
      <c r="F93" s="2">
        <v>616141.35984874063</v>
      </c>
    </row>
    <row r="94" spans="1:6" x14ac:dyDescent="0.25">
      <c r="A94" s="1" t="s">
        <v>108</v>
      </c>
      <c r="B94" s="2">
        <v>498750.53831728018</v>
      </c>
      <c r="C94" s="2">
        <v>5018.9245868769531</v>
      </c>
      <c r="D94" s="11">
        <v>4.3033941579509682E-2</v>
      </c>
      <c r="E94" s="2">
        <v>1877.004216461839</v>
      </c>
      <c r="F94" s="2">
        <v>621160.28443561762</v>
      </c>
    </row>
    <row r="95" spans="1:6" x14ac:dyDescent="0.25">
      <c r="A95" s="1" t="s">
        <v>109</v>
      </c>
      <c r="B95" s="2">
        <v>495533.7470602247</v>
      </c>
      <c r="C95" s="2">
        <v>4987.5053831728019</v>
      </c>
      <c r="D95" s="11">
        <v>3.7601736664740204E-2</v>
      </c>
      <c r="E95" s="2">
        <v>1770.7141261173242</v>
      </c>
      <c r="F95" s="2">
        <v>626147.78981879039</v>
      </c>
    </row>
    <row r="96" spans="1:6" x14ac:dyDescent="0.25">
      <c r="A96" s="1" t="s">
        <v>110</v>
      </c>
      <c r="B96" s="2">
        <v>492115.62627052213</v>
      </c>
      <c r="C96" s="2">
        <v>4955.3374706022469</v>
      </c>
      <c r="D96" s="11">
        <v>4.0240981661386212E-2</v>
      </c>
      <c r="E96" s="2">
        <v>1537.2166808996703</v>
      </c>
      <c r="F96" s="2">
        <v>631103.12728939264</v>
      </c>
    </row>
    <row r="97" spans="1:6" x14ac:dyDescent="0.25">
      <c r="A97" s="1" t="s">
        <v>111</v>
      </c>
      <c r="B97" s="2">
        <v>488828.23531890969</v>
      </c>
      <c r="C97" s="2">
        <v>4921.1562627052217</v>
      </c>
      <c r="D97" s="11">
        <v>3.2847013941062597E-2</v>
      </c>
      <c r="E97" s="2">
        <v>1633.7653110927779</v>
      </c>
      <c r="F97" s="2">
        <v>636024.28355209786</v>
      </c>
    </row>
    <row r="98" spans="1:6" x14ac:dyDescent="0.25">
      <c r="A98" s="1" t="s">
        <v>112</v>
      </c>
      <c r="B98" s="2">
        <v>485264.6181641958</v>
      </c>
      <c r="C98" s="2">
        <v>4888.2823531890972</v>
      </c>
      <c r="D98" s="11">
        <v>1.4912208501839819E-2</v>
      </c>
      <c r="E98" s="2">
        <v>1324.6651984751836</v>
      </c>
      <c r="F98" s="2">
        <v>640912.56590528693</v>
      </c>
    </row>
    <row r="99" spans="1:6" x14ac:dyDescent="0.25">
      <c r="A99" s="1" t="s">
        <v>113</v>
      </c>
      <c r="B99" s="2">
        <v>481008.97227363579</v>
      </c>
      <c r="C99" s="2">
        <v>4852.6461816419578</v>
      </c>
      <c r="D99" s="11">
        <v>3.1231084821110418E-2</v>
      </c>
      <c r="E99" s="2">
        <v>597.00029108198942</v>
      </c>
      <c r="F99" s="2">
        <v>645765.21208692889</v>
      </c>
    </row>
    <row r="100" spans="1:6" x14ac:dyDescent="0.25">
      <c r="A100" s="1" t="s">
        <v>114</v>
      </c>
      <c r="B100" s="2">
        <v>477438.2331919549</v>
      </c>
      <c r="C100" s="2">
        <v>4810.0897227363585</v>
      </c>
      <c r="D100" s="11">
        <v>6.2580442159473795E-2</v>
      </c>
      <c r="E100" s="2">
        <v>1239.3506410554282</v>
      </c>
      <c r="F100" s="2">
        <v>650575.30180966528</v>
      </c>
    </row>
    <row r="101" spans="1:6" x14ac:dyDescent="0.25">
      <c r="A101" s="1" t="s">
        <v>115</v>
      </c>
      <c r="B101" s="2">
        <v>475128.81025833706</v>
      </c>
      <c r="C101" s="2">
        <v>4774.382331919549</v>
      </c>
      <c r="D101" s="11">
        <v>1.5609771937305568E-2</v>
      </c>
      <c r="E101" s="2">
        <v>2464.9593983017157</v>
      </c>
      <c r="F101" s="2">
        <v>655349.68414158479</v>
      </c>
    </row>
    <row r="102" spans="1:6" x14ac:dyDescent="0.25">
      <c r="A102" s="1" t="s">
        <v>116</v>
      </c>
      <c r="B102" s="2">
        <v>470989.39597619418</v>
      </c>
      <c r="C102" s="2">
        <v>4751.2881025833703</v>
      </c>
      <c r="D102" s="11">
        <v>3.9511590826380907E-2</v>
      </c>
      <c r="E102" s="2">
        <v>611.87382044051765</v>
      </c>
      <c r="F102" s="2">
        <v>660100.97224416817</v>
      </c>
    </row>
    <row r="103" spans="1:6" x14ac:dyDescent="0.25">
      <c r="A103" s="1" t="s">
        <v>117</v>
      </c>
      <c r="B103" s="2">
        <v>467814.7890909657</v>
      </c>
      <c r="C103" s="2">
        <v>4709.8939597619419</v>
      </c>
      <c r="D103" s="11">
        <v>3.8209706619082823E-2</v>
      </c>
      <c r="E103" s="2">
        <v>1535.2870745334935</v>
      </c>
      <c r="F103" s="2">
        <v>664810.86620393011</v>
      </c>
    </row>
    <row r="104" spans="1:6" x14ac:dyDescent="0.25">
      <c r="A104" s="1" t="s">
        <v>118</v>
      </c>
      <c r="B104" s="2">
        <v>464611.33413212287</v>
      </c>
      <c r="C104" s="2">
        <v>4678.1478909096568</v>
      </c>
      <c r="D104" s="11">
        <v>4.4267132174292463E-2</v>
      </c>
      <c r="E104" s="2">
        <v>1474.6929320667973</v>
      </c>
      <c r="F104" s="2">
        <v>669489.0140948398</v>
      </c>
    </row>
    <row r="105" spans="1:6" x14ac:dyDescent="0.25">
      <c r="A105" s="1" t="s">
        <v>119</v>
      </c>
      <c r="B105" s="2">
        <v>461661.99922616198</v>
      </c>
      <c r="C105" s="2">
        <v>4646.1133413212292</v>
      </c>
      <c r="D105" s="11">
        <v>2.4953001668167839E-2</v>
      </c>
      <c r="E105" s="2">
        <v>1696.7784353603358</v>
      </c>
      <c r="F105" s="2">
        <v>674135.12743616104</v>
      </c>
    </row>
    <row r="106" spans="1:6" x14ac:dyDescent="0.25">
      <c r="A106" s="1" t="s">
        <v>120</v>
      </c>
      <c r="B106" s="2">
        <v>457995.767076438</v>
      </c>
      <c r="C106" s="2">
        <v>4616.6199922616197</v>
      </c>
      <c r="D106" s="11">
        <v>4.3564167445053557E-2</v>
      </c>
      <c r="E106" s="2">
        <v>950.38784253765982</v>
      </c>
      <c r="F106" s="2">
        <v>678751.74742842268</v>
      </c>
    </row>
    <row r="107" spans="1:6" x14ac:dyDescent="0.25">
      <c r="A107" s="1" t="s">
        <v>121</v>
      </c>
      <c r="B107" s="2">
        <v>455061.86625927227</v>
      </c>
      <c r="C107" s="2">
        <v>4579.9576707643801</v>
      </c>
      <c r="D107" s="11">
        <v>3.2079130533236598E-2</v>
      </c>
      <c r="E107" s="2">
        <v>1646.0568535986047</v>
      </c>
      <c r="F107" s="2">
        <v>683331.70509918709</v>
      </c>
    </row>
    <row r="108" spans="1:6" x14ac:dyDescent="0.25">
      <c r="A108" s="1" t="s">
        <v>122</v>
      </c>
      <c r="B108" s="2">
        <v>451715.58168987499</v>
      </c>
      <c r="C108" s="2">
        <v>4550.618662592723</v>
      </c>
      <c r="D108" s="11">
        <v>5.0149850407355423E-2</v>
      </c>
      <c r="E108" s="2">
        <v>1204.3340931954297</v>
      </c>
      <c r="F108" s="2">
        <v>687882.32376177981</v>
      </c>
    </row>
    <row r="109" spans="1:6" x14ac:dyDescent="0.25">
      <c r="A109" s="1" t="s">
        <v>123</v>
      </c>
      <c r="B109" s="2">
        <v>449067.33705297078</v>
      </c>
      <c r="C109" s="2">
        <v>4517.1558168987503</v>
      </c>
      <c r="D109" s="11">
        <v>4.6564802586503515E-2</v>
      </c>
      <c r="E109" s="2">
        <v>1868.9111799945485</v>
      </c>
      <c r="F109" s="2">
        <v>692399.47957867861</v>
      </c>
    </row>
    <row r="110" spans="1:6" x14ac:dyDescent="0.25">
      <c r="A110" s="1" t="s">
        <v>124</v>
      </c>
      <c r="B110" s="2">
        <v>446301.79906401935</v>
      </c>
      <c r="C110" s="2">
        <v>4490.6733705297074</v>
      </c>
      <c r="D110" s="11">
        <v>2.5004176744601952E-2</v>
      </c>
      <c r="E110" s="2">
        <v>1725.1353815782695</v>
      </c>
      <c r="F110" s="2">
        <v>696890.15294920828</v>
      </c>
    </row>
    <row r="111" spans="1:6" x14ac:dyDescent="0.25">
      <c r="A111" s="1" t="s">
        <v>125</v>
      </c>
      <c r="B111" s="2">
        <v>442759.43232126068</v>
      </c>
      <c r="C111" s="2">
        <v>4463.0179906401936</v>
      </c>
      <c r="D111" s="11">
        <v>6.1271369086911595E-2</v>
      </c>
      <c r="E111" s="2">
        <v>920.65124788152173</v>
      </c>
      <c r="F111" s="2">
        <v>701353.17093984853</v>
      </c>
    </row>
    <row r="112" spans="1:6" x14ac:dyDescent="0.25">
      <c r="A112" s="1" t="s">
        <v>126</v>
      </c>
      <c r="B112" s="2">
        <v>440569.93731709162</v>
      </c>
      <c r="C112" s="2">
        <v>4427.5943232126074</v>
      </c>
      <c r="D112" s="11">
        <v>5.116637222172183E-2</v>
      </c>
      <c r="E112" s="2">
        <v>2238.099319043562</v>
      </c>
      <c r="F112" s="2">
        <v>705780.76526306116</v>
      </c>
    </row>
    <row r="113" spans="1:6" x14ac:dyDescent="0.25">
      <c r="A113" s="1" t="s">
        <v>127</v>
      </c>
      <c r="B113" s="2">
        <v>438023.98308962426</v>
      </c>
      <c r="C113" s="2">
        <v>4405.6993731709163</v>
      </c>
      <c r="D113" s="11">
        <v>4.4992771097867083E-2</v>
      </c>
      <c r="E113" s="2">
        <v>1859.7451457035247</v>
      </c>
      <c r="F113" s="2">
        <v>710186.46463623212</v>
      </c>
    </row>
    <row r="114" spans="1:6" x14ac:dyDescent="0.25">
      <c r="A114" s="1" t="s">
        <v>128</v>
      </c>
      <c r="B114" s="2">
        <v>435269.64606526651</v>
      </c>
      <c r="C114" s="2">
        <v>4380.2398308962429</v>
      </c>
      <c r="D114" s="11">
        <v>3.9520701331583606E-2</v>
      </c>
      <c r="E114" s="2">
        <v>1625.902806538516</v>
      </c>
      <c r="F114" s="2">
        <v>714566.70446712838</v>
      </c>
    </row>
    <row r="115" spans="1:6" x14ac:dyDescent="0.25">
      <c r="A115" s="1" t="s">
        <v>129</v>
      </c>
      <c r="B115" s="2">
        <v>432336.12794328388</v>
      </c>
      <c r="C115" s="2">
        <v>4352.6964606526653</v>
      </c>
      <c r="D115" s="11">
        <v>2.0724413021596576E-2</v>
      </c>
      <c r="E115" s="2">
        <v>1419.178338670084</v>
      </c>
      <c r="F115" s="2">
        <v>718919.40092778101</v>
      </c>
    </row>
    <row r="116" spans="1:6" x14ac:dyDescent="0.25">
      <c r="A116" s="1" t="s">
        <v>130</v>
      </c>
      <c r="B116" s="2">
        <v>428751.95944342256</v>
      </c>
      <c r="C116" s="2">
        <v>4323.3612794328392</v>
      </c>
      <c r="D116" s="11">
        <v>5.5999831097211891E-2</v>
      </c>
      <c r="E116" s="2">
        <v>739.19277957149097</v>
      </c>
      <c r="F116" s="2">
        <v>723242.76220721391</v>
      </c>
    </row>
    <row r="117" spans="1:6" x14ac:dyDescent="0.25">
      <c r="A117" s="1" t="s">
        <v>131</v>
      </c>
      <c r="B117" s="2">
        <v>426445.26792718132</v>
      </c>
      <c r="C117" s="2">
        <v>4287.5195944342258</v>
      </c>
      <c r="D117" s="11">
        <v>4.2878470166409222E-2</v>
      </c>
      <c r="E117" s="2">
        <v>1980.8280781930002</v>
      </c>
      <c r="F117" s="2">
        <v>727530.28180164809</v>
      </c>
    </row>
    <row r="118" spans="1:6" x14ac:dyDescent="0.25">
      <c r="A118" s="1" t="s">
        <v>132</v>
      </c>
      <c r="B118" s="2">
        <v>423689.35420552932</v>
      </c>
      <c r="C118" s="2">
        <v>4264.4526792718134</v>
      </c>
      <c r="D118" s="11">
        <v>5.4906760858754802E-2</v>
      </c>
      <c r="E118" s="2">
        <v>1508.5389576198177</v>
      </c>
      <c r="F118" s="2">
        <v>731794.7344809199</v>
      </c>
    </row>
    <row r="119" spans="1:6" x14ac:dyDescent="0.25">
      <c r="A119" s="1" t="s">
        <v>133</v>
      </c>
      <c r="B119" s="2">
        <v>421371.69199257949</v>
      </c>
      <c r="C119" s="2">
        <v>4236.8935420552934</v>
      </c>
      <c r="D119" s="11">
        <v>4.8830095175096268E-2</v>
      </c>
      <c r="E119" s="2">
        <v>1919.2313291054688</v>
      </c>
      <c r="F119" s="2">
        <v>736031.62802297517</v>
      </c>
    </row>
    <row r="120" spans="1:6" x14ac:dyDescent="0.25">
      <c r="A120" s="1" t="s">
        <v>134</v>
      </c>
      <c r="B120" s="2">
        <v>418855.463708141</v>
      </c>
      <c r="C120" s="2">
        <v>4213.7169199257951</v>
      </c>
      <c r="D120" s="11">
        <v>5.7714129086892968E-2</v>
      </c>
      <c r="E120" s="2">
        <v>1697.4886354873429</v>
      </c>
      <c r="F120" s="2">
        <v>740245.34494290093</v>
      </c>
    </row>
    <row r="121" spans="1:6" x14ac:dyDescent="0.25">
      <c r="A121" s="1" t="s">
        <v>135</v>
      </c>
      <c r="B121" s="2">
        <v>416661.25403090875</v>
      </c>
      <c r="C121" s="2">
        <v>4188.55463708141</v>
      </c>
      <c r="D121" s="11">
        <v>8.6621836903167816E-3</v>
      </c>
      <c r="E121" s="2">
        <v>1994.3449598491702</v>
      </c>
      <c r="F121" s="2">
        <v>744433.89957998239</v>
      </c>
    </row>
    <row r="122" spans="1:6" x14ac:dyDescent="0.25">
      <c r="A122" s="1" t="s">
        <v>136</v>
      </c>
      <c r="B122" s="2">
        <v>412792.40018692159</v>
      </c>
      <c r="C122" s="2">
        <v>4166.6125403090873</v>
      </c>
      <c r="D122" s="11">
        <v>2.9008180451056468E-2</v>
      </c>
      <c r="E122" s="2">
        <v>297.75869632191171</v>
      </c>
      <c r="F122" s="2">
        <v>748600.51212029147</v>
      </c>
    </row>
    <row r="123" spans="1:6" x14ac:dyDescent="0.25">
      <c r="A123" s="1" t="s">
        <v>137</v>
      </c>
      <c r="B123" s="2">
        <v>409652.36059081176</v>
      </c>
      <c r="C123" s="2">
        <v>4127.9240018692162</v>
      </c>
      <c r="D123" s="11">
        <v>1.7199224461215128E-2</v>
      </c>
      <c r="E123" s="2">
        <v>987.88440575937227</v>
      </c>
      <c r="F123" s="2">
        <v>752728.43612216064</v>
      </c>
    </row>
    <row r="124" spans="1:6" x14ac:dyDescent="0.25">
      <c r="A124" s="1" t="s">
        <v>138</v>
      </c>
      <c r="B124" s="2">
        <v>406137.10747422528</v>
      </c>
      <c r="C124" s="2">
        <v>4096.523605908118</v>
      </c>
      <c r="D124" s="11">
        <v>2.0538028799854252E-2</v>
      </c>
      <c r="E124" s="2">
        <v>581.27048932161085</v>
      </c>
      <c r="F124" s="2">
        <v>756824.95972806879</v>
      </c>
    </row>
    <row r="125" spans="1:6" x14ac:dyDescent="0.25">
      <c r="A125" s="1" t="s">
        <v>139</v>
      </c>
      <c r="B125" s="2">
        <v>402763.88998730766</v>
      </c>
      <c r="C125" s="2">
        <v>4061.3710747422529</v>
      </c>
      <c r="D125" s="11">
        <v>3.6424959802441745E-2</v>
      </c>
      <c r="E125" s="2">
        <v>688.15358782459907</v>
      </c>
      <c r="F125" s="2">
        <v>760886.33080281108</v>
      </c>
    </row>
    <row r="126" spans="1:6" x14ac:dyDescent="0.25">
      <c r="A126" s="1" t="s">
        <v>140</v>
      </c>
      <c r="B126" s="2">
        <v>399946.58041390427</v>
      </c>
      <c r="C126" s="2">
        <v>4027.6388998730768</v>
      </c>
      <c r="D126" s="11">
        <v>2.2649493032007001E-2</v>
      </c>
      <c r="E126" s="2">
        <v>1210.329326469677</v>
      </c>
      <c r="F126" s="2">
        <v>764913.9697026842</v>
      </c>
    </row>
    <row r="127" spans="1:6" x14ac:dyDescent="0.25">
      <c r="A127" s="1" t="s">
        <v>141</v>
      </c>
      <c r="B127" s="2">
        <v>396693.91285674856</v>
      </c>
      <c r="C127" s="2">
        <v>4000</v>
      </c>
      <c r="D127" s="11">
        <v>9.8228304964710828E-4</v>
      </c>
      <c r="E127" s="2">
        <v>747.33244284431032</v>
      </c>
      <c r="F127" s="2">
        <v>768913.9697026842</v>
      </c>
    </row>
    <row r="128" spans="1:6" x14ac:dyDescent="0.25">
      <c r="A128" s="1" t="s">
        <v>142</v>
      </c>
      <c r="B128" s="2">
        <v>392726.05757127347</v>
      </c>
      <c r="C128" s="2">
        <v>4000</v>
      </c>
      <c r="D128" s="11">
        <v>4.6337633363353302E-2</v>
      </c>
      <c r="E128" s="2">
        <v>32.144714524898561</v>
      </c>
      <c r="F128" s="2">
        <v>772913.9697026842</v>
      </c>
    </row>
    <row r="129" spans="1:6" x14ac:dyDescent="0.25">
      <c r="A129" s="1" t="s">
        <v>143</v>
      </c>
      <c r="B129" s="2">
        <v>390227.11136581673</v>
      </c>
      <c r="C129" s="2">
        <v>4000</v>
      </c>
      <c r="D129" s="11">
        <v>5.1266166649270417E-2</v>
      </c>
      <c r="E129" s="2">
        <v>1501.0537945432866</v>
      </c>
      <c r="F129" s="2">
        <v>776913.9697026842</v>
      </c>
    </row>
    <row r="130" spans="1:6" x14ac:dyDescent="0.25">
      <c r="A130" s="1" t="s">
        <v>144</v>
      </c>
      <c r="B130" s="2">
        <v>387877.14332046226</v>
      </c>
      <c r="C130" s="2">
        <v>4000</v>
      </c>
      <c r="D130" s="11">
        <v>4.6648214416021599E-2</v>
      </c>
      <c r="E130" s="2">
        <v>1650.0319546455237</v>
      </c>
      <c r="F130" s="2">
        <v>780913.9697026842</v>
      </c>
    </row>
    <row r="131" spans="1:6" x14ac:dyDescent="0.25">
      <c r="A131" s="1" t="s">
        <v>145</v>
      </c>
      <c r="B131" s="2">
        <v>385369.40859471413</v>
      </c>
      <c r="C131" s="2">
        <v>4000</v>
      </c>
      <c r="D131" s="11">
        <v>5.7529534342814298E-2</v>
      </c>
      <c r="E131" s="2">
        <v>1492.2652742518981</v>
      </c>
      <c r="F131" s="2">
        <v>784913.9697026842</v>
      </c>
    </row>
    <row r="132" spans="1:6" x14ac:dyDescent="0.25">
      <c r="A132" s="1" t="s">
        <v>146</v>
      </c>
      <c r="B132" s="2">
        <v>383197.74230213481</v>
      </c>
      <c r="C132" s="2">
        <v>4000</v>
      </c>
      <c r="D132" s="11">
        <v>1.8099012489146346E-2</v>
      </c>
      <c r="E132" s="2">
        <v>1828.3337074206988</v>
      </c>
      <c r="F132" s="2">
        <v>788913.9697026842</v>
      </c>
    </row>
    <row r="133" spans="1:6" x14ac:dyDescent="0.25">
      <c r="A133" s="1" t="s">
        <v>147</v>
      </c>
      <c r="B133" s="2">
        <v>379769.66769161669</v>
      </c>
      <c r="C133" s="2">
        <v>4000</v>
      </c>
      <c r="D133" s="11">
        <v>2.7707218252895738E-2</v>
      </c>
      <c r="E133" s="2">
        <v>571.92538948186962</v>
      </c>
      <c r="F133" s="2">
        <v>792913.9697026842</v>
      </c>
    </row>
    <row r="134" spans="1:6" x14ac:dyDescent="0.25">
      <c r="A134" s="1" t="s">
        <v>148</v>
      </c>
      <c r="B134" s="2">
        <v>376637.29537457915</v>
      </c>
      <c r="C134" s="2">
        <v>4000</v>
      </c>
      <c r="D134" s="11">
        <v>5.2111931642327643E-2</v>
      </c>
      <c r="E134" s="2">
        <v>867.62768296247737</v>
      </c>
      <c r="F134" s="2">
        <v>796913.9697026842</v>
      </c>
    </row>
    <row r="135" spans="1:6" x14ac:dyDescent="0.25">
      <c r="A135" s="1" t="s">
        <v>149</v>
      </c>
      <c r="B135" s="2">
        <v>374255.53281324095</v>
      </c>
      <c r="C135" s="2">
        <v>4000</v>
      </c>
      <c r="D135" s="11">
        <v>4.2624304690241435E-2</v>
      </c>
      <c r="E135" s="2">
        <v>1618.2374386618269</v>
      </c>
      <c r="F135" s="2">
        <v>800913.9697026842</v>
      </c>
    </row>
    <row r="136" spans="1:6" x14ac:dyDescent="0.25">
      <c r="A136" s="1" t="s">
        <v>150</v>
      </c>
      <c r="B136" s="2">
        <v>371570.68986689753</v>
      </c>
      <c r="C136" s="2">
        <v>4000</v>
      </c>
      <c r="D136" s="11">
        <v>3.7790110871838027E-2</v>
      </c>
      <c r="E136" s="2">
        <v>1315.1570536566057</v>
      </c>
      <c r="F136" s="2">
        <v>804913.9697026842</v>
      </c>
    </row>
    <row r="137" spans="1:6" x14ac:dyDescent="0.25">
      <c r="A137" s="1" t="s">
        <v>151</v>
      </c>
      <c r="B137" s="2">
        <v>368728.23462717322</v>
      </c>
      <c r="C137" s="2">
        <v>4000</v>
      </c>
      <c r="D137" s="11">
        <v>2.4493352688903028E-2</v>
      </c>
      <c r="E137" s="2">
        <v>1157.5447602756708</v>
      </c>
      <c r="F137" s="2">
        <v>808913.9697026842</v>
      </c>
    </row>
    <row r="138" spans="1:6" x14ac:dyDescent="0.25">
      <c r="A138" s="1" t="s">
        <v>152</v>
      </c>
      <c r="B138" s="2">
        <v>365472.68606770027</v>
      </c>
      <c r="C138" s="2">
        <v>4000</v>
      </c>
      <c r="D138" s="11">
        <v>5.3080910731697566E-2</v>
      </c>
      <c r="E138" s="2">
        <v>744.45144052702733</v>
      </c>
      <c r="F138" s="2">
        <v>812913.9697026842</v>
      </c>
    </row>
    <row r="139" spans="1:6" x14ac:dyDescent="0.25">
      <c r="A139" s="1" t="s">
        <v>153</v>
      </c>
      <c r="B139" s="2">
        <v>363071.62768279249</v>
      </c>
      <c r="C139" s="2">
        <v>4000</v>
      </c>
      <c r="D139" s="11">
        <v>6.0951980435348357E-2</v>
      </c>
      <c r="E139" s="2">
        <v>1598.9416150922114</v>
      </c>
      <c r="F139" s="2">
        <v>816913.9697026842</v>
      </c>
    </row>
    <row r="140" spans="1:6" x14ac:dyDescent="0.25">
      <c r="A140" s="1" t="s">
        <v>154</v>
      </c>
      <c r="B140" s="2">
        <v>360895.47158491</v>
      </c>
      <c r="C140" s="2">
        <v>4000</v>
      </c>
      <c r="D140" s="11">
        <v>4.6052688154028083E-2</v>
      </c>
      <c r="E140" s="2">
        <v>1823.8439021175213</v>
      </c>
      <c r="F140" s="2">
        <v>820913.9697026842</v>
      </c>
    </row>
    <row r="141" spans="1:6" x14ac:dyDescent="0.25">
      <c r="A141" s="1" t="s">
        <v>155</v>
      </c>
      <c r="B141" s="2">
        <v>358265.13790628372</v>
      </c>
      <c r="C141" s="2">
        <v>4000</v>
      </c>
      <c r="D141" s="11">
        <v>1.893582765352363E-2</v>
      </c>
      <c r="E141" s="2">
        <v>1369.6663213737208</v>
      </c>
      <c r="F141" s="2">
        <v>824913.9697026842</v>
      </c>
    </row>
    <row r="142" spans="1:6" x14ac:dyDescent="0.25">
      <c r="A142" s="1" t="s">
        <v>156</v>
      </c>
      <c r="B142" s="2">
        <v>354824.16320587083</v>
      </c>
      <c r="C142" s="2">
        <v>4000</v>
      </c>
      <c r="D142" s="11">
        <v>5.5053766153312117E-2</v>
      </c>
      <c r="E142" s="2">
        <v>559.02529958709749</v>
      </c>
      <c r="F142" s="2">
        <v>828913.9697026842</v>
      </c>
    </row>
    <row r="143" spans="1:6" x14ac:dyDescent="0.25">
      <c r="A143" s="1" t="s">
        <v>157</v>
      </c>
      <c r="B143" s="2">
        <v>352433.67915937648</v>
      </c>
      <c r="C143" s="2">
        <v>4000</v>
      </c>
      <c r="D143" s="11">
        <v>4.0091997091934728E-2</v>
      </c>
      <c r="E143" s="2">
        <v>1609.5159535056182</v>
      </c>
      <c r="F143" s="2">
        <v>832913.9697026842</v>
      </c>
    </row>
    <row r="144" spans="1:6" x14ac:dyDescent="0.25">
      <c r="A144" s="1" t="s">
        <v>158</v>
      </c>
      <c r="B144" s="2">
        <v>349597.79599700897</v>
      </c>
      <c r="C144" s="2">
        <v>4000</v>
      </c>
      <c r="D144" s="11">
        <v>4.2982525091324247E-2</v>
      </c>
      <c r="E144" s="2">
        <v>1164.1168376324867</v>
      </c>
      <c r="F144" s="2">
        <v>836913.9697026842</v>
      </c>
    </row>
    <row r="145" spans="1:6" x14ac:dyDescent="0.25">
      <c r="A145" s="1" t="s">
        <v>159</v>
      </c>
      <c r="B145" s="2">
        <v>346835.68482517131</v>
      </c>
      <c r="C145" s="2">
        <v>4000</v>
      </c>
      <c r="D145" s="11">
        <v>4.4369612353292759E-2</v>
      </c>
      <c r="E145" s="2">
        <v>1237.8888281623165</v>
      </c>
      <c r="F145" s="2">
        <v>840913.9697026842</v>
      </c>
    </row>
    <row r="146" spans="1:6" x14ac:dyDescent="0.25">
      <c r="A146" s="1" t="s">
        <v>160</v>
      </c>
      <c r="B146" s="2">
        <v>344103.30869488535</v>
      </c>
      <c r="C146" s="2">
        <v>4000</v>
      </c>
      <c r="D146" s="11">
        <v>2.8818556275271939E-2</v>
      </c>
      <c r="E146" s="2">
        <v>1267.623869714042</v>
      </c>
      <c r="F146" s="2">
        <v>844913.9697026842</v>
      </c>
    </row>
    <row r="147" spans="1:6" x14ac:dyDescent="0.25">
      <c r="A147" s="1" t="s">
        <v>161</v>
      </c>
      <c r="B147" s="2">
        <v>340920.08255663782</v>
      </c>
      <c r="C147" s="2">
        <v>4000</v>
      </c>
      <c r="D147" s="11">
        <v>3.6317265025568458E-2</v>
      </c>
      <c r="E147" s="2">
        <v>816.77386175247818</v>
      </c>
      <c r="F147" s="2">
        <v>848913.9697026842</v>
      </c>
    </row>
    <row r="148" spans="1:6" x14ac:dyDescent="0.25">
      <c r="A148" s="1" t="s">
        <v>162</v>
      </c>
      <c r="B148" s="2">
        <v>337939.75055085833</v>
      </c>
      <c r="C148" s="2">
        <v>4000</v>
      </c>
      <c r="D148" s="11">
        <v>1.9537560015858966E-2</v>
      </c>
      <c r="E148" s="2">
        <v>1019.6679942204851</v>
      </c>
      <c r="F148" s="2">
        <v>852913.9697026842</v>
      </c>
    </row>
    <row r="149" spans="1:6" x14ac:dyDescent="0.25">
      <c r="A149" s="1" t="s">
        <v>163</v>
      </c>
      <c r="B149" s="2">
        <v>334483.447877364</v>
      </c>
      <c r="C149" s="2">
        <v>4000</v>
      </c>
      <c r="D149" s="11">
        <v>4.8571289857698367E-2</v>
      </c>
      <c r="E149" s="2">
        <v>543.69732650569722</v>
      </c>
      <c r="F149" s="2">
        <v>856913.9697026842</v>
      </c>
    </row>
    <row r="150" spans="1:6" x14ac:dyDescent="0.25">
      <c r="A150" s="1" t="s">
        <v>164</v>
      </c>
      <c r="B150" s="2">
        <v>331821.11515569926</v>
      </c>
      <c r="C150" s="2">
        <v>4000</v>
      </c>
      <c r="D150" s="11">
        <v>2.6067103868933534E-2</v>
      </c>
      <c r="E150" s="2">
        <v>1337.6672783352496</v>
      </c>
      <c r="F150" s="2">
        <v>860913.9697026842</v>
      </c>
    </row>
    <row r="151" spans="1:6" x14ac:dyDescent="0.25">
      <c r="A151" s="1" t="s">
        <v>165</v>
      </c>
      <c r="B151" s="2">
        <v>328533.22741063201</v>
      </c>
      <c r="C151" s="2">
        <v>4000</v>
      </c>
      <c r="D151" s="11">
        <v>6.0913595744046471E-2</v>
      </c>
      <c r="E151" s="2">
        <v>712.11225493276947</v>
      </c>
      <c r="F151" s="2">
        <v>864913.9697026842</v>
      </c>
    </row>
    <row r="152" spans="1:6" x14ac:dyDescent="0.25">
      <c r="A152" s="1" t="s">
        <v>166</v>
      </c>
      <c r="B152" s="2">
        <v>326180.6012289655</v>
      </c>
      <c r="C152" s="2">
        <v>4000</v>
      </c>
      <c r="D152" s="11">
        <v>1.9791900901077599E-2</v>
      </c>
      <c r="E152" s="2">
        <v>1647.3738183334949</v>
      </c>
      <c r="F152" s="2">
        <v>868913.9697026842</v>
      </c>
    </row>
    <row r="153" spans="1:6" x14ac:dyDescent="0.25">
      <c r="A153" s="1" t="s">
        <v>167</v>
      </c>
      <c r="B153" s="2">
        <v>322711.98177327996</v>
      </c>
      <c r="C153" s="2">
        <v>4000</v>
      </c>
      <c r="D153" s="11">
        <v>4.2136088940790371E-2</v>
      </c>
      <c r="E153" s="2">
        <v>531.38054431444039</v>
      </c>
      <c r="F153" s="2">
        <v>872913.9697026842</v>
      </c>
    </row>
    <row r="154" spans="1:6" x14ac:dyDescent="0.25">
      <c r="A154" s="1" t="s">
        <v>168</v>
      </c>
      <c r="B154" s="2">
        <v>319831.08814082114</v>
      </c>
      <c r="C154" s="2">
        <v>4000</v>
      </c>
      <c r="D154" s="11">
        <v>3.3042205408489851E-2</v>
      </c>
      <c r="E154" s="2">
        <v>1119.106367541207</v>
      </c>
      <c r="F154" s="2">
        <v>876913.9697026842</v>
      </c>
    </row>
    <row r="155" spans="1:6" x14ac:dyDescent="0.25">
      <c r="A155" s="1" t="s">
        <v>169</v>
      </c>
      <c r="B155" s="2">
        <v>316700.73444821581</v>
      </c>
      <c r="C155" s="2">
        <v>4000</v>
      </c>
      <c r="D155" s="11">
        <v>5.9077808071558623E-2</v>
      </c>
      <c r="E155" s="2">
        <v>869.64630739465622</v>
      </c>
      <c r="F155" s="2">
        <v>880913.9697026842</v>
      </c>
    </row>
    <row r="156" spans="1:6" x14ac:dyDescent="0.25">
      <c r="A156" s="1" t="s">
        <v>170</v>
      </c>
      <c r="B156" s="2">
        <v>314240.20727934642</v>
      </c>
      <c r="C156" s="2">
        <v>4000</v>
      </c>
      <c r="D156" s="11">
        <v>5.4797361921589564E-2</v>
      </c>
      <c r="E156" s="2">
        <v>1539.4728311305928</v>
      </c>
      <c r="F156" s="2">
        <v>884913.9697026842</v>
      </c>
    </row>
    <row r="157" spans="1:6" x14ac:dyDescent="0.25">
      <c r="A157" s="1" t="s">
        <v>171</v>
      </c>
      <c r="B157" s="2">
        <v>311656.90268942271</v>
      </c>
      <c r="C157" s="2">
        <v>4000</v>
      </c>
      <c r="D157" s="11">
        <v>3.3041934823242469E-2</v>
      </c>
      <c r="E157" s="2">
        <v>1416.6954100762759</v>
      </c>
      <c r="F157" s="2">
        <v>888913.9697026842</v>
      </c>
    </row>
    <row r="158" spans="1:6" x14ac:dyDescent="0.25">
      <c r="A158" s="1" t="s">
        <v>172</v>
      </c>
      <c r="B158" s="2">
        <v>308504.03429997142</v>
      </c>
      <c r="C158" s="2">
        <v>4000</v>
      </c>
      <c r="D158" s="11">
        <v>5.1909409107070516E-2</v>
      </c>
      <c r="E158" s="2">
        <v>847.13161054871296</v>
      </c>
      <c r="F158" s="2">
        <v>892913.9697026842</v>
      </c>
    </row>
    <row r="159" spans="1:6" x14ac:dyDescent="0.25">
      <c r="A159" s="1" t="s">
        <v>173</v>
      </c>
      <c r="B159" s="2">
        <v>305821.25300757395</v>
      </c>
      <c r="C159" s="2">
        <v>4000</v>
      </c>
      <c r="D159" s="11">
        <v>3.2039284047474914E-2</v>
      </c>
      <c r="E159" s="2">
        <v>1317.2187076025541</v>
      </c>
      <c r="F159" s="2">
        <v>896913.9697026842</v>
      </c>
    </row>
    <row r="160" spans="1:6" x14ac:dyDescent="0.25">
      <c r="A160" s="1" t="s">
        <v>174</v>
      </c>
      <c r="B160" s="2">
        <v>302627.09774563013</v>
      </c>
      <c r="C160" s="2">
        <v>4000</v>
      </c>
      <c r="D160" s="11">
        <v>1.8962759262857395E-2</v>
      </c>
      <c r="E160" s="2">
        <v>805.84473805620451</v>
      </c>
      <c r="F160" s="2">
        <v>900913.9697026842</v>
      </c>
    </row>
    <row r="161" spans="1:6" x14ac:dyDescent="0.25">
      <c r="A161" s="1" t="s">
        <v>175</v>
      </c>
      <c r="B161" s="2">
        <v>299098.99722595647</v>
      </c>
      <c r="C161" s="2">
        <v>4000</v>
      </c>
      <c r="D161" s="11">
        <v>1.1126653741227543E-2</v>
      </c>
      <c r="E161" s="2">
        <v>471.89948032634737</v>
      </c>
      <c r="F161" s="2">
        <v>904913.9697026842</v>
      </c>
    </row>
    <row r="162" spans="1:6" x14ac:dyDescent="0.25">
      <c r="A162" s="1" t="s">
        <v>176</v>
      </c>
      <c r="B162" s="2">
        <v>295372.61925608286</v>
      </c>
      <c r="C162" s="2">
        <v>4000</v>
      </c>
      <c r="D162" s="11">
        <v>3.5928688627667814E-2</v>
      </c>
      <c r="E162" s="2">
        <v>273.62203012639043</v>
      </c>
      <c r="F162" s="2">
        <v>908913.9697026842</v>
      </c>
    </row>
    <row r="163" spans="1:6" x14ac:dyDescent="0.25">
      <c r="A163" s="1" t="s">
        <v>177</v>
      </c>
      <c r="B163" s="2">
        <v>292245.00559873949</v>
      </c>
      <c r="C163" s="2">
        <v>4000</v>
      </c>
      <c r="D163" s="11">
        <v>5.6218462686191503E-2</v>
      </c>
      <c r="E163" s="2">
        <v>872.38634265665064</v>
      </c>
      <c r="F163" s="2">
        <v>912913.9697026842</v>
      </c>
    </row>
    <row r="164" spans="1:6" x14ac:dyDescent="0.25">
      <c r="A164" s="1" t="s">
        <v>178</v>
      </c>
      <c r="B164" s="2">
        <v>289595.39652305061</v>
      </c>
      <c r="C164" s="2">
        <v>4000</v>
      </c>
      <c r="D164" s="11">
        <v>3.4482344435802316E-2</v>
      </c>
      <c r="E164" s="2">
        <v>1350.3909243111498</v>
      </c>
      <c r="F164" s="2">
        <v>916913.9697026842</v>
      </c>
    </row>
    <row r="165" spans="1:6" x14ac:dyDescent="0.25">
      <c r="A165" s="1" t="s">
        <v>179</v>
      </c>
      <c r="B165" s="2">
        <v>286416.06309239956</v>
      </c>
      <c r="C165" s="2">
        <v>4000</v>
      </c>
      <c r="D165" s="11">
        <v>3.0677825366093092E-2</v>
      </c>
      <c r="E165" s="2">
        <v>820.66656934894752</v>
      </c>
      <c r="F165" s="2">
        <v>920913.9697026842</v>
      </c>
    </row>
    <row r="166" spans="1:6" x14ac:dyDescent="0.25">
      <c r="A166" s="1" t="s">
        <v>180</v>
      </c>
      <c r="B166" s="2">
        <v>283138.05564774357</v>
      </c>
      <c r="C166" s="2">
        <v>4000</v>
      </c>
      <c r="D166" s="11">
        <v>4.3839466715026428E-2</v>
      </c>
      <c r="E166" s="2">
        <v>721.99255534401357</v>
      </c>
      <c r="F166" s="2">
        <v>924913.9697026842</v>
      </c>
    </row>
    <row r="167" spans="1:6" x14ac:dyDescent="0.25">
      <c r="A167" s="1" t="s">
        <v>181</v>
      </c>
      <c r="B167" s="2">
        <v>280157.82760603243</v>
      </c>
      <c r="C167" s="2">
        <v>4000</v>
      </c>
      <c r="D167" s="11">
        <v>3.1912498856039063E-2</v>
      </c>
      <c r="E167" s="2">
        <v>1019.7719582888708</v>
      </c>
      <c r="F167" s="2">
        <v>928913.9697026842</v>
      </c>
    </row>
    <row r="168" spans="1:6" x14ac:dyDescent="0.25">
      <c r="A168" s="1" t="s">
        <v>182</v>
      </c>
      <c r="B168" s="2">
        <v>276892.2348024961</v>
      </c>
      <c r="C168" s="2">
        <v>4000</v>
      </c>
      <c r="D168" s="11">
        <v>3.6911059060603255E-2</v>
      </c>
      <c r="E168" s="2">
        <v>734.40719646364528</v>
      </c>
      <c r="F168" s="2">
        <v>932913.9697026842</v>
      </c>
    </row>
    <row r="169" spans="1:6" x14ac:dyDescent="0.25">
      <c r="A169" s="1" t="s">
        <v>183</v>
      </c>
      <c r="B169" s="2">
        <v>273731.62991882733</v>
      </c>
      <c r="C169" s="2">
        <v>4000</v>
      </c>
      <c r="D169" s="11">
        <v>1.3406544004119758E-2</v>
      </c>
      <c r="E169" s="2">
        <v>839.39511633124539</v>
      </c>
      <c r="F169" s="2">
        <v>936913.9697026842</v>
      </c>
    </row>
    <row r="170" spans="1:6" x14ac:dyDescent="0.25">
      <c r="A170" s="1" t="s">
        <v>184</v>
      </c>
      <c r="B170" s="2">
        <v>270032.9773326448</v>
      </c>
      <c r="C170" s="2">
        <v>4000</v>
      </c>
      <c r="D170" s="11">
        <v>4.3928490704009247E-2</v>
      </c>
      <c r="E170" s="2">
        <v>301.34741381747534</v>
      </c>
      <c r="F170" s="2">
        <v>940913.9697026842</v>
      </c>
    </row>
    <row r="171" spans="1:6" x14ac:dyDescent="0.25">
      <c r="A171" s="1" t="s">
        <v>185</v>
      </c>
      <c r="B171" s="2">
        <v>267006.84626362124</v>
      </c>
      <c r="C171" s="2">
        <v>4000</v>
      </c>
      <c r="D171" s="11">
        <v>2.8706598278335681E-2</v>
      </c>
      <c r="E171" s="2">
        <v>973.86893097641587</v>
      </c>
      <c r="F171" s="2">
        <v>944913.9697026842</v>
      </c>
    </row>
    <row r="172" spans="1:6" x14ac:dyDescent="0.25">
      <c r="A172" s="1" t="s">
        <v>186</v>
      </c>
      <c r="B172" s="2">
        <v>263636.01558696636</v>
      </c>
      <c r="C172" s="2">
        <v>4000</v>
      </c>
      <c r="D172" s="11">
        <v>5.8805934981464157E-2</v>
      </c>
      <c r="E172" s="2">
        <v>629.16932334514718</v>
      </c>
      <c r="F172" s="2">
        <v>948913.9697026842</v>
      </c>
    </row>
    <row r="173" spans="1:6" x14ac:dyDescent="0.25">
      <c r="A173" s="1" t="s">
        <v>187</v>
      </c>
      <c r="B173" s="2">
        <v>260908.36047458748</v>
      </c>
      <c r="C173" s="2">
        <v>4000</v>
      </c>
      <c r="D173" s="11">
        <v>4.8523338306714396E-2</v>
      </c>
      <c r="E173" s="2">
        <v>1272.3448876211298</v>
      </c>
      <c r="F173" s="2">
        <v>952913.9697026842</v>
      </c>
    </row>
    <row r="174" spans="1:6" x14ac:dyDescent="0.25">
      <c r="A174" s="1" t="s">
        <v>188</v>
      </c>
      <c r="B174" s="2">
        <v>257947.19808201512</v>
      </c>
      <c r="C174" s="2">
        <v>4000</v>
      </c>
      <c r="D174" s="11">
        <v>5.4951190097684469E-2</v>
      </c>
      <c r="E174" s="2">
        <v>1038.837607427645</v>
      </c>
      <c r="F174" s="2">
        <v>956913.9697026842</v>
      </c>
    </row>
    <row r="175" spans="1:6" x14ac:dyDescent="0.25">
      <c r="A175" s="1" t="s">
        <v>189</v>
      </c>
      <c r="B175" s="2">
        <v>255110.08981173005</v>
      </c>
      <c r="C175" s="2">
        <v>4000</v>
      </c>
      <c r="D175" s="11">
        <v>6.0922346920935823E-2</v>
      </c>
      <c r="E175" s="2">
        <v>1162.8917297149287</v>
      </c>
      <c r="F175" s="2">
        <v>960913.9697026842</v>
      </c>
    </row>
    <row r="176" spans="1:6" x14ac:dyDescent="0.25">
      <c r="A176" s="1" t="s">
        <v>190</v>
      </c>
      <c r="B176" s="2">
        <v>252384.94114563486</v>
      </c>
      <c r="C176" s="2">
        <v>4000</v>
      </c>
      <c r="D176" s="11">
        <v>3.638773959207757E-2</v>
      </c>
      <c r="E176" s="2">
        <v>1274.8513339047975</v>
      </c>
      <c r="F176" s="2">
        <v>964913.9697026842</v>
      </c>
    </row>
    <row r="177" spans="1:6" x14ac:dyDescent="0.25">
      <c r="A177" s="1" t="s">
        <v>191</v>
      </c>
      <c r="B177" s="2">
        <v>249138.12169205159</v>
      </c>
      <c r="C177" s="2">
        <v>4000</v>
      </c>
      <c r="D177" s="11">
        <v>4.6602195358136041E-2</v>
      </c>
      <c r="E177" s="2">
        <v>753.1805464167395</v>
      </c>
      <c r="F177" s="2">
        <v>968913.9697026842</v>
      </c>
    </row>
    <row r="178" spans="1:6" x14ac:dyDescent="0.25">
      <c r="A178" s="1" t="s">
        <v>192</v>
      </c>
      <c r="B178" s="2">
        <v>246090.11957845322</v>
      </c>
      <c r="C178" s="2">
        <v>4000</v>
      </c>
      <c r="D178" s="11">
        <v>1.7965671441440671E-2</v>
      </c>
      <c r="E178" s="2">
        <v>951.99788640162615</v>
      </c>
      <c r="F178" s="2">
        <v>972913.9697026842</v>
      </c>
    </row>
    <row r="179" spans="1:6" x14ac:dyDescent="0.25">
      <c r="A179" s="1" t="s">
        <v>193</v>
      </c>
      <c r="B179" s="2">
        <v>242452.56220741701</v>
      </c>
      <c r="C179" s="2">
        <v>4000</v>
      </c>
      <c r="D179" s="11">
        <v>5.0373482560619472E-2</v>
      </c>
      <c r="E179" s="2">
        <v>362.44262896379786</v>
      </c>
      <c r="F179" s="2">
        <v>976913.9697026842</v>
      </c>
    </row>
    <row r="180" spans="1:6" x14ac:dyDescent="0.25">
      <c r="A180" s="1" t="s">
        <v>194</v>
      </c>
      <c r="B180" s="2">
        <v>239453.53603940786</v>
      </c>
      <c r="C180" s="2">
        <v>4000</v>
      </c>
      <c r="D180" s="11">
        <v>4.0498725070430584E-2</v>
      </c>
      <c r="E180" s="2">
        <v>1000.9738319908625</v>
      </c>
      <c r="F180" s="2">
        <v>980913.9697026842</v>
      </c>
    </row>
    <row r="181" spans="1:6" x14ac:dyDescent="0.25">
      <c r="A181" s="1" t="s">
        <v>195</v>
      </c>
      <c r="B181" s="2">
        <v>236248.16670798458</v>
      </c>
      <c r="C181" s="2">
        <v>4000</v>
      </c>
      <c r="D181" s="11">
        <v>6.1981378296787321E-2</v>
      </c>
      <c r="E181" s="2">
        <v>794.63066857672482</v>
      </c>
      <c r="F181" s="2">
        <v>984913.9697026842</v>
      </c>
    </row>
    <row r="182" spans="1:6" x14ac:dyDescent="0.25">
      <c r="A182" s="1" t="s">
        <v>196</v>
      </c>
      <c r="B182" s="2">
        <v>233447.7551646065</v>
      </c>
      <c r="C182" s="2">
        <v>4000</v>
      </c>
      <c r="D182" s="11">
        <v>2.1412455084063829E-2</v>
      </c>
      <c r="E182" s="2">
        <v>1199.5884566219099</v>
      </c>
      <c r="F182" s="2">
        <v>988913.9697026842</v>
      </c>
    </row>
    <row r="183" spans="1:6" x14ac:dyDescent="0.25">
      <c r="A183" s="1" t="s">
        <v>197</v>
      </c>
      <c r="B183" s="2">
        <v>229857.17514390661</v>
      </c>
      <c r="C183" s="2">
        <v>4000</v>
      </c>
      <c r="D183" s="11">
        <v>6.0776481147145012E-2</v>
      </c>
      <c r="E183" s="2">
        <v>409.41997930011757</v>
      </c>
      <c r="F183" s="2">
        <v>992913.9697026842</v>
      </c>
    </row>
    <row r="184" spans="1:6" x14ac:dyDescent="0.25">
      <c r="A184" s="1" t="s">
        <v>198</v>
      </c>
      <c r="B184" s="2">
        <v>227001.07550616338</v>
      </c>
      <c r="C184" s="2">
        <v>4000</v>
      </c>
      <c r="D184" s="11">
        <v>4.9808014403282606E-2</v>
      </c>
      <c r="E184" s="2">
        <v>1143.9003622567557</v>
      </c>
      <c r="F184" s="2">
        <v>996913.9697026842</v>
      </c>
    </row>
    <row r="185" spans="1:6" x14ac:dyDescent="0.25">
      <c r="A185" s="1" t="s">
        <v>199</v>
      </c>
      <c r="B185" s="2">
        <v>223926.67890455993</v>
      </c>
      <c r="C185" s="2">
        <v>4000</v>
      </c>
      <c r="D185" s="11">
        <v>3.7294847079289692E-2</v>
      </c>
      <c r="E185" s="2">
        <v>925.60339839654148</v>
      </c>
      <c r="F185" s="2">
        <v>1000913.9697026842</v>
      </c>
    </row>
    <row r="186" spans="1:6" x14ac:dyDescent="0.25">
      <c r="A186" s="1" t="s">
        <v>200</v>
      </c>
      <c r="B186" s="2">
        <v>220610.18989276007</v>
      </c>
      <c r="C186" s="2">
        <v>4000</v>
      </c>
      <c r="D186" s="11">
        <v>2.4433234659631483E-2</v>
      </c>
      <c r="E186" s="2">
        <v>683.51098820013408</v>
      </c>
      <c r="F186" s="2">
        <v>1004913.9697026842</v>
      </c>
    </row>
    <row r="187" spans="1:6" x14ac:dyDescent="0.25">
      <c r="A187" s="1" t="s">
        <v>201</v>
      </c>
      <c r="B187" s="2">
        <v>217051.2305260365</v>
      </c>
      <c r="C187" s="2">
        <v>4000</v>
      </c>
      <c r="D187" s="11">
        <v>4.3816812452671328E-2</v>
      </c>
      <c r="E187" s="2">
        <v>441.04063327642854</v>
      </c>
      <c r="F187" s="2">
        <v>1008913.9697026842</v>
      </c>
    </row>
    <row r="188" spans="1:6" x14ac:dyDescent="0.25">
      <c r="A188" s="1" t="s">
        <v>202</v>
      </c>
      <c r="B188" s="2">
        <v>213829.16601026733</v>
      </c>
      <c r="C188" s="2">
        <v>4000</v>
      </c>
      <c r="D188" s="11">
        <v>2.9624929242914742E-2</v>
      </c>
      <c r="E188" s="2">
        <v>777.93548423084883</v>
      </c>
      <c r="F188" s="2">
        <v>1012913.9697026842</v>
      </c>
    </row>
    <row r="189" spans="1:6" x14ac:dyDescent="0.25">
      <c r="A189" s="1" t="s">
        <v>203</v>
      </c>
      <c r="B189" s="2">
        <v>210347.18052661349</v>
      </c>
      <c r="C189" s="2">
        <v>4000</v>
      </c>
      <c r="D189" s="11">
        <v>6.3047008490627929E-2</v>
      </c>
      <c r="E189" s="2">
        <v>518.01451634616501</v>
      </c>
      <c r="F189" s="2">
        <v>1016913.9697026842</v>
      </c>
    </row>
    <row r="190" spans="1:6" x14ac:dyDescent="0.25">
      <c r="A190" s="1" t="s">
        <v>204</v>
      </c>
      <c r="B190" s="2">
        <v>207431.31156350338</v>
      </c>
      <c r="C190" s="2">
        <v>4000</v>
      </c>
      <c r="D190" s="11">
        <v>2.2840354322634666E-2</v>
      </c>
      <c r="E190" s="2">
        <v>1084.1310368898778</v>
      </c>
      <c r="F190" s="2">
        <v>1020913.9697026842</v>
      </c>
    </row>
    <row r="191" spans="1:6" x14ac:dyDescent="0.25">
      <c r="A191" s="1" t="s">
        <v>205</v>
      </c>
      <c r="B191" s="2">
        <v>203818.51516653909</v>
      </c>
      <c r="C191" s="2">
        <v>4000</v>
      </c>
      <c r="D191" s="11">
        <v>1.0749098895253339E-2</v>
      </c>
      <c r="E191" s="2">
        <v>387.20360303572534</v>
      </c>
      <c r="F191" s="2">
        <v>1024913.9697026842</v>
      </c>
    </row>
    <row r="192" spans="1:6" x14ac:dyDescent="0.25">
      <c r="A192" s="1" t="s">
        <v>206</v>
      </c>
      <c r="B192" s="2">
        <v>199997.50424825808</v>
      </c>
      <c r="C192" s="2">
        <v>4000</v>
      </c>
      <c r="D192" s="11">
        <v>3.7169429972836752E-2</v>
      </c>
      <c r="E192" s="2">
        <v>178.98908171898398</v>
      </c>
      <c r="F192" s="2">
        <v>1028913.9697026842</v>
      </c>
    </row>
    <row r="193" spans="1:6" x14ac:dyDescent="0.25">
      <c r="A193" s="1" t="s">
        <v>207</v>
      </c>
      <c r="B193" s="2">
        <v>196604.59720734195</v>
      </c>
      <c r="C193" s="2">
        <v>4000</v>
      </c>
      <c r="D193" s="11">
        <v>4.6804637233329553E-2</v>
      </c>
      <c r="E193" s="2">
        <v>607.09295908386684</v>
      </c>
      <c r="F193" s="2">
        <v>1032913.9697026842</v>
      </c>
    </row>
    <row r="194" spans="1:6" x14ac:dyDescent="0.25">
      <c r="A194" s="1" t="s">
        <v>208</v>
      </c>
      <c r="B194" s="2">
        <v>193355.82956582206</v>
      </c>
      <c r="C194" s="2">
        <v>4000</v>
      </c>
      <c r="D194" s="11">
        <v>6.076033440744618E-2</v>
      </c>
      <c r="E194" s="2">
        <v>751.23235848009983</v>
      </c>
      <c r="F194" s="2">
        <v>1036913.9697026842</v>
      </c>
    </row>
    <row r="195" spans="1:6" x14ac:dyDescent="0.25">
      <c r="A195" s="1" t="s">
        <v>209</v>
      </c>
      <c r="B195" s="2">
        <v>190314.60652635695</v>
      </c>
      <c r="C195" s="2">
        <v>4000</v>
      </c>
      <c r="D195" s="11">
        <v>4.6400272999157693E-2</v>
      </c>
      <c r="E195" s="2">
        <v>958.77696053489444</v>
      </c>
      <c r="F195" s="2">
        <v>1040913.9697026842</v>
      </c>
    </row>
    <row r="196" spans="1:6" x14ac:dyDescent="0.25">
      <c r="A196" s="1" t="s">
        <v>210</v>
      </c>
      <c r="B196" s="2">
        <v>187035.02724356976</v>
      </c>
      <c r="C196" s="2">
        <v>4000</v>
      </c>
      <c r="D196" s="11">
        <v>4.0319786891752515E-2</v>
      </c>
      <c r="E196" s="2">
        <v>720.42071721280081</v>
      </c>
      <c r="F196" s="2">
        <v>1044913.9697026842</v>
      </c>
    </row>
    <row r="197" spans="1:6" x14ac:dyDescent="0.25">
      <c r="A197" s="1" t="s">
        <v>211</v>
      </c>
      <c r="B197" s="2">
        <v>183650.02168458531</v>
      </c>
      <c r="C197" s="2">
        <v>4000</v>
      </c>
      <c r="D197" s="11">
        <v>5.8214964206562997E-2</v>
      </c>
      <c r="E197" s="2">
        <v>614.99444101557071</v>
      </c>
      <c r="F197" s="2">
        <v>1048913.9697026843</v>
      </c>
    </row>
    <row r="198" spans="1:6" x14ac:dyDescent="0.25">
      <c r="A198" s="1" t="s">
        <v>212</v>
      </c>
      <c r="B198" s="2">
        <v>180521.548316425</v>
      </c>
      <c r="C198" s="2">
        <v>4000</v>
      </c>
      <c r="D198" s="11">
        <v>5.7488277733127403E-2</v>
      </c>
      <c r="E198" s="2">
        <v>871.52663183970003</v>
      </c>
      <c r="F198" s="2">
        <v>1052913.9697026843</v>
      </c>
    </row>
    <row r="199" spans="1:6" x14ac:dyDescent="0.25">
      <c r="A199" s="1" t="s">
        <v>213</v>
      </c>
      <c r="B199" s="2">
        <v>177367.20829938303</v>
      </c>
      <c r="C199" s="2">
        <v>4000</v>
      </c>
      <c r="D199" s="11">
        <v>5.1862417786359041E-2</v>
      </c>
      <c r="E199" s="2">
        <v>845.65998295802569</v>
      </c>
      <c r="F199" s="2">
        <v>1056913.9697026843</v>
      </c>
    </row>
    <row r="200" spans="1:6" x14ac:dyDescent="0.25">
      <c r="A200" s="1" t="s">
        <v>214</v>
      </c>
      <c r="B200" s="2">
        <v>174116.47851498946</v>
      </c>
      <c r="C200" s="2">
        <v>4000</v>
      </c>
      <c r="D200" s="11">
        <v>5.3736211205711863E-2</v>
      </c>
      <c r="E200" s="2">
        <v>749.27021560644459</v>
      </c>
      <c r="F200" s="2">
        <v>1060913.9697026843</v>
      </c>
    </row>
    <row r="201" spans="1:6" x14ac:dyDescent="0.25">
      <c r="A201" s="1" t="s">
        <v>215</v>
      </c>
      <c r="B201" s="2">
        <v>170878.26309991057</v>
      </c>
      <c r="C201" s="2">
        <v>4000</v>
      </c>
      <c r="D201" s="11">
        <v>6.3143373213867857E-2</v>
      </c>
      <c r="E201" s="2">
        <v>761.78458492111815</v>
      </c>
      <c r="F201" s="2">
        <v>1064913.9697026843</v>
      </c>
    </row>
    <row r="202" spans="1:6" x14ac:dyDescent="0.25">
      <c r="A202" s="1" t="s">
        <v>216</v>
      </c>
      <c r="B202" s="2">
        <v>167756.36780392722</v>
      </c>
      <c r="C202" s="2">
        <v>4000</v>
      </c>
      <c r="D202" s="11">
        <v>3.6867659533227869E-2</v>
      </c>
      <c r="E202" s="2">
        <v>878.10470401664054</v>
      </c>
      <c r="F202" s="2">
        <v>1068913.9697026843</v>
      </c>
    </row>
    <row r="203" spans="1:6" x14ac:dyDescent="0.25">
      <c r="A203" s="1" t="s">
        <v>217</v>
      </c>
      <c r="B203" s="2">
        <v>164259.47730514331</v>
      </c>
      <c r="C203" s="2">
        <v>4000</v>
      </c>
      <c r="D203" s="11">
        <v>4.4506687283333068E-2</v>
      </c>
      <c r="E203" s="2">
        <v>503.10950121610222</v>
      </c>
      <c r="F203" s="2">
        <v>1072913.9697026843</v>
      </c>
    </row>
    <row r="204" spans="1:6" x14ac:dyDescent="0.25">
      <c r="A204" s="1" t="s">
        <v>218</v>
      </c>
      <c r="B204" s="2">
        <v>160853.8621751942</v>
      </c>
      <c r="C204" s="2">
        <v>4000</v>
      </c>
      <c r="D204" s="11">
        <v>4.0643218430338669E-2</v>
      </c>
      <c r="E204" s="2">
        <v>594.38487005086893</v>
      </c>
      <c r="F204" s="2">
        <v>1076913.9697026843</v>
      </c>
    </row>
    <row r="205" spans="1:6" x14ac:dyDescent="0.25">
      <c r="A205" s="1" t="s">
        <v>219</v>
      </c>
      <c r="B205" s="2">
        <v>157385.11599036327</v>
      </c>
      <c r="C205" s="2">
        <v>4000</v>
      </c>
      <c r="D205" s="11">
        <v>5.2736393642642682E-2</v>
      </c>
      <c r="E205" s="2">
        <v>531.25381516905452</v>
      </c>
      <c r="F205" s="2">
        <v>1080913.9697026843</v>
      </c>
    </row>
    <row r="206" spans="1:6" x14ac:dyDescent="0.25">
      <c r="A206" s="1" t="s">
        <v>220</v>
      </c>
      <c r="B206" s="2">
        <v>154059.19747834577</v>
      </c>
      <c r="C206" s="2">
        <v>4000</v>
      </c>
      <c r="D206" s="11">
        <v>2.6764850665380834E-2</v>
      </c>
      <c r="E206" s="2">
        <v>674.08148798251693</v>
      </c>
      <c r="F206" s="2">
        <v>1084913.9697026843</v>
      </c>
    </row>
    <row r="207" spans="1:6" x14ac:dyDescent="0.25">
      <c r="A207" s="1" t="s">
        <v>221</v>
      </c>
      <c r="B207" s="2">
        <v>150393.89014596867</v>
      </c>
      <c r="C207" s="2">
        <v>4000</v>
      </c>
      <c r="D207" s="11">
        <v>4.1129953080328387E-2</v>
      </c>
      <c r="E207" s="2">
        <v>334.69266762290141</v>
      </c>
      <c r="F207" s="2">
        <v>1088913.9697026843</v>
      </c>
    </row>
    <row r="208" spans="1:6" x14ac:dyDescent="0.25">
      <c r="A208" s="1" t="s">
        <v>222</v>
      </c>
      <c r="B208" s="1">
        <v>146895.65463204787</v>
      </c>
      <c r="C208" s="2">
        <v>4000</v>
      </c>
      <c r="D208" s="11">
        <v>4.6612316339304363E-2</v>
      </c>
      <c r="E208" s="2">
        <v>501.76448607920332</v>
      </c>
      <c r="F208" s="2">
        <v>1092913.9697026843</v>
      </c>
    </row>
    <row r="209" spans="1:6" x14ac:dyDescent="0.25">
      <c r="A209" s="1" t="s">
        <v>223</v>
      </c>
      <c r="B209" s="1">
        <v>143450.71275348295</v>
      </c>
      <c r="C209" s="2">
        <v>4000</v>
      </c>
      <c r="D209" s="11">
        <v>5.7084637044604938E-2</v>
      </c>
      <c r="E209" s="2">
        <v>555.05812143508319</v>
      </c>
      <c r="F209" s="2">
        <v>1096913.9697026843</v>
      </c>
    </row>
    <row r="210" spans="1:6" x14ac:dyDescent="0.25">
      <c r="A210" s="1" t="s">
        <v>224</v>
      </c>
      <c r="B210" s="1">
        <v>140114.08719707828</v>
      </c>
      <c r="C210" s="2">
        <v>4000</v>
      </c>
      <c r="D210" s="11">
        <v>4.6515097843523652E-2</v>
      </c>
      <c r="E210" s="2">
        <v>663.37444359533629</v>
      </c>
      <c r="F210" s="2">
        <v>1100913.9697026843</v>
      </c>
    </row>
    <row r="211" spans="1:6" x14ac:dyDescent="0.25">
      <c r="A211" s="1" t="s">
        <v>225</v>
      </c>
      <c r="B211" s="1">
        <v>136641.70053739945</v>
      </c>
      <c r="C211" s="2">
        <v>4000</v>
      </c>
      <c r="D211" s="11">
        <v>4.1353758162139154E-2</v>
      </c>
      <c r="E211" s="2">
        <v>527.61334032116713</v>
      </c>
      <c r="F211" s="2">
        <v>1104913.9697026843</v>
      </c>
    </row>
    <row r="212" spans="1:6" x14ac:dyDescent="0.25">
      <c r="A212" s="1" t="s">
        <v>226</v>
      </c>
      <c r="B212" s="1">
        <v>133098.80327125266</v>
      </c>
      <c r="C212" s="2">
        <v>4000</v>
      </c>
      <c r="D212" s="11">
        <v>4.5125076462952989E-2</v>
      </c>
      <c r="E212" s="2">
        <v>457.10273385320829</v>
      </c>
      <c r="F212" s="2">
        <v>1108913.9697026843</v>
      </c>
    </row>
    <row r="213" spans="1:6" x14ac:dyDescent="0.25">
      <c r="A213" s="1" t="s">
        <v>227</v>
      </c>
      <c r="B213" s="1">
        <v>129584.26938532692</v>
      </c>
      <c r="C213" s="2">
        <v>4000</v>
      </c>
      <c r="D213" s="11">
        <v>3.0184869971533163E-2</v>
      </c>
      <c r="E213" s="2">
        <v>485.46611407425013</v>
      </c>
      <c r="F213" s="2">
        <v>1112913.9697026843</v>
      </c>
    </row>
    <row r="214" spans="1:6" x14ac:dyDescent="0.25">
      <c r="A214" s="1" t="s">
        <v>228</v>
      </c>
      <c r="B214" s="1">
        <v>125900.16478881576</v>
      </c>
      <c r="C214" s="2">
        <v>4000</v>
      </c>
      <c r="D214" s="11">
        <v>4.9766960665087158E-2</v>
      </c>
      <c r="E214" s="2">
        <v>315.89540348884049</v>
      </c>
      <c r="F214" s="2">
        <v>1116913.9697026843</v>
      </c>
    </row>
    <row r="215" spans="1:6" x14ac:dyDescent="0.25">
      <c r="A215" s="1" t="s">
        <v>229</v>
      </c>
      <c r="B215" s="1">
        <v>122405.71484765848</v>
      </c>
      <c r="C215" s="2">
        <v>4000</v>
      </c>
      <c r="D215" s="11">
        <v>4.4264226383044683E-2</v>
      </c>
      <c r="E215" s="2">
        <v>505.55005884271969</v>
      </c>
      <c r="F215" s="2">
        <v>1120913.9697026843</v>
      </c>
    </row>
    <row r="216" spans="1:6" x14ac:dyDescent="0.25">
      <c r="A216" s="1" t="s">
        <v>230</v>
      </c>
      <c r="B216" s="1">
        <v>118842.47629491374</v>
      </c>
      <c r="C216" s="2">
        <v>4000</v>
      </c>
      <c r="D216" s="11">
        <v>5.2185032038096317E-2</v>
      </c>
      <c r="E216" s="2">
        <v>436.76144725524921</v>
      </c>
      <c r="F216" s="2">
        <v>1124913.9697026843</v>
      </c>
    </row>
    <row r="217" spans="1:6" x14ac:dyDescent="0.25">
      <c r="A217" s="1" t="s">
        <v>231</v>
      </c>
      <c r="B217" s="1">
        <v>115341.89782031244</v>
      </c>
      <c r="C217" s="2">
        <v>4000</v>
      </c>
      <c r="D217" s="11">
        <v>5.9551660838376361E-2</v>
      </c>
      <c r="E217" s="2">
        <v>499.4215253986992</v>
      </c>
      <c r="F217" s="2">
        <v>1128913.9697026843</v>
      </c>
    </row>
    <row r="218" spans="1:6" x14ac:dyDescent="0.25">
      <c r="A218" s="1" t="s">
        <v>232</v>
      </c>
      <c r="B218" s="1">
        <v>111894.44739832048</v>
      </c>
      <c r="C218" s="2">
        <v>4000</v>
      </c>
      <c r="D218" s="11">
        <v>3.8497550391010577E-2</v>
      </c>
      <c r="E218" s="2">
        <v>552.54957800803356</v>
      </c>
      <c r="F218" s="2">
        <v>1132913.9697026843</v>
      </c>
    </row>
    <row r="219" spans="1:6" x14ac:dyDescent="0.25">
      <c r="A219" s="1" t="s">
        <v>233</v>
      </c>
      <c r="B219" s="1">
        <v>108240.58672545607</v>
      </c>
      <c r="C219" s="2">
        <v>4000</v>
      </c>
      <c r="D219" s="11">
        <v>3.4784914301823851E-2</v>
      </c>
      <c r="E219" s="2">
        <v>346.13932713559024</v>
      </c>
      <c r="F219" s="2">
        <v>1136913.9697026843</v>
      </c>
    </row>
    <row r="220" spans="1:6" x14ac:dyDescent="0.25">
      <c r="A220" s="1" t="s">
        <v>234</v>
      </c>
      <c r="B220" s="1">
        <v>104542.75338179081</v>
      </c>
      <c r="C220" s="2">
        <v>4000</v>
      </c>
      <c r="D220" s="11">
        <v>3.4226704548199441E-2</v>
      </c>
      <c r="E220" s="2">
        <v>302.16665633473553</v>
      </c>
      <c r="F220" s="2">
        <v>1140913.9697026843</v>
      </c>
    </row>
    <row r="221" spans="1:6" x14ac:dyDescent="0.25">
      <c r="A221" s="1" t="s">
        <v>235</v>
      </c>
      <c r="B221" s="1">
        <v>100829.52397466256</v>
      </c>
      <c r="C221" s="2">
        <v>4000</v>
      </c>
      <c r="D221" s="11">
        <v>2.4520301076275876E-2</v>
      </c>
      <c r="E221" s="2">
        <v>286.77059287175285</v>
      </c>
      <c r="F221" s="2">
        <v>1144913.9697026843</v>
      </c>
    </row>
    <row r="222" spans="1:6" x14ac:dyDescent="0.25">
      <c r="A222" s="1" t="s">
        <v>236</v>
      </c>
      <c r="B222" s="1">
        <v>97027.381398073499</v>
      </c>
      <c r="C222" s="2">
        <v>4000</v>
      </c>
      <c r="D222" s="11">
        <v>4.6035688653714928E-2</v>
      </c>
      <c r="E222" s="2">
        <v>197.85742341093325</v>
      </c>
      <c r="F222" s="2">
        <v>1148913.9697026843</v>
      </c>
    </row>
    <row r="223" spans="1:6" x14ac:dyDescent="0.25">
      <c r="A223" s="1" t="s">
        <v>237</v>
      </c>
      <c r="B223" s="1">
        <v>93384.263028599511</v>
      </c>
      <c r="C223" s="2">
        <v>4000</v>
      </c>
      <c r="D223" s="11">
        <v>2.9883893560663958E-2</v>
      </c>
      <c r="E223" s="2">
        <v>356.88163052600862</v>
      </c>
      <c r="F223" s="2">
        <v>1152913.9697026843</v>
      </c>
    </row>
    <row r="224" spans="1:6" x14ac:dyDescent="0.25">
      <c r="A224" s="1" t="s">
        <v>238</v>
      </c>
      <c r="B224" s="1">
        <v>89606.858845461597</v>
      </c>
      <c r="C224" s="2">
        <v>4000</v>
      </c>
      <c r="D224" s="11">
        <v>4.8354080723865975E-2</v>
      </c>
      <c r="E224" s="2">
        <v>222.59581686208821</v>
      </c>
      <c r="F224" s="2">
        <v>1156913.9697026843</v>
      </c>
    </row>
    <row r="225" spans="1:6" x14ac:dyDescent="0.25">
      <c r="A225" s="1" t="s">
        <v>239</v>
      </c>
      <c r="B225" s="1">
        <v>85951.812259055761</v>
      </c>
      <c r="C225" s="2">
        <v>4000</v>
      </c>
      <c r="D225" s="11">
        <v>3.8129185306140304E-2</v>
      </c>
      <c r="E225" s="2">
        <v>344.95341359417085</v>
      </c>
      <c r="F225" s="2">
        <v>1160913.9697026843</v>
      </c>
    </row>
    <row r="226" spans="1:6" x14ac:dyDescent="0.25">
      <c r="A226" s="1" t="s">
        <v>240</v>
      </c>
      <c r="B226" s="1">
        <v>82212.208578705729</v>
      </c>
      <c r="C226" s="2">
        <v>4000</v>
      </c>
      <c r="D226" s="11">
        <v>5.9193738018522443E-2</v>
      </c>
      <c r="E226" s="2">
        <v>260.39631964996312</v>
      </c>
      <c r="F226" s="2">
        <v>1164913.9697026843</v>
      </c>
    </row>
    <row r="227" spans="1:6" x14ac:dyDescent="0.25">
      <c r="A227" s="1" t="s">
        <v>241</v>
      </c>
      <c r="B227" s="1">
        <v>78598.014660743895</v>
      </c>
      <c r="C227" s="2">
        <v>4000</v>
      </c>
      <c r="D227" s="11">
        <v>4.3727070385449089E-2</v>
      </c>
      <c r="E227" s="2">
        <v>385.80608203816172</v>
      </c>
      <c r="F227" s="2">
        <v>1168913.9697026843</v>
      </c>
    </row>
    <row r="228" spans="1:6" x14ac:dyDescent="0.25">
      <c r="A228" s="1" t="s">
        <v>242</v>
      </c>
      <c r="B228" s="1">
        <v>74869.844047217659</v>
      </c>
      <c r="C228" s="2">
        <v>4000</v>
      </c>
      <c r="D228" s="11">
        <v>2.7614012108047051E-2</v>
      </c>
      <c r="E228" s="2">
        <v>271.82938647375926</v>
      </c>
      <c r="F228" s="2">
        <v>1172913.9697026843</v>
      </c>
    </row>
    <row r="229" spans="1:6" x14ac:dyDescent="0.25">
      <c r="A229" s="1" t="s">
        <v>243</v>
      </c>
      <c r="B229" s="1">
        <v>71032.927441518928</v>
      </c>
      <c r="C229" s="2">
        <v>4000</v>
      </c>
      <c r="D229" s="11">
        <v>5.2309169449058522E-2</v>
      </c>
      <c r="E229" s="2">
        <v>163.08339430127288</v>
      </c>
      <c r="F229" s="2">
        <v>1176913.9697026843</v>
      </c>
    </row>
    <row r="230" spans="1:6" x14ac:dyDescent="0.25">
      <c r="A230" s="1" t="s">
        <v>244</v>
      </c>
      <c r="B230" s="1">
        <v>67325.130504869332</v>
      </c>
      <c r="C230" s="2">
        <v>4000</v>
      </c>
      <c r="D230" s="11">
        <v>5.4677811990646377E-2</v>
      </c>
      <c r="E230" s="2">
        <v>292.20306335040488</v>
      </c>
      <c r="F230" s="2">
        <v>1180913.9697026843</v>
      </c>
    </row>
    <row r="231" spans="1:6" x14ac:dyDescent="0.25">
      <c r="A231" s="1" t="s">
        <v>245</v>
      </c>
      <c r="B231" s="1">
        <v>63613.6704698717</v>
      </c>
      <c r="C231" s="2">
        <v>4000</v>
      </c>
      <c r="D231" s="11">
        <v>4.9555420859447932E-2</v>
      </c>
      <c r="E231" s="2">
        <v>288.53996500236593</v>
      </c>
      <c r="F231" s="2">
        <v>1184913.9697026843</v>
      </c>
    </row>
    <row r="232" spans="1:6" x14ac:dyDescent="0.25">
      <c r="A232" s="1" t="s">
        <v>246</v>
      </c>
      <c r="B232" s="1">
        <v>59859.852180630944</v>
      </c>
      <c r="C232" s="2">
        <v>4000</v>
      </c>
      <c r="D232" s="11">
        <v>5.5933485686254211E-2</v>
      </c>
      <c r="E232" s="2">
        <v>246.1817107592446</v>
      </c>
      <c r="F232" s="2">
        <v>1188913.9697026843</v>
      </c>
    </row>
    <row r="233" spans="1:6" x14ac:dyDescent="0.25">
      <c r="A233" s="1" t="s">
        <v>247</v>
      </c>
      <c r="B233" s="1">
        <v>56120.221867496075</v>
      </c>
      <c r="C233" s="2">
        <v>4000</v>
      </c>
      <c r="D233" s="11">
        <v>2.5435699361669062E-2</v>
      </c>
      <c r="E233" s="2">
        <v>260.36968686513308</v>
      </c>
      <c r="F233" s="2">
        <v>1192913.9697026843</v>
      </c>
    </row>
    <row r="234" spans="1:6" x14ac:dyDescent="0.25">
      <c r="A234" s="1" t="s">
        <v>248</v>
      </c>
      <c r="B234" s="1">
        <v>52230.698058669834</v>
      </c>
      <c r="C234" s="2">
        <v>4000</v>
      </c>
      <c r="D234" s="11">
        <v>5.6842934089328896E-2</v>
      </c>
      <c r="E234" s="2">
        <v>110.47619117375999</v>
      </c>
      <c r="F234" s="2">
        <v>1196913.9697026843</v>
      </c>
    </row>
    <row r="235" spans="1:6" x14ac:dyDescent="0.25">
      <c r="A235" s="1" t="s">
        <v>249</v>
      </c>
      <c r="B235" s="1">
        <v>48459.16259123911</v>
      </c>
      <c r="C235" s="2">
        <v>4000</v>
      </c>
      <c r="D235" s="11">
        <v>2.8468811068589738E-2</v>
      </c>
      <c r="E235" s="2">
        <v>228.46453256927438</v>
      </c>
      <c r="F235" s="2">
        <v>1200913.9697026843</v>
      </c>
    </row>
    <row r="236" spans="1:6" x14ac:dyDescent="0.25">
      <c r="A236" s="1" t="s">
        <v>250</v>
      </c>
      <c r="B236" s="1">
        <v>44564.637549578918</v>
      </c>
      <c r="C236" s="2">
        <v>4000</v>
      </c>
      <c r="D236" s="11">
        <v>6.1863153267581281E-2</v>
      </c>
      <c r="E236" s="2">
        <v>105.47495833980824</v>
      </c>
      <c r="F236" s="2">
        <v>1204913.9697026843</v>
      </c>
    </row>
    <row r="237" spans="1:6" x14ac:dyDescent="0.25">
      <c r="A237" s="1" t="s">
        <v>251</v>
      </c>
      <c r="B237" s="1">
        <v>40773.758915410042</v>
      </c>
      <c r="C237" s="2">
        <v>4000</v>
      </c>
      <c r="D237" s="11">
        <v>1.6229729847895464E-2</v>
      </c>
      <c r="E237" s="2">
        <v>209.12136583112363</v>
      </c>
      <c r="F237" s="2">
        <v>1208913.9697026843</v>
      </c>
    </row>
    <row r="238" spans="1:6" x14ac:dyDescent="0.25">
      <c r="A238" s="1" t="s">
        <v>252</v>
      </c>
      <c r="B238" s="1">
        <v>36823.494596467441</v>
      </c>
      <c r="C238" s="2">
        <v>4000</v>
      </c>
      <c r="D238" s="11">
        <v>1.5687223515600777E-2</v>
      </c>
      <c r="E238" s="2">
        <v>49.73568105739519</v>
      </c>
      <c r="F238" s="2">
        <v>1212913.9697026843</v>
      </c>
    </row>
    <row r="239" spans="1:6" x14ac:dyDescent="0.25">
      <c r="A239" s="1" t="s">
        <v>253</v>
      </c>
      <c r="B239" s="1">
        <v>32866.403721158931</v>
      </c>
      <c r="C239" s="2">
        <v>4000</v>
      </c>
      <c r="D239" s="11">
        <v>5.6327526920016392E-2</v>
      </c>
      <c r="E239" s="2">
        <v>42.909124691491591</v>
      </c>
      <c r="F239" s="2">
        <v>1216913.9697026843</v>
      </c>
    </row>
    <row r="240" spans="1:6" x14ac:dyDescent="0.25">
      <c r="A240" s="1" t="s">
        <v>254</v>
      </c>
      <c r="B240" s="1">
        <v>29001.901482216235</v>
      </c>
      <c r="C240" s="2">
        <v>4000</v>
      </c>
      <c r="D240" s="11">
        <v>3.8966893498326396E-2</v>
      </c>
      <c r="E240" s="2">
        <v>135.49776105730342</v>
      </c>
      <c r="F240" s="2">
        <v>1220913.9697026843</v>
      </c>
    </row>
    <row r="241" spans="1:6" x14ac:dyDescent="0.25">
      <c r="A241" s="1" t="s">
        <v>255</v>
      </c>
      <c r="B241" s="1">
        <v>25083.088684908998</v>
      </c>
      <c r="C241" s="2">
        <v>4000</v>
      </c>
      <c r="D241" s="11">
        <v>4.3062002082238218E-2</v>
      </c>
      <c r="E241" s="2">
        <v>81.187202692764075</v>
      </c>
      <c r="F241" s="2">
        <v>1224913.9697026843</v>
      </c>
    </row>
    <row r="242" spans="1:6" x14ac:dyDescent="0.25">
      <c r="A242" s="1" t="s">
        <v>256</v>
      </c>
      <c r="B242" s="1">
        <v>21158.74535231313</v>
      </c>
      <c r="C242" s="2">
        <v>4000</v>
      </c>
      <c r="D242" s="11">
        <v>2.186723843889208E-2</v>
      </c>
      <c r="E242" s="2">
        <v>75.65666740413036</v>
      </c>
      <c r="F242" s="2">
        <v>1228913.9697026843</v>
      </c>
    </row>
    <row r="243" spans="1:6" x14ac:dyDescent="0.25">
      <c r="A243" s="1" t="s">
        <v>257</v>
      </c>
      <c r="B243" s="1">
        <v>17190.013216974068</v>
      </c>
      <c r="C243" s="2">
        <v>4000</v>
      </c>
      <c r="D243" s="11">
        <v>2.1491403990441079E-2</v>
      </c>
      <c r="E243" s="2">
        <v>31.267864660938542</v>
      </c>
      <c r="F243" s="2">
        <v>1232913.9697026843</v>
      </c>
    </row>
    <row r="244" spans="1:6" x14ac:dyDescent="0.25">
      <c r="A244" s="1" t="s">
        <v>258</v>
      </c>
      <c r="B244" s="1">
        <v>13213.635875531172</v>
      </c>
      <c r="C244" s="2">
        <v>4000</v>
      </c>
      <c r="D244" s="11">
        <v>2.6364628420373855E-2</v>
      </c>
      <c r="E244" s="2">
        <v>23.622658557103922</v>
      </c>
      <c r="F244" s="2">
        <v>1236913.9697026843</v>
      </c>
    </row>
    <row r="245" spans="1:6" x14ac:dyDescent="0.25">
      <c r="A245" s="1" t="s">
        <v>259</v>
      </c>
      <c r="B245" s="1">
        <v>9233.8787160527554</v>
      </c>
      <c r="C245" s="2">
        <v>4000</v>
      </c>
      <c r="D245" s="11">
        <v>1.3873556044766262E-2</v>
      </c>
      <c r="E245" s="2">
        <v>20.242840521583773</v>
      </c>
      <c r="F245" s="2">
        <v>1240913.9697026843</v>
      </c>
    </row>
    <row r="246" spans="1:6" x14ac:dyDescent="0.25">
      <c r="A246" s="1" t="s">
        <v>260</v>
      </c>
      <c r="B246" s="1">
        <v>5239.9297585276445</v>
      </c>
      <c r="C246" s="2">
        <v>4000</v>
      </c>
      <c r="D246" s="11">
        <v>5.3472098588456515E-2</v>
      </c>
      <c r="E246" s="2">
        <v>6.0510424748889324</v>
      </c>
      <c r="F246" s="2">
        <v>1244913.9697026843</v>
      </c>
    </row>
    <row r="247" spans="1:6" x14ac:dyDescent="0.25">
      <c r="A247" s="1" t="s">
        <v>261</v>
      </c>
      <c r="B247" s="1">
        <v>1245.4548957185405</v>
      </c>
      <c r="C247" s="2">
        <v>4000</v>
      </c>
      <c r="D247" s="11">
        <v>4.6174553343260233E-2</v>
      </c>
      <c r="E247" s="2">
        <v>5.5251371908959408</v>
      </c>
      <c r="F247" s="2">
        <v>1248913.9697026843</v>
      </c>
    </row>
    <row r="248" spans="1:6" x14ac:dyDescent="0.25">
      <c r="A248" s="1" t="s">
        <v>262</v>
      </c>
      <c r="B248" s="1">
        <v>0</v>
      </c>
      <c r="C248" s="2">
        <v>1245.4548957185405</v>
      </c>
      <c r="D248" s="11">
        <v>4.7371269260350943E-2</v>
      </c>
      <c r="E248" s="2">
        <v>0</v>
      </c>
      <c r="F248" s="2">
        <v>1250159.4245984028</v>
      </c>
    </row>
  </sheetData>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Retire</vt:lpstr>
      <vt:lpstr>Display</vt:lpstr>
      <vt:lpstr>Data</vt:lpstr>
    </vt:vector>
  </TitlesOfParts>
  <Company>MSCI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Robin Dillon</dc:creator>
  <cp:lastModifiedBy>Benjamin Alexander Jakabcsin</cp:lastModifiedBy>
  <dcterms:created xsi:type="dcterms:W3CDTF">1999-09-02T16:03:19Z</dcterms:created>
  <dcterms:modified xsi:type="dcterms:W3CDTF">2023-11-06T21:45:34Z</dcterms:modified>
</cp:coreProperties>
</file>