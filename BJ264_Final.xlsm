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drawings/drawing2.xml" ContentType="application/vnd.openxmlformats-officedocument.drawing+xml"/>
  <Override PartName="/xl/activeX/activeX22.xml" ContentType="application/vnd.ms-office.activeX+xml"/>
  <Override PartName="/xl/activeX/activeX23.xml" ContentType="application/vnd.ms-office.activeX+xml"/>
  <Override PartName="/xl/drawings/drawing3.xml" ContentType="application/vnd.openxmlformats-officedocument.drawing+xml"/>
  <Override PartName="/xl/activeX/activeX24.xml" ContentType="application/vnd.ms-office.activeX+xml"/>
  <Override PartName="/xl/activeX/activeX25.xml" ContentType="application/vnd.ms-office.activeX+xml"/>
  <Override PartName="/xl/activeX/activeX26.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georgetown1-my.sharepoint.com/personal/bj264_georgetown_edu/Documents/"/>
    </mc:Choice>
  </mc:AlternateContent>
  <xr:revisionPtr revIDLastSave="8383" documentId="8_{F8DEB14E-EA0A-494B-B670-A78AB9ACB854}" xr6:coauthVersionLast="47" xr6:coauthVersionMax="47" xr10:uidLastSave="{46103578-8327-4A11-8A1D-AEC6DC16B3E4}"/>
  <bookViews>
    <workbookView xWindow="-108" yWindow="-108" windowWidth="23256" windowHeight="12456" xr2:uid="{06293A42-3F55-4493-836F-885C48F4A03A}"/>
  </bookViews>
  <sheets>
    <sheet name="Interface" sheetId="2" r:id="rId1"/>
    <sheet name="Data" sheetId="1" r:id="rId2"/>
    <sheet name="Results" sheetId="5" r:id="rId3"/>
    <sheet name="Analysis" sheetId="4" r:id="rId4"/>
  </sheets>
  <definedNames>
    <definedName name="BestCustomerService">#REF!</definedName>
    <definedName name="BestLifespan">#REF!</definedName>
    <definedName name="BestPrice">#REF!</definedName>
    <definedName name="CustomerServiceScale">#REF!</definedName>
    <definedName name="treeList" hidden="1">"10000000000000000000000000000000000000000000000000000000000000000000000000000000000000000000000000000000000000000000000000000000000000000000000000000000000000000000000000000000000000000000000000000000"</definedName>
    <definedName name="WorstCustomerService">#REF!</definedName>
    <definedName name="WorstLifespan">#REF!</definedName>
    <definedName name="WorstPric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1" l="1"/>
  <c r="C5" i="1"/>
  <c r="C4" i="1"/>
  <c r="O10" i="2" l="1"/>
  <c r="B4" i="1" s="1"/>
  <c r="E4" i="4"/>
  <c r="E20" i="4" s="1"/>
  <c r="E36" i="4" s="1"/>
  <c r="D4" i="4"/>
  <c r="D20" i="4" s="1"/>
  <c r="D36" i="4" s="1"/>
  <c r="C4" i="4"/>
  <c r="C20" i="4" s="1"/>
  <c r="C36" i="4" s="1"/>
  <c r="B4" i="4"/>
  <c r="B20" i="4" s="1"/>
  <c r="B36" i="4" s="1"/>
  <c r="A12" i="1"/>
  <c r="A20" i="1" s="1"/>
  <c r="A26" i="1" s="1"/>
  <c r="A11" i="1"/>
  <c r="A19" i="1" s="1"/>
  <c r="A25" i="1" s="1"/>
  <c r="A10" i="1"/>
  <c r="A18" i="1" s="1"/>
  <c r="A24" i="1" s="1"/>
  <c r="A9" i="1"/>
  <c r="A17" i="1" s="1"/>
  <c r="A23" i="1" s="1"/>
  <c r="D36" i="1"/>
  <c r="C36" i="1"/>
  <c r="B36" i="1"/>
  <c r="A32" i="1"/>
  <c r="A9" i="5" s="1"/>
  <c r="A31" i="1"/>
  <c r="A8" i="5" s="1"/>
  <c r="A30" i="1"/>
  <c r="A7" i="5" s="1"/>
  <c r="A29" i="1"/>
  <c r="A6" i="5" s="1"/>
  <c r="D20" i="1"/>
  <c r="E12" i="1"/>
  <c r="E20" i="1" s="1"/>
  <c r="E11" i="1"/>
  <c r="E19" i="1" s="1"/>
  <c r="D12" i="1"/>
  <c r="D11" i="1"/>
  <c r="D19" i="1" s="1"/>
  <c r="C12" i="1"/>
  <c r="C20" i="1" s="1"/>
  <c r="D9" i="1"/>
  <c r="D17" i="1" s="1"/>
  <c r="B12" i="1"/>
  <c r="B20" i="1" s="1"/>
  <c r="B11" i="1"/>
  <c r="B19" i="1" s="1"/>
  <c r="B25" i="1" l="1"/>
  <c r="B26" i="1"/>
  <c r="O12" i="2"/>
  <c r="B5" i="1" s="1"/>
  <c r="O19" i="2"/>
  <c r="O14" i="2"/>
  <c r="B6" i="1" s="1"/>
  <c r="C10" i="2"/>
  <c r="B9" i="1" s="1"/>
  <c r="B17" i="1" s="1"/>
  <c r="B23" i="1" s="1"/>
  <c r="F10" i="2"/>
  <c r="B10" i="1" s="1"/>
  <c r="B18" i="1" s="1"/>
  <c r="B24" i="1" s="1"/>
  <c r="I10" i="2"/>
  <c r="L10" i="2"/>
  <c r="C12" i="2"/>
  <c r="C9" i="1" s="1"/>
  <c r="C17" i="1" s="1"/>
  <c r="F12" i="2"/>
  <c r="C10" i="1" s="1"/>
  <c r="C18" i="1" s="1"/>
  <c r="I12" i="2"/>
  <c r="C11" i="1" s="1"/>
  <c r="C19" i="1" s="1"/>
  <c r="L12" i="2"/>
  <c r="C14" i="2"/>
  <c r="F14" i="2"/>
  <c r="D10" i="1" s="1"/>
  <c r="D18" i="1" s="1"/>
  <c r="I14" i="2"/>
  <c r="L14" i="2"/>
  <c r="C16" i="2"/>
  <c r="E9" i="1" s="1"/>
  <c r="E17" i="1" s="1"/>
  <c r="F16" i="2"/>
  <c r="E10" i="1" s="1"/>
  <c r="E18" i="1" s="1"/>
  <c r="I16" i="2"/>
  <c r="L16" i="2"/>
  <c r="C25" i="1" l="1"/>
  <c r="C31" i="1" s="1"/>
  <c r="C24" i="1"/>
  <c r="C30" i="1" s="1"/>
  <c r="C26" i="1"/>
  <c r="C32" i="1" s="1"/>
  <c r="C23" i="1"/>
  <c r="C29" i="1" s="1"/>
  <c r="D24" i="1"/>
  <c r="D23" i="1"/>
  <c r="D26" i="1"/>
  <c r="D25" i="1"/>
  <c r="E24" i="1"/>
  <c r="E25" i="1"/>
  <c r="E26" i="1"/>
  <c r="E23" i="1"/>
  <c r="B32" i="1"/>
  <c r="B29" i="1"/>
  <c r="B31" i="1"/>
  <c r="B30" i="1"/>
  <c r="D30" i="1" l="1"/>
  <c r="E30" i="1" s="1"/>
  <c r="B7" i="5" s="1"/>
  <c r="D29" i="1"/>
  <c r="E29" i="1" s="1"/>
  <c r="B6" i="5" s="1"/>
  <c r="D32" i="1"/>
  <c r="E32" i="1" s="1"/>
  <c r="B9" i="5" s="1"/>
  <c r="D31" i="1"/>
  <c r="E31" i="1" s="1"/>
  <c r="B8" i="5" s="1"/>
  <c r="C34" i="1" l="1"/>
  <c r="D37" i="1" s="1"/>
  <c r="B37" i="1" l="1"/>
  <c r="B34" i="1"/>
  <c r="B3" i="5" s="1"/>
  <c r="A37" i="1"/>
  <c r="C37" i="1"/>
  <c r="F34" i="1" l="1"/>
  <c r="E34" i="1" s="1"/>
  <c r="D3" i="5" s="1"/>
</calcChain>
</file>

<file path=xl/sharedStrings.xml><?xml version="1.0" encoding="utf-8"?>
<sst xmlns="http://schemas.openxmlformats.org/spreadsheetml/2006/main" count="48" uniqueCount="41">
  <si>
    <t>Worst Case Job Fullfilment (1-10)</t>
  </si>
  <si>
    <t>Expected Job Fullfilment (1-10)</t>
  </si>
  <si>
    <t>Career Potential (1-10)</t>
  </si>
  <si>
    <t>Compensation per Month</t>
  </si>
  <si>
    <t>Ford</t>
  </si>
  <si>
    <t>Chevy</t>
  </si>
  <si>
    <t>The purpose of this system is to help you decide which job is best, and under what conditions. To begin, first click the "Enter Names" button to add the names of the four jobs you would like to conside, then adjust the sliders to fit the specificaations of each job (10 is high, 1 is low), then press the "Run Helper" button which will direct you to the results page. From there you can navigate to the sensitvity analysis.</t>
  </si>
  <si>
    <t>Job Decision Helper</t>
  </si>
  <si>
    <t>Importance</t>
  </si>
  <si>
    <t>Model</t>
  </si>
  <si>
    <t>Weights</t>
  </si>
  <si>
    <t>Compensation</t>
  </si>
  <si>
    <t>Potential</t>
  </si>
  <si>
    <t>Fullfilment</t>
  </si>
  <si>
    <t>Values</t>
  </si>
  <si>
    <t>Min</t>
  </si>
  <si>
    <t>Max</t>
  </si>
  <si>
    <t>Ex Fullfilment</t>
  </si>
  <si>
    <t>Worst Fullfilment</t>
  </si>
  <si>
    <t>Uncertainty + Weights</t>
  </si>
  <si>
    <t>Career Potential</t>
  </si>
  <si>
    <t>Job Fullfillment</t>
  </si>
  <si>
    <t>Total Score</t>
  </si>
  <si>
    <t>Decision</t>
  </si>
  <si>
    <t>Job</t>
  </si>
  <si>
    <t xml:space="preserve">Results </t>
  </si>
  <si>
    <t>Your Decision Reccomendation:</t>
  </si>
  <si>
    <t>Based On:</t>
  </si>
  <si>
    <t>Based On</t>
  </si>
  <si>
    <t>Acura</t>
  </si>
  <si>
    <t>Linear Values</t>
  </si>
  <si>
    <t>Sensitivity Analysis</t>
  </si>
  <si>
    <t>Sesntivity to Compensation Importance</t>
  </si>
  <si>
    <t>Compensation Importance</t>
  </si>
  <si>
    <t>Sensitivty to Career Potential Importance</t>
  </si>
  <si>
    <t>Career Potential Importance</t>
  </si>
  <si>
    <t>Sesntivity to Job Fullfilment Importance</t>
  </si>
  <si>
    <t>Job Fullfilment Importance</t>
  </si>
  <si>
    <t>Job Name</t>
  </si>
  <si>
    <t>Rating</t>
  </si>
  <si>
    <t>Gm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</si>
</sst>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8" x14ac:knownFonts="1">
    <font>
      <sz val="11"/>
      <color theme="1"/>
      <name val="Calibri"/>
      <family val="2"/>
      <scheme val="minor"/>
    </font>
    <font>
      <sz val="11"/>
      <color theme="1"/>
      <name val="Calibri"/>
      <family val="2"/>
      <scheme val="minor"/>
    </font>
    <font>
      <b/>
      <sz val="11"/>
      <color theme="1"/>
      <name val="Calibri"/>
      <family val="2"/>
      <scheme val="minor"/>
    </font>
    <font>
      <sz val="11"/>
      <color theme="8" tint="0.59999389629810485"/>
      <name val="Calibri"/>
      <family val="2"/>
      <scheme val="minor"/>
    </font>
    <font>
      <b/>
      <sz val="20"/>
      <color theme="1"/>
      <name val="Calibri"/>
      <family val="2"/>
      <scheme val="minor"/>
    </font>
    <font>
      <b/>
      <sz val="24"/>
      <color theme="1"/>
      <name val="Calibri"/>
      <family val="2"/>
      <scheme val="minor"/>
    </font>
    <font>
      <sz val="24"/>
      <color theme="1"/>
      <name val="Calibri"/>
      <family val="2"/>
      <scheme val="minor"/>
    </font>
    <font>
      <sz val="20"/>
      <color theme="1"/>
      <name val="Calibri"/>
      <family val="2"/>
      <scheme val="minor"/>
    </font>
  </fonts>
  <fills count="8">
    <fill>
      <patternFill patternType="none"/>
    </fill>
    <fill>
      <patternFill patternType="gray125"/>
    </fill>
    <fill>
      <patternFill patternType="solid">
        <fgColor theme="8" tint="0.59999389629810485"/>
        <bgColor indexed="64"/>
      </patternFill>
    </fill>
    <fill>
      <patternFill patternType="solid">
        <fgColor theme="2"/>
        <bgColor indexed="64"/>
      </patternFill>
    </fill>
    <fill>
      <patternFill patternType="solid">
        <fgColor theme="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6" tint="0.59999389629810485"/>
        <bgColor indexed="64"/>
      </patternFill>
    </fill>
  </fills>
  <borders count="14">
    <border>
      <left/>
      <right/>
      <top/>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9" fontId="1" fillId="0" borderId="0" applyFont="0" applyFill="0" applyBorder="0" applyAlignment="0" applyProtection="0"/>
  </cellStyleXfs>
  <cellXfs count="45">
    <xf numFmtId="0" fontId="0" fillId="0" borderId="0" xfId="0"/>
    <xf numFmtId="0" fontId="0" fillId="2" borderId="0" xfId="0" applyFill="1"/>
    <xf numFmtId="0" fontId="3" fillId="2" borderId="0" xfId="0" applyFont="1" applyFill="1"/>
    <xf numFmtId="0" fontId="0" fillId="2" borderId="0" xfId="0" applyFill="1" applyAlignment="1">
      <alignment vertical="center"/>
    </xf>
    <xf numFmtId="0" fontId="0" fillId="2" borderId="1" xfId="0" applyFill="1" applyBorder="1" applyAlignment="1">
      <alignment vertical="center"/>
    </xf>
    <xf numFmtId="0" fontId="0" fillId="2" borderId="2" xfId="0" applyFill="1" applyBorder="1" applyAlignment="1">
      <alignment wrapText="1"/>
    </xf>
    <xf numFmtId="0" fontId="0" fillId="2" borderId="3" xfId="0" applyFill="1" applyBorder="1" applyAlignment="1">
      <alignment wrapText="1"/>
    </xf>
    <xf numFmtId="0" fontId="0" fillId="2" borderId="12" xfId="0" applyFill="1" applyBorder="1"/>
    <xf numFmtId="2" fontId="0" fillId="2" borderId="0" xfId="0" applyNumberFormat="1" applyFill="1"/>
    <xf numFmtId="9" fontId="0" fillId="2" borderId="0" xfId="1" applyFont="1" applyFill="1" applyAlignment="1">
      <alignment horizontal="center" vertical="center"/>
    </xf>
    <xf numFmtId="0" fontId="0" fillId="5" borderId="0" xfId="0" applyFill="1"/>
    <xf numFmtId="2" fontId="3" fillId="2" borderId="0" xfId="0" applyNumberFormat="1" applyFont="1" applyFill="1"/>
    <xf numFmtId="0" fontId="0" fillId="5" borderId="13" xfId="0" applyFill="1" applyBorder="1"/>
    <xf numFmtId="0" fontId="0" fillId="6" borderId="13" xfId="0" applyFill="1" applyBorder="1"/>
    <xf numFmtId="9" fontId="0" fillId="6" borderId="13" xfId="0" applyNumberFormat="1" applyFill="1" applyBorder="1"/>
    <xf numFmtId="2" fontId="0" fillId="6" borderId="13" xfId="0" applyNumberFormat="1" applyFill="1" applyBorder="1"/>
    <xf numFmtId="1" fontId="0" fillId="6" borderId="13" xfId="0" applyNumberFormat="1" applyFill="1" applyBorder="1"/>
    <xf numFmtId="2" fontId="0" fillId="5" borderId="13" xfId="0" applyNumberFormat="1" applyFill="1" applyBorder="1"/>
    <xf numFmtId="0" fontId="0" fillId="6" borderId="0" xfId="0" applyFill="1"/>
    <xf numFmtId="0" fontId="5" fillId="6" borderId="0" xfId="0" applyFont="1" applyFill="1"/>
    <xf numFmtId="0" fontId="6" fillId="6" borderId="0" xfId="0" applyFont="1" applyFill="1"/>
    <xf numFmtId="0" fontId="2" fillId="6" borderId="13" xfId="0" applyFont="1" applyFill="1" applyBorder="1"/>
    <xf numFmtId="9" fontId="0" fillId="5" borderId="0" xfId="0" applyNumberFormat="1" applyFill="1"/>
    <xf numFmtId="0" fontId="4" fillId="5" borderId="0" xfId="0" applyFont="1" applyFill="1"/>
    <xf numFmtId="9" fontId="0" fillId="5" borderId="13" xfId="0" applyNumberFormat="1" applyFill="1" applyBorder="1"/>
    <xf numFmtId="0" fontId="7" fillId="5" borderId="13" xfId="0" applyFont="1" applyFill="1" applyBorder="1"/>
    <xf numFmtId="2" fontId="7" fillId="5" borderId="13" xfId="0" applyNumberFormat="1" applyFont="1" applyFill="1" applyBorder="1"/>
    <xf numFmtId="0" fontId="4" fillId="7" borderId="13" xfId="0" applyFont="1" applyFill="1" applyBorder="1"/>
    <xf numFmtId="0" fontId="0" fillId="2" borderId="0" xfId="0" applyFill="1" applyAlignment="1">
      <alignment horizontal="center" vertical="center"/>
    </xf>
    <xf numFmtId="9" fontId="0" fillId="2" borderId="1" xfId="0" applyNumberFormat="1" applyFill="1" applyBorder="1" applyAlignment="1">
      <alignment horizontal="center" vertical="center"/>
    </xf>
    <xf numFmtId="9" fontId="0" fillId="2" borderId="0" xfId="1" applyFont="1" applyFill="1" applyAlignment="1">
      <alignment horizontal="center" vertical="center"/>
    </xf>
    <xf numFmtId="164" fontId="0" fillId="2" borderId="1" xfId="0" applyNumberFormat="1" applyFill="1" applyBorder="1" applyAlignment="1">
      <alignment horizontal="center" vertical="center"/>
    </xf>
    <xf numFmtId="164" fontId="0" fillId="2" borderId="0" xfId="0" applyNumberFormat="1" applyFill="1" applyAlignment="1">
      <alignment horizontal="center" vertical="center"/>
    </xf>
    <xf numFmtId="0" fontId="4" fillId="4" borderId="3" xfId="0" applyFont="1" applyFill="1" applyBorder="1" applyAlignment="1">
      <alignment horizontal="center" vertical="center"/>
    </xf>
    <xf numFmtId="0" fontId="4" fillId="4" borderId="11" xfId="0" applyFont="1" applyFill="1" applyBorder="1" applyAlignment="1">
      <alignment horizontal="center" vertical="center"/>
    </xf>
    <xf numFmtId="0" fontId="4" fillId="4" borderId="2" xfId="0" applyFont="1" applyFill="1" applyBorder="1" applyAlignment="1">
      <alignment horizontal="center" vertical="center"/>
    </xf>
    <xf numFmtId="0" fontId="0" fillId="3" borderId="10" xfId="0" applyFill="1" applyBorder="1" applyAlignment="1">
      <alignment horizontal="center" vertical="center" wrapText="1"/>
    </xf>
    <xf numFmtId="0" fontId="0" fillId="3" borderId="1" xfId="0" applyFill="1" applyBorder="1" applyAlignment="1">
      <alignment horizontal="center" vertical="center" wrapText="1"/>
    </xf>
    <xf numFmtId="0" fontId="0" fillId="3" borderId="9" xfId="0" applyFill="1" applyBorder="1" applyAlignment="1">
      <alignment horizontal="center" vertical="center" wrapText="1"/>
    </xf>
    <xf numFmtId="0" fontId="0" fillId="3" borderId="8" xfId="0" applyFill="1" applyBorder="1" applyAlignment="1">
      <alignment horizontal="center" vertical="center" wrapText="1"/>
    </xf>
    <xf numFmtId="0" fontId="0" fillId="3" borderId="0" xfId="0" applyFill="1" applyAlignment="1">
      <alignment horizontal="center" vertical="center" wrapText="1"/>
    </xf>
    <xf numFmtId="0" fontId="0" fillId="3" borderId="7" xfId="0" applyFill="1" applyBorder="1" applyAlignment="1">
      <alignment horizontal="center" vertical="center" wrapText="1"/>
    </xf>
    <xf numFmtId="0" fontId="0" fillId="3" borderId="6" xfId="0" applyFill="1" applyBorder="1" applyAlignment="1">
      <alignment horizontal="center" vertical="center" wrapText="1"/>
    </xf>
    <xf numFmtId="0" fontId="0" fillId="3" borderId="5" xfId="0" applyFill="1" applyBorder="1" applyAlignment="1">
      <alignment horizontal="center" vertical="center" wrapText="1"/>
    </xf>
    <xf numFmtId="0" fontId="0" fillId="3" borderId="4" xfId="0" applyFill="1" applyBorder="1" applyAlignment="1">
      <alignment horizontal="center" vertical="center" wrapText="1"/>
    </xf>
  </cellXfs>
  <cellStyles count="3">
    <cellStyle name="Normal" xfId="0" builtinId="0"/>
    <cellStyle name="Percent" xfId="1" builtinId="5"/>
    <cellStyle name="Percent 2" xfId="2" xr:uid="{4C816B52-769A-4D70-808C-0C0DB3FB46F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DFD181E0-5E2F-11CE-A449-00AA004A803D}" ax:persistence="persistStreamInit" r:id="rId1"/>
</file>

<file path=xl/activeX/activeX6.xml><?xml version="1.0" encoding="utf-8"?>
<ax:ocx xmlns:ax="http://schemas.microsoft.com/office/2006/activeX" xmlns:r="http://schemas.openxmlformats.org/officeDocument/2006/relationships" ax:classid="{DFD181E0-5E2F-11CE-A449-00AA004A803D}" ax:persistence="persistStreamInit" r:id="rId1"/>
</file>

<file path=xl/activeX/activeX7.xml><?xml version="1.0" encoding="utf-8"?>
<ax:ocx xmlns:ax="http://schemas.microsoft.com/office/2006/activeX" xmlns:r="http://schemas.openxmlformats.org/officeDocument/2006/relationships" ax:classid="{DFD181E0-5E2F-11CE-A449-00AA004A803D}" ax:persistence="persistStreamInit" r:id="rId1"/>
</file>

<file path=xl/activeX/activeX8.xml><?xml version="1.0" encoding="utf-8"?>
<ax:ocx xmlns:ax="http://schemas.microsoft.com/office/2006/activeX" xmlns:r="http://schemas.openxmlformats.org/officeDocument/2006/relationships" ax:classid="{DFD181E0-5E2F-11CE-A449-00AA004A803D}"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FD181E0-5E2F-11CE-A449-00AA004A803D}" ax:persistence="persistStreamInit" r:id="rId1"/>
</file>

<file path=xl/activeX/activeX12.xml><?xml version="1.0" encoding="utf-8"?>
<ax:ocx xmlns:ax="http://schemas.microsoft.com/office/2006/activeX" xmlns:r="http://schemas.openxmlformats.org/officeDocument/2006/relationships" ax:classid="{DFD181E0-5E2F-11CE-A449-00AA004A803D}" ax:persistence="persistStreamInit" r:id="rId1"/>
</file>

<file path=xl/activeX/activeX13.xml><?xml version="1.0" encoding="utf-8"?>
<ax:ocx xmlns:ax="http://schemas.microsoft.com/office/2006/activeX" xmlns:r="http://schemas.openxmlformats.org/officeDocument/2006/relationships" ax:classid="{DFD181E0-5E2F-11CE-A449-00AA004A803D}" ax:persistence="persistStreamInit" r:id="rId1"/>
</file>

<file path=xl/activeX/activeX14.xml><?xml version="1.0" encoding="utf-8"?>
<ax:ocx xmlns:ax="http://schemas.microsoft.com/office/2006/activeX" xmlns:r="http://schemas.openxmlformats.org/officeDocument/2006/relationships" ax:classid="{DFD181E0-5E2F-11CE-A449-00AA004A803D}" ax:persistence="persistStreamInit" r:id="rId1"/>
</file>

<file path=xl/activeX/activeX15.xml><?xml version="1.0" encoding="utf-8"?>
<ax:ocx xmlns:ax="http://schemas.microsoft.com/office/2006/activeX" xmlns:r="http://schemas.openxmlformats.org/officeDocument/2006/relationships" ax:classid="{DFD181E0-5E2F-11CE-A449-00AA004A803D}" ax:persistence="persistStreamInit" r:id="rId1"/>
</file>

<file path=xl/activeX/activeX16.xml><?xml version="1.0" encoding="utf-8"?>
<ax:ocx xmlns:ax="http://schemas.microsoft.com/office/2006/activeX" xmlns:r="http://schemas.openxmlformats.org/officeDocument/2006/relationships" ax:classid="{DFD181E0-5E2F-11CE-A449-00AA004A803D}" ax:persistence="persistStreamInit" r:id="rId1"/>
</file>

<file path=xl/activeX/activeX17.xml><?xml version="1.0" encoding="utf-8"?>
<ax:ocx xmlns:ax="http://schemas.microsoft.com/office/2006/activeX" xmlns:r="http://schemas.openxmlformats.org/officeDocument/2006/relationships" ax:classid="{DFD181E0-5E2F-11CE-A449-00AA004A803D}" ax:persistence="persistStreamInit" r:id="rId1"/>
</file>

<file path=xl/activeX/activeX18.xml><?xml version="1.0" encoding="utf-8"?>
<ax:ocx xmlns:ax="http://schemas.microsoft.com/office/2006/activeX" xmlns:r="http://schemas.openxmlformats.org/officeDocument/2006/relationships" ax:classid="{DFD181E0-5E2F-11CE-A449-00AA004A803D}" ax:persistence="persistStreamInit" r:id="rId1"/>
</file>

<file path=xl/activeX/activeX19.xml><?xml version="1.0" encoding="utf-8"?>
<ax:ocx xmlns:ax="http://schemas.microsoft.com/office/2006/activeX" xmlns:r="http://schemas.openxmlformats.org/officeDocument/2006/relationships" ax:classid="{DFD181E0-5E2F-11CE-A449-00AA004A803D}" ax:persistence="persistStreamInit" r:id="rId1"/>
</file>

<file path=xl/activeX/activeX20.xml><?xml version="1.0" encoding="utf-8"?>
<ax:ocx xmlns:ax="http://schemas.microsoft.com/office/2006/activeX" xmlns:r="http://schemas.openxmlformats.org/officeDocument/2006/relationships" ax:classid="{DFD181E0-5E2F-11CE-A449-00AA004A803D}" ax:persistence="persistStreamInit" r:id="rId1"/>
</file>

<file path=xl/activeX/activeX21.xml><?xml version="1.0" encoding="utf-8"?>
<ax:ocx xmlns:ax="http://schemas.microsoft.com/office/2006/activeX" xmlns:r="http://schemas.openxmlformats.org/officeDocument/2006/relationships" ax:classid="{DFD181E0-5E2F-11CE-A449-00AA004A803D}"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Sensitivty to Compensation Importance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358705161854772E-2"/>
          <c:y val="0.17171296296296298"/>
          <c:w val="0.90286351706036749"/>
          <c:h val="0.61498432487605714"/>
        </c:manualLayout>
      </c:layout>
      <c:lineChart>
        <c:grouping val="standard"/>
        <c:varyColors val="0"/>
        <c:ser>
          <c:idx val="0"/>
          <c:order val="0"/>
          <c:tx>
            <c:strRef>
              <c:f>Analysis!$B$4</c:f>
              <c:strCache>
                <c:ptCount val="1"/>
                <c:pt idx="0">
                  <c:v>Acura Score</c:v>
                </c:pt>
              </c:strCache>
            </c:strRef>
          </c:tx>
          <c:spPr>
            <a:ln w="28575" cap="rnd">
              <a:solidFill>
                <a:schemeClr val="accent1"/>
              </a:solidFill>
              <a:round/>
            </a:ln>
            <a:effectLst/>
          </c:spPr>
          <c:marker>
            <c:symbol val="none"/>
          </c:marker>
          <c:cat>
            <c:numRef>
              <c:f>Analysis!$A$5:$A$17</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Analysis!$B$5:$B$17</c:f>
              <c:numCache>
                <c:formatCode>0.00</c:formatCode>
                <c:ptCount val="13"/>
                <c:pt idx="0">
                  <c:v>61.952380952380949</c:v>
                </c:pt>
                <c:pt idx="1">
                  <c:v>61.250000000000007</c:v>
                </c:pt>
                <c:pt idx="2">
                  <c:v>60.547619047619051</c:v>
                </c:pt>
                <c:pt idx="3">
                  <c:v>59.845238095238102</c:v>
                </c:pt>
                <c:pt idx="4">
                  <c:v>59.142857142857146</c:v>
                </c:pt>
                <c:pt idx="5">
                  <c:v>58.44047619047619</c:v>
                </c:pt>
                <c:pt idx="6">
                  <c:v>57.738095238095234</c:v>
                </c:pt>
                <c:pt idx="7">
                  <c:v>57.035714285714278</c:v>
                </c:pt>
                <c:pt idx="8">
                  <c:v>56.333333333333329</c:v>
                </c:pt>
                <c:pt idx="9">
                  <c:v>55.63095238095238</c:v>
                </c:pt>
                <c:pt idx="10">
                  <c:v>54.928571428571431</c:v>
                </c:pt>
                <c:pt idx="11">
                  <c:v>54.226190476190474</c:v>
                </c:pt>
                <c:pt idx="12">
                  <c:v>53.523809523809518</c:v>
                </c:pt>
              </c:numCache>
            </c:numRef>
          </c:val>
          <c:smooth val="0"/>
          <c:extLst>
            <c:ext xmlns:c16="http://schemas.microsoft.com/office/drawing/2014/chart" uri="{C3380CC4-5D6E-409C-BE32-E72D297353CC}">
              <c16:uniqueId val="{00000000-035B-4E7E-95B0-5289E0BC161C}"/>
            </c:ext>
          </c:extLst>
        </c:ser>
        <c:ser>
          <c:idx val="1"/>
          <c:order val="1"/>
          <c:tx>
            <c:strRef>
              <c:f>Analysis!$C$4</c:f>
              <c:strCache>
                <c:ptCount val="1"/>
                <c:pt idx="0">
                  <c:v>Ford Score</c:v>
                </c:pt>
              </c:strCache>
            </c:strRef>
          </c:tx>
          <c:spPr>
            <a:ln w="28575" cap="rnd">
              <a:solidFill>
                <a:schemeClr val="accent2"/>
              </a:solidFill>
              <a:round/>
            </a:ln>
            <a:effectLst/>
          </c:spPr>
          <c:marker>
            <c:symbol val="none"/>
          </c:marker>
          <c:cat>
            <c:numRef>
              <c:f>Analysis!$A$5:$A$17</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Analysis!$C$5:$C$17</c:f>
              <c:numCache>
                <c:formatCode>0.00</c:formatCode>
                <c:ptCount val="13"/>
                <c:pt idx="0">
                  <c:v>64.222222222222214</c:v>
                </c:pt>
                <c:pt idx="1">
                  <c:v>62.857142857142861</c:v>
                </c:pt>
                <c:pt idx="2">
                  <c:v>61.492063492063494</c:v>
                </c:pt>
                <c:pt idx="3">
                  <c:v>60.126984126984127</c:v>
                </c:pt>
                <c:pt idx="4">
                  <c:v>58.761904761904766</c:v>
                </c:pt>
                <c:pt idx="5">
                  <c:v>57.396825396825392</c:v>
                </c:pt>
                <c:pt idx="6">
                  <c:v>56.031746031746032</c:v>
                </c:pt>
                <c:pt idx="7">
                  <c:v>54.666666666666657</c:v>
                </c:pt>
                <c:pt idx="8">
                  <c:v>53.30158730158729</c:v>
                </c:pt>
                <c:pt idx="9">
                  <c:v>51.936507936507937</c:v>
                </c:pt>
                <c:pt idx="10">
                  <c:v>50.571428571428569</c:v>
                </c:pt>
                <c:pt idx="11">
                  <c:v>49.206349206349209</c:v>
                </c:pt>
                <c:pt idx="12">
                  <c:v>47.841269841269835</c:v>
                </c:pt>
              </c:numCache>
            </c:numRef>
          </c:val>
          <c:smooth val="0"/>
          <c:extLst>
            <c:ext xmlns:c16="http://schemas.microsoft.com/office/drawing/2014/chart" uri="{C3380CC4-5D6E-409C-BE32-E72D297353CC}">
              <c16:uniqueId val="{00000001-035B-4E7E-95B0-5289E0BC161C}"/>
            </c:ext>
          </c:extLst>
        </c:ser>
        <c:ser>
          <c:idx val="2"/>
          <c:order val="2"/>
          <c:tx>
            <c:strRef>
              <c:f>Analysis!$D$4</c:f>
              <c:strCache>
                <c:ptCount val="1"/>
                <c:pt idx="0">
                  <c:v>Chevy Score</c:v>
                </c:pt>
              </c:strCache>
            </c:strRef>
          </c:tx>
          <c:spPr>
            <a:ln w="28575" cap="rnd">
              <a:solidFill>
                <a:schemeClr val="accent3"/>
              </a:solidFill>
              <a:round/>
            </a:ln>
            <a:effectLst/>
          </c:spPr>
          <c:marker>
            <c:symbol val="none"/>
          </c:marker>
          <c:cat>
            <c:numRef>
              <c:f>Analysis!$A$5:$A$17</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Analysis!$D$5:$D$17</c:f>
              <c:numCache>
                <c:formatCode>0.00</c:formatCode>
                <c:ptCount val="13"/>
                <c:pt idx="0">
                  <c:v>50.817460317460316</c:v>
                </c:pt>
                <c:pt idx="1">
                  <c:v>50.648809523809533</c:v>
                </c:pt>
                <c:pt idx="2">
                  <c:v>50.480158730158728</c:v>
                </c:pt>
                <c:pt idx="3">
                  <c:v>50.311507936507937</c:v>
                </c:pt>
                <c:pt idx="4">
                  <c:v>50.142857142857139</c:v>
                </c:pt>
                <c:pt idx="5">
                  <c:v>49.974206349206348</c:v>
                </c:pt>
                <c:pt idx="6">
                  <c:v>49.80555555555555</c:v>
                </c:pt>
                <c:pt idx="7">
                  <c:v>49.636904761904759</c:v>
                </c:pt>
                <c:pt idx="8">
                  <c:v>49.468253968253961</c:v>
                </c:pt>
                <c:pt idx="9">
                  <c:v>49.299603174603178</c:v>
                </c:pt>
                <c:pt idx="10">
                  <c:v>49.13095238095238</c:v>
                </c:pt>
                <c:pt idx="11">
                  <c:v>48.962301587301589</c:v>
                </c:pt>
                <c:pt idx="12">
                  <c:v>48.793650793650784</c:v>
                </c:pt>
              </c:numCache>
            </c:numRef>
          </c:val>
          <c:smooth val="0"/>
          <c:extLst>
            <c:ext xmlns:c16="http://schemas.microsoft.com/office/drawing/2014/chart" uri="{C3380CC4-5D6E-409C-BE32-E72D297353CC}">
              <c16:uniqueId val="{00000002-035B-4E7E-95B0-5289E0BC161C}"/>
            </c:ext>
          </c:extLst>
        </c:ser>
        <c:ser>
          <c:idx val="3"/>
          <c:order val="3"/>
          <c:tx>
            <c:strRef>
              <c:f>Analysis!$E$4</c:f>
              <c:strCache>
                <c:ptCount val="1"/>
                <c:pt idx="0">
                  <c:v>Gm Score</c:v>
                </c:pt>
              </c:strCache>
            </c:strRef>
          </c:tx>
          <c:spPr>
            <a:ln w="28575" cap="rnd">
              <a:solidFill>
                <a:schemeClr val="accent4"/>
              </a:solidFill>
              <a:round/>
            </a:ln>
            <a:effectLst/>
          </c:spPr>
          <c:marker>
            <c:symbol val="none"/>
          </c:marker>
          <c:cat>
            <c:numRef>
              <c:f>Analysis!$A$5:$A$17</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Analysis!$E$5:$E$17</c:f>
              <c:numCache>
                <c:formatCode>0.00</c:formatCode>
                <c:ptCount val="13"/>
                <c:pt idx="0">
                  <c:v>53.738095238095234</c:v>
                </c:pt>
                <c:pt idx="1">
                  <c:v>53.464285714285722</c:v>
                </c:pt>
                <c:pt idx="2">
                  <c:v>53.19047619047619</c:v>
                </c:pt>
                <c:pt idx="3">
                  <c:v>52.916666666666671</c:v>
                </c:pt>
                <c:pt idx="4">
                  <c:v>52.642857142857146</c:v>
                </c:pt>
                <c:pt idx="5">
                  <c:v>52.36904761904762</c:v>
                </c:pt>
                <c:pt idx="6">
                  <c:v>52.095238095238095</c:v>
                </c:pt>
                <c:pt idx="7">
                  <c:v>51.821428571428569</c:v>
                </c:pt>
                <c:pt idx="8">
                  <c:v>51.547619047619051</c:v>
                </c:pt>
                <c:pt idx="9">
                  <c:v>51.273809523809518</c:v>
                </c:pt>
                <c:pt idx="10">
                  <c:v>51</c:v>
                </c:pt>
                <c:pt idx="11">
                  <c:v>50.726190476190474</c:v>
                </c:pt>
                <c:pt idx="12">
                  <c:v>50.452380952380949</c:v>
                </c:pt>
              </c:numCache>
            </c:numRef>
          </c:val>
          <c:smooth val="0"/>
          <c:extLst>
            <c:ext xmlns:c16="http://schemas.microsoft.com/office/drawing/2014/chart" uri="{C3380CC4-5D6E-409C-BE32-E72D297353CC}">
              <c16:uniqueId val="{00000003-035B-4E7E-95B0-5289E0BC161C}"/>
            </c:ext>
          </c:extLst>
        </c:ser>
        <c:dLbls>
          <c:showLegendKey val="0"/>
          <c:showVal val="0"/>
          <c:showCatName val="0"/>
          <c:showSerName val="0"/>
          <c:showPercent val="0"/>
          <c:showBubbleSize val="0"/>
        </c:dLbls>
        <c:smooth val="0"/>
        <c:axId val="2041405840"/>
        <c:axId val="1501602192"/>
      </c:lineChart>
      <c:catAx>
        <c:axId val="2041405840"/>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1602192"/>
        <c:crosses val="autoZero"/>
        <c:auto val="1"/>
        <c:lblAlgn val="ctr"/>
        <c:lblOffset val="100"/>
        <c:noMultiLvlLbl val="0"/>
      </c:catAx>
      <c:valAx>
        <c:axId val="150160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405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Sensitvity to Career</a:t>
            </a:r>
            <a:r>
              <a:rPr lang="en-US" baseline="0"/>
              <a:t> Potential Importance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Analysis!$B$20</c:f>
              <c:strCache>
                <c:ptCount val="1"/>
                <c:pt idx="0">
                  <c:v>Acura Score</c:v>
                </c:pt>
              </c:strCache>
            </c:strRef>
          </c:tx>
          <c:spPr>
            <a:ln w="28575" cap="rnd">
              <a:solidFill>
                <a:schemeClr val="accent1"/>
              </a:solidFill>
              <a:round/>
            </a:ln>
            <a:effectLst/>
          </c:spPr>
          <c:marker>
            <c:symbol val="none"/>
          </c:marker>
          <c:cat>
            <c:numRef>
              <c:f>Analysis!$A$21:$A$33</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Analysis!$B$21:$B$33</c:f>
              <c:numCache>
                <c:formatCode>0.00</c:formatCode>
                <c:ptCount val="13"/>
                <c:pt idx="0">
                  <c:v>62.757763975155285</c:v>
                </c:pt>
                <c:pt idx="1">
                  <c:v>62.942546583850934</c:v>
                </c:pt>
                <c:pt idx="2">
                  <c:v>63.127329192546583</c:v>
                </c:pt>
                <c:pt idx="3">
                  <c:v>63.312111801242239</c:v>
                </c:pt>
                <c:pt idx="4">
                  <c:v>63.496894409937887</c:v>
                </c:pt>
                <c:pt idx="5">
                  <c:v>63.681677018633536</c:v>
                </c:pt>
                <c:pt idx="6">
                  <c:v>63.866459627329192</c:v>
                </c:pt>
                <c:pt idx="7">
                  <c:v>64.051242236024848</c:v>
                </c:pt>
                <c:pt idx="8">
                  <c:v>64.236024844720504</c:v>
                </c:pt>
                <c:pt idx="9">
                  <c:v>64.42080745341616</c:v>
                </c:pt>
                <c:pt idx="10">
                  <c:v>64.605590062111801</c:v>
                </c:pt>
                <c:pt idx="11">
                  <c:v>64.790372670807443</c:v>
                </c:pt>
                <c:pt idx="12">
                  <c:v>64.975155279503099</c:v>
                </c:pt>
              </c:numCache>
            </c:numRef>
          </c:val>
          <c:smooth val="0"/>
          <c:extLst>
            <c:ext xmlns:c16="http://schemas.microsoft.com/office/drawing/2014/chart" uri="{C3380CC4-5D6E-409C-BE32-E72D297353CC}">
              <c16:uniqueId val="{00000000-0576-4422-9978-2CB2030AF3B7}"/>
            </c:ext>
          </c:extLst>
        </c:ser>
        <c:ser>
          <c:idx val="1"/>
          <c:order val="1"/>
          <c:tx>
            <c:strRef>
              <c:f>Analysis!$C$20</c:f>
              <c:strCache>
                <c:ptCount val="1"/>
                <c:pt idx="0">
                  <c:v>Ford Score</c:v>
                </c:pt>
              </c:strCache>
            </c:strRef>
          </c:tx>
          <c:spPr>
            <a:ln w="28575" cap="rnd">
              <a:solidFill>
                <a:schemeClr val="accent2"/>
              </a:solidFill>
              <a:round/>
            </a:ln>
            <a:effectLst/>
          </c:spPr>
          <c:marker>
            <c:symbol val="none"/>
          </c:marker>
          <c:cat>
            <c:numRef>
              <c:f>Analysis!$A$21:$A$33</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Analysis!$C$21:$C$33</c:f>
              <c:numCache>
                <c:formatCode>0.00</c:formatCode>
                <c:ptCount val="13"/>
                <c:pt idx="0">
                  <c:v>61.18288474810214</c:v>
                </c:pt>
                <c:pt idx="1">
                  <c:v>62.091097308488614</c:v>
                </c:pt>
                <c:pt idx="2">
                  <c:v>62.999309868875081</c:v>
                </c:pt>
                <c:pt idx="3">
                  <c:v>63.907522429261562</c:v>
                </c:pt>
                <c:pt idx="4">
                  <c:v>64.815734989648035</c:v>
                </c:pt>
                <c:pt idx="5">
                  <c:v>65.723947550034509</c:v>
                </c:pt>
                <c:pt idx="6">
                  <c:v>66.632160110420983</c:v>
                </c:pt>
                <c:pt idx="7">
                  <c:v>67.540372670807443</c:v>
                </c:pt>
                <c:pt idx="8">
                  <c:v>68.448585231193931</c:v>
                </c:pt>
                <c:pt idx="9">
                  <c:v>69.356797791580391</c:v>
                </c:pt>
                <c:pt idx="10">
                  <c:v>70.265010351966879</c:v>
                </c:pt>
                <c:pt idx="11">
                  <c:v>71.173222912353339</c:v>
                </c:pt>
                <c:pt idx="12">
                  <c:v>72.081435472739827</c:v>
                </c:pt>
              </c:numCache>
            </c:numRef>
          </c:val>
          <c:smooth val="0"/>
          <c:extLst>
            <c:ext xmlns:c16="http://schemas.microsoft.com/office/drawing/2014/chart" uri="{C3380CC4-5D6E-409C-BE32-E72D297353CC}">
              <c16:uniqueId val="{00000001-0576-4422-9978-2CB2030AF3B7}"/>
            </c:ext>
          </c:extLst>
        </c:ser>
        <c:ser>
          <c:idx val="2"/>
          <c:order val="2"/>
          <c:tx>
            <c:strRef>
              <c:f>Analysis!$D$20</c:f>
              <c:strCache>
                <c:ptCount val="1"/>
                <c:pt idx="0">
                  <c:v>Chevy Score</c:v>
                </c:pt>
              </c:strCache>
            </c:strRef>
          </c:tx>
          <c:spPr>
            <a:ln w="28575" cap="rnd">
              <a:solidFill>
                <a:schemeClr val="accent3"/>
              </a:solidFill>
              <a:round/>
            </a:ln>
            <a:effectLst/>
          </c:spPr>
          <c:marker>
            <c:symbol val="none"/>
          </c:marker>
          <c:cat>
            <c:numRef>
              <c:f>Analysis!$A$21:$A$33</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Analysis!$D$21:$D$33</c:f>
              <c:numCache>
                <c:formatCode>0.00</c:formatCode>
                <c:ptCount val="13"/>
                <c:pt idx="0">
                  <c:v>48.81711525189786</c:v>
                </c:pt>
                <c:pt idx="1">
                  <c:v>50.283902691511386</c:v>
                </c:pt>
                <c:pt idx="2">
                  <c:v>51.750690131124905</c:v>
                </c:pt>
                <c:pt idx="3">
                  <c:v>53.217477570738438</c:v>
                </c:pt>
                <c:pt idx="4">
                  <c:v>54.684265010351965</c:v>
                </c:pt>
                <c:pt idx="5">
                  <c:v>56.151052449965491</c:v>
                </c:pt>
                <c:pt idx="6">
                  <c:v>57.617839889579017</c:v>
                </c:pt>
                <c:pt idx="7">
                  <c:v>59.084627329192543</c:v>
                </c:pt>
                <c:pt idx="8">
                  <c:v>60.551414768806069</c:v>
                </c:pt>
                <c:pt idx="9">
                  <c:v>62.018202208419595</c:v>
                </c:pt>
                <c:pt idx="10">
                  <c:v>63.484989648033128</c:v>
                </c:pt>
                <c:pt idx="11">
                  <c:v>64.951777087646647</c:v>
                </c:pt>
                <c:pt idx="12">
                  <c:v>66.418564527260173</c:v>
                </c:pt>
              </c:numCache>
            </c:numRef>
          </c:val>
          <c:smooth val="0"/>
          <c:extLst>
            <c:ext xmlns:c16="http://schemas.microsoft.com/office/drawing/2014/chart" uri="{C3380CC4-5D6E-409C-BE32-E72D297353CC}">
              <c16:uniqueId val="{00000002-0576-4422-9978-2CB2030AF3B7}"/>
            </c:ext>
          </c:extLst>
        </c:ser>
        <c:ser>
          <c:idx val="3"/>
          <c:order val="3"/>
          <c:tx>
            <c:strRef>
              <c:f>Analysis!$E$20</c:f>
              <c:strCache>
                <c:ptCount val="1"/>
                <c:pt idx="0">
                  <c:v>Gm Score</c:v>
                </c:pt>
              </c:strCache>
            </c:strRef>
          </c:tx>
          <c:spPr>
            <a:ln w="28575" cap="rnd">
              <a:solidFill>
                <a:schemeClr val="accent4"/>
              </a:solidFill>
              <a:round/>
            </a:ln>
            <a:effectLst/>
          </c:spPr>
          <c:marker>
            <c:symbol val="none"/>
          </c:marker>
          <c:cat>
            <c:numRef>
              <c:f>Analysis!$A$21:$A$33</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Analysis!$E$21:$E$33</c:f>
              <c:numCache>
                <c:formatCode>0.00</c:formatCode>
                <c:ptCount val="13"/>
                <c:pt idx="0">
                  <c:v>60.045548654244307</c:v>
                </c:pt>
                <c:pt idx="1">
                  <c:v>58.596273291925471</c:v>
                </c:pt>
                <c:pt idx="2">
                  <c:v>57.146997929606627</c:v>
                </c:pt>
                <c:pt idx="3">
                  <c:v>55.697722567287784</c:v>
                </c:pt>
                <c:pt idx="4">
                  <c:v>54.24844720496894</c:v>
                </c:pt>
                <c:pt idx="5">
                  <c:v>52.799171842650104</c:v>
                </c:pt>
                <c:pt idx="6">
                  <c:v>51.34989648033126</c:v>
                </c:pt>
                <c:pt idx="7">
                  <c:v>49.900621118012424</c:v>
                </c:pt>
                <c:pt idx="8">
                  <c:v>48.45134575569358</c:v>
                </c:pt>
                <c:pt idx="9">
                  <c:v>47.002070393374737</c:v>
                </c:pt>
                <c:pt idx="10">
                  <c:v>45.552795031055908</c:v>
                </c:pt>
                <c:pt idx="11">
                  <c:v>44.103519668737057</c:v>
                </c:pt>
                <c:pt idx="12">
                  <c:v>42.654244306418214</c:v>
                </c:pt>
              </c:numCache>
            </c:numRef>
          </c:val>
          <c:smooth val="0"/>
          <c:extLst>
            <c:ext xmlns:c16="http://schemas.microsoft.com/office/drawing/2014/chart" uri="{C3380CC4-5D6E-409C-BE32-E72D297353CC}">
              <c16:uniqueId val="{00000003-0576-4422-9978-2CB2030AF3B7}"/>
            </c:ext>
          </c:extLst>
        </c:ser>
        <c:dLbls>
          <c:showLegendKey val="0"/>
          <c:showVal val="0"/>
          <c:showCatName val="0"/>
          <c:showSerName val="0"/>
          <c:showPercent val="0"/>
          <c:showBubbleSize val="0"/>
        </c:dLbls>
        <c:smooth val="0"/>
        <c:axId val="214580383"/>
        <c:axId val="34966255"/>
      </c:lineChart>
      <c:catAx>
        <c:axId val="214580383"/>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66255"/>
        <c:crosses val="autoZero"/>
        <c:auto val="1"/>
        <c:lblAlgn val="ctr"/>
        <c:lblOffset val="100"/>
        <c:noMultiLvlLbl val="0"/>
      </c:catAx>
      <c:valAx>
        <c:axId val="34966255"/>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580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Sensitivity to</a:t>
            </a:r>
            <a:r>
              <a:rPr lang="en-US" baseline="0"/>
              <a:t> Job Fullfilment Importance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Analysis!$B$36</c:f>
              <c:strCache>
                <c:ptCount val="1"/>
                <c:pt idx="0">
                  <c:v>Acura Score</c:v>
                </c:pt>
              </c:strCache>
            </c:strRef>
          </c:tx>
          <c:spPr>
            <a:ln w="28575" cap="rnd">
              <a:solidFill>
                <a:schemeClr val="accent1"/>
              </a:solidFill>
              <a:round/>
            </a:ln>
            <a:effectLst/>
          </c:spPr>
          <c:marker>
            <c:symbol val="none"/>
          </c:marker>
          <c:cat>
            <c:numRef>
              <c:f>Analysis!$A$37:$A$49</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Analysis!$B$37:$B$49</c:f>
              <c:numCache>
                <c:formatCode>0.00</c:formatCode>
                <c:ptCount val="13"/>
                <c:pt idx="0">
                  <c:v>56.008403361344541</c:v>
                </c:pt>
                <c:pt idx="1">
                  <c:v>56.615021008403367</c:v>
                </c:pt>
                <c:pt idx="2">
                  <c:v>57.221638655462186</c:v>
                </c:pt>
                <c:pt idx="3">
                  <c:v>57.828256302521012</c:v>
                </c:pt>
                <c:pt idx="4">
                  <c:v>58.434873949579831</c:v>
                </c:pt>
                <c:pt idx="5">
                  <c:v>59.041491596638657</c:v>
                </c:pt>
                <c:pt idx="6">
                  <c:v>59.648109243697476</c:v>
                </c:pt>
                <c:pt idx="7">
                  <c:v>60.254726890756302</c:v>
                </c:pt>
                <c:pt idx="8">
                  <c:v>60.861344537815128</c:v>
                </c:pt>
                <c:pt idx="9">
                  <c:v>61.467962184873947</c:v>
                </c:pt>
                <c:pt idx="10">
                  <c:v>62.07457983193278</c:v>
                </c:pt>
                <c:pt idx="11">
                  <c:v>62.681197478991599</c:v>
                </c:pt>
                <c:pt idx="12">
                  <c:v>63.287815126050418</c:v>
                </c:pt>
              </c:numCache>
            </c:numRef>
          </c:val>
          <c:smooth val="0"/>
          <c:extLst>
            <c:ext xmlns:c16="http://schemas.microsoft.com/office/drawing/2014/chart" uri="{C3380CC4-5D6E-409C-BE32-E72D297353CC}">
              <c16:uniqueId val="{00000000-5AC3-46B1-B7DB-79B0D8152785}"/>
            </c:ext>
          </c:extLst>
        </c:ser>
        <c:ser>
          <c:idx val="1"/>
          <c:order val="1"/>
          <c:tx>
            <c:strRef>
              <c:f>Analysis!$C$36</c:f>
              <c:strCache>
                <c:ptCount val="1"/>
                <c:pt idx="0">
                  <c:v>Ford Score</c:v>
                </c:pt>
              </c:strCache>
            </c:strRef>
          </c:tx>
          <c:spPr>
            <a:ln w="28575" cap="rnd">
              <a:solidFill>
                <a:schemeClr val="accent2"/>
              </a:solidFill>
              <a:round/>
            </a:ln>
            <a:effectLst/>
          </c:spPr>
          <c:marker>
            <c:symbol val="none"/>
          </c:marker>
          <c:cat>
            <c:numRef>
              <c:f>Analysis!$A$37:$A$49</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Analysis!$C$37:$C$49</c:f>
              <c:numCache>
                <c:formatCode>0.00</c:formatCode>
                <c:ptCount val="13"/>
                <c:pt idx="0">
                  <c:v>56.616246498599438</c:v>
                </c:pt>
                <c:pt idx="1">
                  <c:v>57.184873949579831</c:v>
                </c:pt>
                <c:pt idx="2">
                  <c:v>57.753501400560225</c:v>
                </c:pt>
                <c:pt idx="3">
                  <c:v>58.322128851540619</c:v>
                </c:pt>
                <c:pt idx="4">
                  <c:v>58.890756302521005</c:v>
                </c:pt>
                <c:pt idx="5">
                  <c:v>59.459383753501399</c:v>
                </c:pt>
                <c:pt idx="6">
                  <c:v>60.028011204481793</c:v>
                </c:pt>
                <c:pt idx="7">
                  <c:v>60.596638655462186</c:v>
                </c:pt>
                <c:pt idx="8">
                  <c:v>61.16526610644258</c:v>
                </c:pt>
                <c:pt idx="9">
                  <c:v>61.733893557422967</c:v>
                </c:pt>
                <c:pt idx="10">
                  <c:v>62.30252100840336</c:v>
                </c:pt>
                <c:pt idx="11">
                  <c:v>62.871148459383754</c:v>
                </c:pt>
                <c:pt idx="12">
                  <c:v>63.439775910364148</c:v>
                </c:pt>
              </c:numCache>
            </c:numRef>
          </c:val>
          <c:smooth val="0"/>
          <c:extLst>
            <c:ext xmlns:c16="http://schemas.microsoft.com/office/drawing/2014/chart" uri="{C3380CC4-5D6E-409C-BE32-E72D297353CC}">
              <c16:uniqueId val="{00000001-5AC3-46B1-B7DB-79B0D8152785}"/>
            </c:ext>
          </c:extLst>
        </c:ser>
        <c:ser>
          <c:idx val="2"/>
          <c:order val="2"/>
          <c:tx>
            <c:strRef>
              <c:f>Analysis!$D$36</c:f>
              <c:strCache>
                <c:ptCount val="1"/>
                <c:pt idx="0">
                  <c:v>Chevy Score</c:v>
                </c:pt>
              </c:strCache>
            </c:strRef>
          </c:tx>
          <c:spPr>
            <a:ln w="28575" cap="rnd">
              <a:solidFill>
                <a:schemeClr val="accent3"/>
              </a:solidFill>
              <a:round/>
            </a:ln>
            <a:effectLst/>
          </c:spPr>
          <c:marker>
            <c:symbol val="none"/>
          </c:marker>
          <c:cat>
            <c:numRef>
              <c:f>Analysis!$A$37:$A$49</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Analysis!$D$37:$D$49</c:f>
              <c:numCache>
                <c:formatCode>0.00</c:formatCode>
                <c:ptCount val="13"/>
                <c:pt idx="0">
                  <c:v>50.530812324929961</c:v>
                </c:pt>
                <c:pt idx="1">
                  <c:v>49.390493697478988</c:v>
                </c:pt>
                <c:pt idx="2">
                  <c:v>48.250175070028014</c:v>
                </c:pt>
                <c:pt idx="3">
                  <c:v>47.109856442577026</c:v>
                </c:pt>
                <c:pt idx="4">
                  <c:v>45.969537815126046</c:v>
                </c:pt>
                <c:pt idx="5">
                  <c:v>44.829219187675065</c:v>
                </c:pt>
                <c:pt idx="6">
                  <c:v>43.688900560224084</c:v>
                </c:pt>
                <c:pt idx="7">
                  <c:v>42.548581932773104</c:v>
                </c:pt>
                <c:pt idx="8">
                  <c:v>41.40826330532213</c:v>
                </c:pt>
                <c:pt idx="9">
                  <c:v>40.267944677871142</c:v>
                </c:pt>
                <c:pt idx="10">
                  <c:v>39.127626050420169</c:v>
                </c:pt>
                <c:pt idx="11">
                  <c:v>37.987307422969181</c:v>
                </c:pt>
                <c:pt idx="12">
                  <c:v>36.8469887955182</c:v>
                </c:pt>
              </c:numCache>
            </c:numRef>
          </c:val>
          <c:smooth val="0"/>
          <c:extLst>
            <c:ext xmlns:c16="http://schemas.microsoft.com/office/drawing/2014/chart" uri="{C3380CC4-5D6E-409C-BE32-E72D297353CC}">
              <c16:uniqueId val="{00000002-5AC3-46B1-B7DB-79B0D8152785}"/>
            </c:ext>
          </c:extLst>
        </c:ser>
        <c:ser>
          <c:idx val="3"/>
          <c:order val="3"/>
          <c:tx>
            <c:strRef>
              <c:f>Analysis!$E$36</c:f>
              <c:strCache>
                <c:ptCount val="1"/>
                <c:pt idx="0">
                  <c:v>Gm Score</c:v>
                </c:pt>
              </c:strCache>
            </c:strRef>
          </c:tx>
          <c:spPr>
            <a:ln w="28575" cap="rnd">
              <a:solidFill>
                <a:schemeClr val="accent4"/>
              </a:solidFill>
              <a:round/>
            </a:ln>
            <a:effectLst/>
          </c:spPr>
          <c:marker>
            <c:symbol val="none"/>
          </c:marker>
          <c:cat>
            <c:numRef>
              <c:f>Analysis!$A$37:$A$49</c:f>
              <c:numCache>
                <c:formatCode>0%</c:formatCode>
                <c:ptCount val="13"/>
                <c:pt idx="0">
                  <c:v>0.2</c:v>
                </c:pt>
                <c:pt idx="1">
                  <c:v>0.25</c:v>
                </c:pt>
                <c:pt idx="2">
                  <c:v>0.3</c:v>
                </c:pt>
                <c:pt idx="3">
                  <c:v>0.35</c:v>
                </c:pt>
                <c:pt idx="4">
                  <c:v>0.4</c:v>
                </c:pt>
                <c:pt idx="5">
                  <c:v>0.45</c:v>
                </c:pt>
                <c:pt idx="6">
                  <c:v>0.5</c:v>
                </c:pt>
                <c:pt idx="7">
                  <c:v>0.55000000000000004</c:v>
                </c:pt>
                <c:pt idx="8">
                  <c:v>0.6</c:v>
                </c:pt>
                <c:pt idx="9">
                  <c:v>0.65</c:v>
                </c:pt>
                <c:pt idx="10">
                  <c:v>0.7</c:v>
                </c:pt>
                <c:pt idx="11">
                  <c:v>0.75</c:v>
                </c:pt>
                <c:pt idx="12">
                  <c:v>0.8</c:v>
                </c:pt>
              </c:numCache>
            </c:numRef>
          </c:cat>
          <c:val>
            <c:numRef>
              <c:f>Analysis!$E$37:$E$49</c:f>
              <c:numCache>
                <c:formatCode>0.00</c:formatCode>
                <c:ptCount val="13"/>
                <c:pt idx="0">
                  <c:v>46.798319327731093</c:v>
                </c:pt>
                <c:pt idx="1">
                  <c:v>48.520745798319325</c:v>
                </c:pt>
                <c:pt idx="2">
                  <c:v>50.243172268907571</c:v>
                </c:pt>
                <c:pt idx="3">
                  <c:v>51.965598739495803</c:v>
                </c:pt>
                <c:pt idx="4">
                  <c:v>53.688025210084028</c:v>
                </c:pt>
                <c:pt idx="5">
                  <c:v>55.410451680672267</c:v>
                </c:pt>
                <c:pt idx="6">
                  <c:v>57.132878151260499</c:v>
                </c:pt>
                <c:pt idx="7">
                  <c:v>58.855304621848738</c:v>
                </c:pt>
                <c:pt idx="8">
                  <c:v>60.577731092436977</c:v>
                </c:pt>
                <c:pt idx="9">
                  <c:v>62.300157563025209</c:v>
                </c:pt>
                <c:pt idx="10">
                  <c:v>64.022584033613441</c:v>
                </c:pt>
                <c:pt idx="11">
                  <c:v>65.745010504201673</c:v>
                </c:pt>
                <c:pt idx="12">
                  <c:v>67.467436974789905</c:v>
                </c:pt>
              </c:numCache>
            </c:numRef>
          </c:val>
          <c:smooth val="0"/>
          <c:extLst>
            <c:ext xmlns:c16="http://schemas.microsoft.com/office/drawing/2014/chart" uri="{C3380CC4-5D6E-409C-BE32-E72D297353CC}">
              <c16:uniqueId val="{00000003-5AC3-46B1-B7DB-79B0D8152785}"/>
            </c:ext>
          </c:extLst>
        </c:ser>
        <c:dLbls>
          <c:showLegendKey val="0"/>
          <c:showVal val="0"/>
          <c:showCatName val="0"/>
          <c:showSerName val="0"/>
          <c:showPercent val="0"/>
          <c:showBubbleSize val="0"/>
        </c:dLbls>
        <c:smooth val="0"/>
        <c:axId val="2037129840"/>
        <c:axId val="2116100704"/>
      </c:lineChart>
      <c:catAx>
        <c:axId val="2037129840"/>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6100704"/>
        <c:crosses val="autoZero"/>
        <c:auto val="1"/>
        <c:lblAlgn val="ctr"/>
        <c:lblOffset val="100"/>
        <c:noMultiLvlLbl val="0"/>
      </c:catAx>
      <c:valAx>
        <c:axId val="2116100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12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xdr:colOff>
          <xdr:row>9</xdr:row>
          <xdr:rowOff>114300</xdr:rowOff>
        </xdr:from>
        <xdr:to>
          <xdr:col>4</xdr:col>
          <xdr:colOff>45720</xdr:colOff>
          <xdr:row>10</xdr:row>
          <xdr:rowOff>83820</xdr:rowOff>
        </xdr:to>
        <xdr:sp macro="" textlink="">
          <xdr:nvSpPr>
            <xdr:cNvPr id="1025" name="ScrollBar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594360</xdr:colOff>
          <xdr:row>11</xdr:row>
          <xdr:rowOff>114300</xdr:rowOff>
        </xdr:from>
        <xdr:to>
          <xdr:col>4</xdr:col>
          <xdr:colOff>30480</xdr:colOff>
          <xdr:row>12</xdr:row>
          <xdr:rowOff>76200</xdr:rowOff>
        </xdr:to>
        <xdr:sp macro="" textlink="">
          <xdr:nvSpPr>
            <xdr:cNvPr id="1026" name="ScrollBar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129540</xdr:rowOff>
        </xdr:from>
        <xdr:to>
          <xdr:col>4</xdr:col>
          <xdr:colOff>15240</xdr:colOff>
          <xdr:row>14</xdr:row>
          <xdr:rowOff>114300</xdr:rowOff>
        </xdr:to>
        <xdr:sp macro="" textlink="">
          <xdr:nvSpPr>
            <xdr:cNvPr id="1027" name="ScrollBar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xdr:row>
          <xdr:rowOff>137160</xdr:rowOff>
        </xdr:from>
        <xdr:to>
          <xdr:col>4</xdr:col>
          <xdr:colOff>0</xdr:colOff>
          <xdr:row>16</xdr:row>
          <xdr:rowOff>129540</xdr:rowOff>
        </xdr:to>
        <xdr:sp macro="" textlink="">
          <xdr:nvSpPr>
            <xdr:cNvPr id="1028" name="ScrollBar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99060</xdr:rowOff>
        </xdr:from>
        <xdr:to>
          <xdr:col>7</xdr:col>
          <xdr:colOff>7620</xdr:colOff>
          <xdr:row>10</xdr:row>
          <xdr:rowOff>106680</xdr:rowOff>
        </xdr:to>
        <xdr:sp macro="" textlink="">
          <xdr:nvSpPr>
            <xdr:cNvPr id="1029" name="ScrollBar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11</xdr:row>
          <xdr:rowOff>129540</xdr:rowOff>
        </xdr:from>
        <xdr:to>
          <xdr:col>7</xdr:col>
          <xdr:colOff>7620</xdr:colOff>
          <xdr:row>12</xdr:row>
          <xdr:rowOff>114300</xdr:rowOff>
        </xdr:to>
        <xdr:sp macro="" textlink="">
          <xdr:nvSpPr>
            <xdr:cNvPr id="1030" name="ScrollBar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594360</xdr:colOff>
          <xdr:row>13</xdr:row>
          <xdr:rowOff>129540</xdr:rowOff>
        </xdr:from>
        <xdr:to>
          <xdr:col>7</xdr:col>
          <xdr:colOff>0</xdr:colOff>
          <xdr:row>14</xdr:row>
          <xdr:rowOff>91440</xdr:rowOff>
        </xdr:to>
        <xdr:sp macro="" textlink="">
          <xdr:nvSpPr>
            <xdr:cNvPr id="1031" name="ScrollBar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601980</xdr:colOff>
          <xdr:row>15</xdr:row>
          <xdr:rowOff>106680</xdr:rowOff>
        </xdr:from>
        <xdr:to>
          <xdr:col>6</xdr:col>
          <xdr:colOff>784860</xdr:colOff>
          <xdr:row>16</xdr:row>
          <xdr:rowOff>83820</xdr:rowOff>
        </xdr:to>
        <xdr:sp macro="" textlink="">
          <xdr:nvSpPr>
            <xdr:cNvPr id="1032" name="ScrollBar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175260</xdr:rowOff>
        </xdr:from>
        <xdr:to>
          <xdr:col>5</xdr:col>
          <xdr:colOff>472440</xdr:colOff>
          <xdr:row>21</xdr:row>
          <xdr:rowOff>83820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198120</xdr:colOff>
          <xdr:row>18</xdr:row>
          <xdr:rowOff>114300</xdr:rowOff>
        </xdr:from>
        <xdr:to>
          <xdr:col>12</xdr:col>
          <xdr:colOff>76200</xdr:colOff>
          <xdr:row>21</xdr:row>
          <xdr:rowOff>68580</xdr:rowOff>
        </xdr:to>
        <xdr:sp macro="" textlink="">
          <xdr:nvSpPr>
            <xdr:cNvPr id="1034" name="CommandButton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609600</xdr:colOff>
          <xdr:row>9</xdr:row>
          <xdr:rowOff>114300</xdr:rowOff>
        </xdr:from>
        <xdr:to>
          <xdr:col>10</xdr:col>
          <xdr:colOff>7620</xdr:colOff>
          <xdr:row>10</xdr:row>
          <xdr:rowOff>121920</xdr:rowOff>
        </xdr:to>
        <xdr:sp macro="" textlink="">
          <xdr:nvSpPr>
            <xdr:cNvPr id="1035" name="ScrollBar9"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609600</xdr:colOff>
          <xdr:row>11</xdr:row>
          <xdr:rowOff>99060</xdr:rowOff>
        </xdr:from>
        <xdr:to>
          <xdr:col>10</xdr:col>
          <xdr:colOff>45720</xdr:colOff>
          <xdr:row>12</xdr:row>
          <xdr:rowOff>106680</xdr:rowOff>
        </xdr:to>
        <xdr:sp macro="" textlink="">
          <xdr:nvSpPr>
            <xdr:cNvPr id="1036" name="ScrollBar10"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121920</xdr:rowOff>
        </xdr:from>
        <xdr:to>
          <xdr:col>10</xdr:col>
          <xdr:colOff>38100</xdr:colOff>
          <xdr:row>14</xdr:row>
          <xdr:rowOff>121920</xdr:rowOff>
        </xdr:to>
        <xdr:sp macro="" textlink="">
          <xdr:nvSpPr>
            <xdr:cNvPr id="1037" name="ScrollBar1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xdr:colOff>
          <xdr:row>15</xdr:row>
          <xdr:rowOff>129540</xdr:rowOff>
        </xdr:from>
        <xdr:to>
          <xdr:col>10</xdr:col>
          <xdr:colOff>53340</xdr:colOff>
          <xdr:row>16</xdr:row>
          <xdr:rowOff>129540</xdr:rowOff>
        </xdr:to>
        <xdr:sp macro="" textlink="">
          <xdr:nvSpPr>
            <xdr:cNvPr id="1038" name="ScrollBar12"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xdr:colOff>
          <xdr:row>9</xdr:row>
          <xdr:rowOff>83820</xdr:rowOff>
        </xdr:from>
        <xdr:to>
          <xdr:col>13</xdr:col>
          <xdr:colOff>91440</xdr:colOff>
          <xdr:row>10</xdr:row>
          <xdr:rowOff>99060</xdr:rowOff>
        </xdr:to>
        <xdr:sp macro="" textlink="">
          <xdr:nvSpPr>
            <xdr:cNvPr id="1039" name="ScrollBar13"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xdr:colOff>
          <xdr:row>11</xdr:row>
          <xdr:rowOff>99060</xdr:rowOff>
        </xdr:from>
        <xdr:to>
          <xdr:col>13</xdr:col>
          <xdr:colOff>83820</xdr:colOff>
          <xdr:row>12</xdr:row>
          <xdr:rowOff>114300</xdr:rowOff>
        </xdr:to>
        <xdr:sp macro="" textlink="">
          <xdr:nvSpPr>
            <xdr:cNvPr id="1040" name="ScrollBar1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xdr:colOff>
          <xdr:row>13</xdr:row>
          <xdr:rowOff>83820</xdr:rowOff>
        </xdr:from>
        <xdr:to>
          <xdr:col>13</xdr:col>
          <xdr:colOff>99060</xdr:colOff>
          <xdr:row>14</xdr:row>
          <xdr:rowOff>83820</xdr:rowOff>
        </xdr:to>
        <xdr:sp macro="" textlink="">
          <xdr:nvSpPr>
            <xdr:cNvPr id="1041" name="ScrollBar1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xdr:colOff>
          <xdr:row>15</xdr:row>
          <xdr:rowOff>99060</xdr:rowOff>
        </xdr:from>
        <xdr:to>
          <xdr:col>13</xdr:col>
          <xdr:colOff>76200</xdr:colOff>
          <xdr:row>16</xdr:row>
          <xdr:rowOff>121920</xdr:rowOff>
        </xdr:to>
        <xdr:sp macro="" textlink="">
          <xdr:nvSpPr>
            <xdr:cNvPr id="1042" name="ScrollBar16"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99060</xdr:rowOff>
        </xdr:from>
        <xdr:to>
          <xdr:col>16</xdr:col>
          <xdr:colOff>312420</xdr:colOff>
          <xdr:row>10</xdr:row>
          <xdr:rowOff>121920</xdr:rowOff>
        </xdr:to>
        <xdr:sp macro="" textlink="">
          <xdr:nvSpPr>
            <xdr:cNvPr id="1043" name="ScrollBar17"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891540</xdr:colOff>
          <xdr:row>11</xdr:row>
          <xdr:rowOff>129540</xdr:rowOff>
        </xdr:from>
        <xdr:to>
          <xdr:col>16</xdr:col>
          <xdr:colOff>289560</xdr:colOff>
          <xdr:row>12</xdr:row>
          <xdr:rowOff>167640</xdr:rowOff>
        </xdr:to>
        <xdr:sp macro="" textlink="">
          <xdr:nvSpPr>
            <xdr:cNvPr id="1044" name="ScrollBar18"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876300</xdr:colOff>
          <xdr:row>14</xdr:row>
          <xdr:rowOff>99060</xdr:rowOff>
        </xdr:from>
        <xdr:to>
          <xdr:col>16</xdr:col>
          <xdr:colOff>342900</xdr:colOff>
          <xdr:row>15</xdr:row>
          <xdr:rowOff>121920</xdr:rowOff>
        </xdr:to>
        <xdr:sp macro="" textlink="">
          <xdr:nvSpPr>
            <xdr:cNvPr id="1045" name="ScrollBar19"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1188720</xdr:colOff>
          <xdr:row>7</xdr:row>
          <xdr:rowOff>7620</xdr:rowOff>
        </xdr:from>
        <xdr:to>
          <xdr:col>5</xdr:col>
          <xdr:colOff>358140</xdr:colOff>
          <xdr:row>9</xdr:row>
          <xdr:rowOff>30480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1211580</xdr:colOff>
          <xdr:row>4</xdr:row>
          <xdr:rowOff>15240</xdr:rowOff>
        </xdr:from>
        <xdr:to>
          <xdr:col>5</xdr:col>
          <xdr:colOff>365760</xdr:colOff>
          <xdr:row>6</xdr:row>
          <xdr:rowOff>167640</xdr:rowOff>
        </xdr:to>
        <xdr:sp macro="" textlink="">
          <xdr:nvSpPr>
            <xdr:cNvPr id="5122" name="CommandButton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205740</xdr:colOff>
          <xdr:row>0</xdr:row>
          <xdr:rowOff>68580</xdr:rowOff>
        </xdr:from>
        <xdr:to>
          <xdr:col>11</xdr:col>
          <xdr:colOff>182880</xdr:colOff>
          <xdr:row>2</xdr:row>
          <xdr:rowOff>15240</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510540</xdr:colOff>
          <xdr:row>0</xdr:row>
          <xdr:rowOff>91440</xdr:rowOff>
        </xdr:from>
        <xdr:to>
          <xdr:col>13</xdr:col>
          <xdr:colOff>472440</xdr:colOff>
          <xdr:row>2</xdr:row>
          <xdr:rowOff>7620</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396240</xdr:colOff>
          <xdr:row>0</xdr:row>
          <xdr:rowOff>129540</xdr:rowOff>
        </xdr:from>
        <xdr:to>
          <xdr:col>8</xdr:col>
          <xdr:colOff>266700</xdr:colOff>
          <xdr:row>2</xdr:row>
          <xdr:rowOff>22860</xdr:rowOff>
        </xdr:to>
        <xdr:sp macro="" textlink="">
          <xdr:nvSpPr>
            <xdr:cNvPr id="4099" name="CommandButton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289560</xdr:colOff>
      <xdr:row>2</xdr:row>
      <xdr:rowOff>148590</xdr:rowOff>
    </xdr:from>
    <xdr:to>
      <xdr:col>13</xdr:col>
      <xdr:colOff>594360</xdr:colOff>
      <xdr:row>17</xdr:row>
      <xdr:rowOff>148590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320040</xdr:colOff>
      <xdr:row>18</xdr:row>
      <xdr:rowOff>144780</xdr:rowOff>
    </xdr:from>
    <xdr:to>
      <xdr:col>14</xdr:col>
      <xdr:colOff>15240</xdr:colOff>
      <xdr:row>33</xdr:row>
      <xdr:rowOff>144780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304800</xdr:colOff>
      <xdr:row>34</xdr:row>
      <xdr:rowOff>167640</xdr:rowOff>
    </xdr:from>
    <xdr:to>
      <xdr:col>14</xdr:col>
      <xdr:colOff>0</xdr:colOff>
      <xdr:row>49</xdr:row>
      <xdr:rowOff>167640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6.xml"/><Relationship Id="rId18" Type="http://schemas.openxmlformats.org/officeDocument/2006/relationships/image" Target="../media/image8.emf"/><Relationship Id="rId26" Type="http://schemas.openxmlformats.org/officeDocument/2006/relationships/image" Target="../media/image12.emf"/><Relationship Id="rId39" Type="http://schemas.openxmlformats.org/officeDocument/2006/relationships/control" Target="../activeX/activeX19.xml"/><Relationship Id="rId21" Type="http://schemas.openxmlformats.org/officeDocument/2006/relationships/control" Target="../activeX/activeX10.xml"/><Relationship Id="rId34" Type="http://schemas.openxmlformats.org/officeDocument/2006/relationships/image" Target="../media/image16.emf"/><Relationship Id="rId42" Type="http://schemas.openxmlformats.org/officeDocument/2006/relationships/image" Target="../media/image20.emf"/><Relationship Id="rId7" Type="http://schemas.openxmlformats.org/officeDocument/2006/relationships/control" Target="../activeX/activeX3.xml"/><Relationship Id="rId2" Type="http://schemas.openxmlformats.org/officeDocument/2006/relationships/vmlDrawing" Target="../drawings/vmlDrawing1.vml"/><Relationship Id="rId16" Type="http://schemas.openxmlformats.org/officeDocument/2006/relationships/image" Target="../media/image7.emf"/><Relationship Id="rId20" Type="http://schemas.openxmlformats.org/officeDocument/2006/relationships/image" Target="../media/image9.emf"/><Relationship Id="rId29" Type="http://schemas.openxmlformats.org/officeDocument/2006/relationships/control" Target="../activeX/activeX14.xml"/><Relationship Id="rId41" Type="http://schemas.openxmlformats.org/officeDocument/2006/relationships/control" Target="../activeX/activeX20.x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24" Type="http://schemas.openxmlformats.org/officeDocument/2006/relationships/image" Target="../media/image11.emf"/><Relationship Id="rId32" Type="http://schemas.openxmlformats.org/officeDocument/2006/relationships/image" Target="../media/image15.emf"/><Relationship Id="rId37" Type="http://schemas.openxmlformats.org/officeDocument/2006/relationships/control" Target="../activeX/activeX18.xml"/><Relationship Id="rId40" Type="http://schemas.openxmlformats.org/officeDocument/2006/relationships/image" Target="../media/image19.emf"/><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3.emf"/><Relationship Id="rId36" Type="http://schemas.openxmlformats.org/officeDocument/2006/relationships/image" Target="../media/image17.emf"/><Relationship Id="rId10" Type="http://schemas.openxmlformats.org/officeDocument/2006/relationships/image" Target="../media/image4.emf"/><Relationship Id="rId19" Type="http://schemas.openxmlformats.org/officeDocument/2006/relationships/control" Target="../activeX/activeX9.xml"/><Relationship Id="rId31" Type="http://schemas.openxmlformats.org/officeDocument/2006/relationships/control" Target="../activeX/activeX15.xml"/><Relationship Id="rId44" Type="http://schemas.openxmlformats.org/officeDocument/2006/relationships/image" Target="../media/image21.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3.xml"/><Relationship Id="rId30" Type="http://schemas.openxmlformats.org/officeDocument/2006/relationships/image" Target="../media/image14.emf"/><Relationship Id="rId35" Type="http://schemas.openxmlformats.org/officeDocument/2006/relationships/control" Target="../activeX/activeX17.xml"/><Relationship Id="rId43" Type="http://schemas.openxmlformats.org/officeDocument/2006/relationships/control" Target="../activeX/activeX21.xml"/><Relationship Id="rId8" Type="http://schemas.openxmlformats.org/officeDocument/2006/relationships/image" Target="../media/image3.emf"/><Relationship Id="rId3" Type="http://schemas.openxmlformats.org/officeDocument/2006/relationships/control" Target="../activeX/activeX1.xml"/><Relationship Id="rId12" Type="http://schemas.openxmlformats.org/officeDocument/2006/relationships/image" Target="../media/image5.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8.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23.emf"/><Relationship Id="rId5" Type="http://schemas.openxmlformats.org/officeDocument/2006/relationships/control" Target="../activeX/activeX23.xml"/><Relationship Id="rId4" Type="http://schemas.openxmlformats.org/officeDocument/2006/relationships/image" Target="../media/image22.emf"/></Relationships>
</file>

<file path=xl/worksheets/_rels/sheet4.xml.rels><?xml version="1.0" encoding="UTF-8" standalone="yes"?>
<Relationships xmlns="http://schemas.openxmlformats.org/package/2006/relationships"><Relationship Id="rId8" Type="http://schemas.openxmlformats.org/officeDocument/2006/relationships/image" Target="../media/image26.emf"/><Relationship Id="rId3" Type="http://schemas.openxmlformats.org/officeDocument/2006/relationships/control" Target="../activeX/activeX24.xml"/><Relationship Id="rId7" Type="http://schemas.openxmlformats.org/officeDocument/2006/relationships/control" Target="../activeX/activeX2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5.emf"/><Relationship Id="rId5" Type="http://schemas.openxmlformats.org/officeDocument/2006/relationships/control" Target="../activeX/activeX25.xml"/><Relationship Id="rId4" Type="http://schemas.openxmlformats.org/officeDocument/2006/relationships/image" Target="../media/image2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1613C-3A6D-45C8-93C5-0F6849FA5006}">
  <sheetPr codeName="Sheet2"/>
  <dimension ref="A1:AA70"/>
  <sheetViews>
    <sheetView tabSelected="1" workbookViewId="0">
      <selection activeCell="M26" sqref="M26"/>
    </sheetView>
  </sheetViews>
  <sheetFormatPr defaultRowHeight="14.4" x14ac:dyDescent="0.3"/>
  <cols>
    <col min="1" max="1" width="28.21875" style="1" bestFit="1" customWidth="1"/>
    <col min="4" max="4" width="11.33203125" customWidth="1"/>
    <col min="7" max="7" width="11.5546875" customWidth="1"/>
    <col min="9" max="9" width="9.109375" customWidth="1"/>
    <col min="10" max="10" width="11.21875" customWidth="1"/>
    <col min="13" max="13" width="11.5546875" customWidth="1"/>
    <col min="15" max="15" width="13.21875" customWidth="1"/>
  </cols>
  <sheetData>
    <row r="1" spans="1:27" ht="15" thickBot="1" x14ac:dyDescent="0.35">
      <c r="B1" s="1"/>
      <c r="C1" s="1"/>
      <c r="D1" s="1"/>
      <c r="E1" s="1"/>
      <c r="F1" s="1"/>
      <c r="G1" s="1"/>
      <c r="H1" s="1"/>
      <c r="I1" s="1"/>
      <c r="J1" s="1"/>
      <c r="K1" s="1"/>
      <c r="L1" s="1"/>
      <c r="M1" s="1"/>
      <c r="N1" s="1"/>
      <c r="O1" s="1"/>
      <c r="P1" s="1"/>
      <c r="Q1" s="1"/>
      <c r="R1" s="1"/>
      <c r="S1" s="1"/>
      <c r="T1" s="1"/>
      <c r="U1" s="1"/>
      <c r="V1" s="1"/>
      <c r="W1" s="1"/>
      <c r="X1" s="1"/>
      <c r="Y1" s="1"/>
      <c r="Z1" s="1"/>
      <c r="AA1" s="1"/>
    </row>
    <row r="2" spans="1:27" ht="26.4" thickBot="1" x14ac:dyDescent="0.35">
      <c r="B2" s="1"/>
      <c r="C2" s="33" t="s">
        <v>7</v>
      </c>
      <c r="D2" s="34"/>
      <c r="E2" s="34"/>
      <c r="F2" s="34"/>
      <c r="G2" s="34"/>
      <c r="H2" s="34"/>
      <c r="I2" s="34"/>
      <c r="J2" s="34"/>
      <c r="K2" s="34"/>
      <c r="L2" s="34"/>
      <c r="M2" s="35"/>
      <c r="N2" s="1"/>
      <c r="O2" s="1"/>
      <c r="P2" s="1"/>
      <c r="Q2" s="1"/>
      <c r="R2" s="1"/>
      <c r="S2" s="1"/>
      <c r="T2" s="1"/>
      <c r="U2" s="1"/>
      <c r="V2" s="1"/>
      <c r="W2" s="1"/>
      <c r="X2" s="1"/>
      <c r="Y2" s="1"/>
      <c r="Z2" s="1"/>
      <c r="AA2" s="1"/>
    </row>
    <row r="3" spans="1:27" ht="14.4" customHeight="1" x14ac:dyDescent="0.3">
      <c r="B3" s="1"/>
      <c r="C3" s="36" t="s">
        <v>6</v>
      </c>
      <c r="D3" s="37"/>
      <c r="E3" s="37"/>
      <c r="F3" s="37"/>
      <c r="G3" s="37"/>
      <c r="H3" s="37"/>
      <c r="I3" s="37"/>
      <c r="J3" s="37"/>
      <c r="K3" s="37"/>
      <c r="L3" s="37"/>
      <c r="M3" s="38"/>
      <c r="N3" s="1"/>
      <c r="O3" s="1"/>
      <c r="P3" s="1"/>
      <c r="Q3" s="1"/>
      <c r="R3" s="1"/>
      <c r="S3" s="1"/>
      <c r="T3" s="1"/>
      <c r="U3" s="1"/>
      <c r="V3" s="1"/>
      <c r="W3" s="1"/>
      <c r="X3" s="1"/>
      <c r="Y3" s="1"/>
      <c r="Z3" s="1"/>
      <c r="AA3" s="1"/>
    </row>
    <row r="4" spans="1:27" x14ac:dyDescent="0.3">
      <c r="B4" s="1"/>
      <c r="C4" s="39"/>
      <c r="D4" s="40"/>
      <c r="E4" s="40"/>
      <c r="F4" s="40"/>
      <c r="G4" s="40"/>
      <c r="H4" s="40"/>
      <c r="I4" s="40"/>
      <c r="J4" s="40"/>
      <c r="K4" s="40"/>
      <c r="L4" s="40"/>
      <c r="M4" s="41"/>
      <c r="N4" s="1"/>
      <c r="O4" s="1"/>
      <c r="P4" s="1"/>
      <c r="Q4" s="1"/>
      <c r="R4" s="1"/>
      <c r="S4" s="1"/>
      <c r="T4" s="1"/>
      <c r="U4" s="1"/>
      <c r="V4" s="1"/>
      <c r="W4" s="1"/>
      <c r="X4" s="1"/>
      <c r="Y4" s="1"/>
      <c r="Z4" s="1"/>
      <c r="AA4" s="1"/>
    </row>
    <row r="5" spans="1:27" x14ac:dyDescent="0.3">
      <c r="B5" s="1"/>
      <c r="C5" s="39"/>
      <c r="D5" s="40"/>
      <c r="E5" s="40"/>
      <c r="F5" s="40"/>
      <c r="G5" s="40"/>
      <c r="H5" s="40"/>
      <c r="I5" s="40"/>
      <c r="J5" s="40"/>
      <c r="K5" s="40"/>
      <c r="L5" s="40"/>
      <c r="M5" s="41"/>
      <c r="N5" s="1"/>
      <c r="O5" s="1"/>
      <c r="P5" s="1"/>
      <c r="Q5" s="1"/>
      <c r="R5" s="1"/>
      <c r="S5" s="1"/>
      <c r="T5" s="1"/>
      <c r="U5" s="1"/>
      <c r="V5" s="1"/>
      <c r="W5" s="1"/>
      <c r="X5" s="1"/>
      <c r="Y5" s="1"/>
      <c r="Z5" s="1"/>
      <c r="AA5" s="1"/>
    </row>
    <row r="6" spans="1:27" ht="15" thickBot="1" x14ac:dyDescent="0.35">
      <c r="B6" s="1"/>
      <c r="C6" s="42"/>
      <c r="D6" s="43"/>
      <c r="E6" s="43"/>
      <c r="F6" s="43"/>
      <c r="G6" s="43"/>
      <c r="H6" s="43"/>
      <c r="I6" s="43"/>
      <c r="J6" s="43"/>
      <c r="K6" s="43"/>
      <c r="L6" s="43"/>
      <c r="M6" s="44"/>
      <c r="N6" s="1"/>
      <c r="O6" s="1"/>
      <c r="P6" s="1"/>
      <c r="Q6" s="1"/>
      <c r="R6" s="1"/>
      <c r="S6" s="1"/>
      <c r="T6" s="1"/>
      <c r="U6" s="1"/>
      <c r="V6" s="1"/>
      <c r="W6" s="1"/>
      <c r="X6" s="1"/>
      <c r="Y6" s="1"/>
      <c r="Z6" s="1"/>
      <c r="AA6" s="1"/>
    </row>
    <row r="7" spans="1:27" x14ac:dyDescent="0.3">
      <c r="B7" s="1"/>
      <c r="C7" s="1"/>
      <c r="D7" s="1"/>
      <c r="E7" s="1"/>
      <c r="F7" s="1"/>
      <c r="G7" s="1"/>
      <c r="H7" s="1"/>
      <c r="I7" s="1"/>
      <c r="J7" s="1"/>
      <c r="K7" s="1"/>
      <c r="L7" s="1"/>
      <c r="M7" s="1"/>
      <c r="N7" s="1"/>
      <c r="O7" s="1"/>
      <c r="P7" s="1"/>
      <c r="Q7" s="1"/>
      <c r="R7" s="1"/>
      <c r="S7" s="1"/>
      <c r="T7" s="1"/>
      <c r="U7" s="1"/>
      <c r="V7" s="1"/>
      <c r="W7" s="1"/>
      <c r="X7" s="1"/>
      <c r="Y7" s="1"/>
      <c r="Z7" s="1"/>
      <c r="AA7" s="1"/>
    </row>
    <row r="8" spans="1:27" ht="15" thickBot="1" x14ac:dyDescent="0.35">
      <c r="B8" s="1"/>
      <c r="C8" s="1"/>
      <c r="D8" s="1"/>
      <c r="E8" s="1"/>
      <c r="F8" s="1"/>
      <c r="G8" s="1"/>
      <c r="H8" s="1"/>
      <c r="I8" s="1"/>
      <c r="J8" s="1"/>
      <c r="K8" s="1"/>
      <c r="L8" s="1"/>
      <c r="M8" s="1"/>
      <c r="N8" s="1"/>
      <c r="O8" s="1"/>
      <c r="P8" s="1"/>
      <c r="Q8" s="1"/>
      <c r="R8" s="1"/>
      <c r="S8" s="1"/>
      <c r="T8" s="1"/>
      <c r="U8" s="1"/>
      <c r="V8" s="1"/>
      <c r="W8" s="1"/>
      <c r="X8" s="1"/>
      <c r="Y8" s="1"/>
      <c r="Z8" s="1"/>
      <c r="AA8" s="1"/>
    </row>
    <row r="9" spans="1:27" ht="15" thickBot="1" x14ac:dyDescent="0.35">
      <c r="B9" s="1"/>
      <c r="C9" s="6" t="s">
        <v>29</v>
      </c>
      <c r="D9" s="5"/>
      <c r="E9" s="1"/>
      <c r="F9" s="6" t="s">
        <v>4</v>
      </c>
      <c r="G9" s="5"/>
      <c r="H9" s="1"/>
      <c r="I9" s="6" t="s">
        <v>5</v>
      </c>
      <c r="J9" s="5"/>
      <c r="K9" s="1"/>
      <c r="L9" s="6" t="s">
        <v>40</v>
      </c>
      <c r="M9" s="5"/>
      <c r="N9" s="1"/>
      <c r="O9" s="7" t="s">
        <v>8</v>
      </c>
      <c r="P9" s="1"/>
      <c r="Q9" s="1"/>
      <c r="R9" s="1"/>
      <c r="S9" s="1"/>
      <c r="T9" s="1"/>
      <c r="U9" s="1"/>
      <c r="V9" s="1"/>
      <c r="W9" s="1"/>
      <c r="X9" s="1"/>
      <c r="Y9" s="1"/>
      <c r="Z9" s="1"/>
      <c r="AA9" s="1"/>
    </row>
    <row r="10" spans="1:27" x14ac:dyDescent="0.3">
      <c r="A10" s="28" t="s">
        <v>3</v>
      </c>
      <c r="B10" s="2">
        <v>5400</v>
      </c>
      <c r="C10" s="31">
        <f>B10</f>
        <v>5400</v>
      </c>
      <c r="D10" s="4"/>
      <c r="E10" s="2">
        <v>4400</v>
      </c>
      <c r="F10" s="31">
        <f>E10</f>
        <v>4400</v>
      </c>
      <c r="G10" s="1"/>
      <c r="H10" s="2">
        <v>5500</v>
      </c>
      <c r="I10" s="31">
        <f>H10</f>
        <v>5500</v>
      </c>
      <c r="J10" s="1"/>
      <c r="K10" s="2">
        <v>5100</v>
      </c>
      <c r="L10" s="31">
        <f>K10</f>
        <v>5100</v>
      </c>
      <c r="M10" s="1"/>
      <c r="N10" s="11">
        <v>370</v>
      </c>
      <c r="O10" s="29">
        <f>N10/1000</f>
        <v>0.37</v>
      </c>
      <c r="P10" s="1"/>
      <c r="Q10" s="1"/>
      <c r="R10" s="1"/>
      <c r="S10" s="1"/>
      <c r="T10" s="1"/>
      <c r="U10" s="1"/>
      <c r="V10" s="1"/>
      <c r="W10" s="1"/>
      <c r="X10" s="1"/>
      <c r="Y10" s="1"/>
      <c r="Z10" s="1"/>
      <c r="AA10" s="1"/>
    </row>
    <row r="11" spans="1:27" x14ac:dyDescent="0.3">
      <c r="A11" s="28"/>
      <c r="B11" s="2"/>
      <c r="C11" s="32"/>
      <c r="D11" s="3"/>
      <c r="E11" s="2"/>
      <c r="F11" s="32"/>
      <c r="G11" s="1"/>
      <c r="H11" s="2"/>
      <c r="I11" s="32"/>
      <c r="J11" s="1"/>
      <c r="K11" s="2"/>
      <c r="L11" s="32"/>
      <c r="M11" s="1"/>
      <c r="N11" s="11"/>
      <c r="O11" s="28"/>
      <c r="P11" s="1"/>
      <c r="Q11" s="1"/>
      <c r="R11" s="1"/>
      <c r="S11" s="1"/>
      <c r="T11" s="1"/>
      <c r="U11" s="1"/>
      <c r="V11" s="1"/>
      <c r="W11" s="1"/>
      <c r="X11" s="1"/>
      <c r="Y11" s="1"/>
      <c r="Z11" s="1"/>
      <c r="AA11" s="1"/>
    </row>
    <row r="12" spans="1:27" x14ac:dyDescent="0.3">
      <c r="A12" s="28" t="s">
        <v>2</v>
      </c>
      <c r="B12" s="2">
        <v>6</v>
      </c>
      <c r="C12" s="28">
        <f>B12</f>
        <v>6</v>
      </c>
      <c r="D12" s="1"/>
      <c r="E12" s="2">
        <v>7</v>
      </c>
      <c r="F12" s="28">
        <f>E12</f>
        <v>7</v>
      </c>
      <c r="G12" s="1"/>
      <c r="H12" s="2">
        <v>7</v>
      </c>
      <c r="I12" s="28">
        <f>H12</f>
        <v>7</v>
      </c>
      <c r="J12" s="1"/>
      <c r="K12" s="2">
        <v>3</v>
      </c>
      <c r="L12" s="28">
        <f>K12</f>
        <v>3</v>
      </c>
      <c r="M12" s="1"/>
      <c r="N12" s="11">
        <v>310</v>
      </c>
      <c r="O12" s="30">
        <f>N12/1000</f>
        <v>0.31</v>
      </c>
      <c r="P12" s="1"/>
      <c r="Q12" s="1"/>
      <c r="R12" s="1"/>
      <c r="S12" s="1"/>
      <c r="T12" s="1"/>
      <c r="U12" s="1"/>
      <c r="V12" s="1"/>
      <c r="W12" s="1"/>
      <c r="X12" s="1"/>
      <c r="Y12" s="1"/>
      <c r="Z12" s="1"/>
      <c r="AA12" s="1"/>
    </row>
    <row r="13" spans="1:27" x14ac:dyDescent="0.3">
      <c r="A13" s="28"/>
      <c r="B13" s="2"/>
      <c r="C13" s="28"/>
      <c r="D13" s="1"/>
      <c r="E13" s="2"/>
      <c r="F13" s="28"/>
      <c r="G13" s="1"/>
      <c r="H13" s="2"/>
      <c r="I13" s="28"/>
      <c r="J13" s="1"/>
      <c r="K13" s="2"/>
      <c r="L13" s="28"/>
      <c r="M13" s="1"/>
      <c r="N13" s="11"/>
      <c r="O13" s="30"/>
      <c r="P13" s="1"/>
      <c r="Q13" s="1"/>
      <c r="R13" s="1"/>
      <c r="S13" s="1"/>
      <c r="T13" s="1"/>
      <c r="U13" s="1"/>
      <c r="V13" s="1"/>
      <c r="W13" s="1"/>
      <c r="X13" s="1"/>
      <c r="Y13" s="1"/>
      <c r="Z13" s="1"/>
      <c r="AA13" s="1"/>
    </row>
    <row r="14" spans="1:27" x14ac:dyDescent="0.3">
      <c r="A14" s="28" t="s">
        <v>1</v>
      </c>
      <c r="B14" s="2">
        <v>8</v>
      </c>
      <c r="C14" s="28">
        <f>B14</f>
        <v>8</v>
      </c>
      <c r="D14" s="1"/>
      <c r="E14" s="2">
        <v>8</v>
      </c>
      <c r="F14" s="28">
        <f>E14</f>
        <v>8</v>
      </c>
      <c r="G14" s="1"/>
      <c r="H14" s="2">
        <v>4</v>
      </c>
      <c r="I14" s="28">
        <f>H14</f>
        <v>4</v>
      </c>
      <c r="J14" s="1"/>
      <c r="K14" s="2">
        <v>9</v>
      </c>
      <c r="L14" s="28">
        <f>K14</f>
        <v>9</v>
      </c>
      <c r="M14" s="1"/>
      <c r="N14" s="11">
        <v>320</v>
      </c>
      <c r="O14" s="30">
        <f>N14/1000</f>
        <v>0.32</v>
      </c>
      <c r="P14" s="1"/>
      <c r="Q14" s="1"/>
      <c r="R14" s="1"/>
      <c r="S14" s="1"/>
      <c r="T14" s="1"/>
      <c r="U14" s="1"/>
      <c r="V14" s="1"/>
      <c r="W14" s="1"/>
      <c r="X14" s="1"/>
      <c r="Y14" s="1"/>
      <c r="Z14" s="1"/>
      <c r="AA14" s="1"/>
    </row>
    <row r="15" spans="1:27" x14ac:dyDescent="0.3">
      <c r="A15" s="28"/>
      <c r="B15" s="2"/>
      <c r="C15" s="28"/>
      <c r="D15" s="1"/>
      <c r="E15" s="2"/>
      <c r="F15" s="28"/>
      <c r="G15" s="1"/>
      <c r="H15" s="2"/>
      <c r="I15" s="28"/>
      <c r="J15" s="1"/>
      <c r="K15" s="2"/>
      <c r="L15" s="28"/>
      <c r="M15" s="1"/>
      <c r="N15" s="11"/>
      <c r="O15" s="30"/>
      <c r="P15" s="1"/>
      <c r="Q15" s="1"/>
      <c r="R15" s="1"/>
      <c r="S15" s="1"/>
      <c r="T15" s="1"/>
      <c r="U15" s="1"/>
      <c r="V15" s="1"/>
      <c r="W15" s="1"/>
      <c r="X15" s="1"/>
      <c r="Y15" s="1"/>
      <c r="Z15" s="1"/>
      <c r="AA15" s="1"/>
    </row>
    <row r="16" spans="1:27" x14ac:dyDescent="0.3">
      <c r="A16" s="28" t="s">
        <v>0</v>
      </c>
      <c r="B16" s="2">
        <v>5</v>
      </c>
      <c r="C16" s="28">
        <f>B16</f>
        <v>5</v>
      </c>
      <c r="D16" s="1"/>
      <c r="E16" s="2">
        <v>5</v>
      </c>
      <c r="F16" s="28">
        <f>E16</f>
        <v>5</v>
      </c>
      <c r="G16" s="1"/>
      <c r="H16" s="2">
        <v>2</v>
      </c>
      <c r="I16" s="28">
        <f>H16</f>
        <v>2</v>
      </c>
      <c r="J16" s="1"/>
      <c r="K16" s="2">
        <v>6</v>
      </c>
      <c r="L16" s="28">
        <f>K16</f>
        <v>6</v>
      </c>
      <c r="M16" s="1"/>
      <c r="N16" s="8"/>
      <c r="O16" s="30"/>
      <c r="P16" s="1"/>
      <c r="Q16" s="1"/>
      <c r="R16" s="1"/>
      <c r="S16" s="1"/>
      <c r="T16" s="1"/>
      <c r="U16" s="1"/>
      <c r="V16" s="1"/>
      <c r="W16" s="1"/>
      <c r="X16" s="1"/>
      <c r="Y16" s="1"/>
      <c r="Z16" s="1"/>
      <c r="AA16" s="1"/>
    </row>
    <row r="17" spans="1:27" x14ac:dyDescent="0.3">
      <c r="A17" s="28"/>
      <c r="B17" s="1"/>
      <c r="C17" s="28"/>
      <c r="D17" s="1"/>
      <c r="E17" s="1"/>
      <c r="F17" s="28"/>
      <c r="G17" s="1"/>
      <c r="H17" s="1"/>
      <c r="I17" s="28"/>
      <c r="J17" s="1"/>
      <c r="K17" s="2"/>
      <c r="L17" s="28"/>
      <c r="M17" s="1"/>
      <c r="N17" s="8"/>
      <c r="O17" s="30"/>
      <c r="P17" s="1"/>
      <c r="Q17" s="1"/>
      <c r="R17" s="1"/>
      <c r="S17" s="1"/>
      <c r="T17" s="1"/>
      <c r="U17" s="1"/>
      <c r="V17" s="1"/>
      <c r="W17" s="1"/>
      <c r="X17" s="1"/>
      <c r="Y17" s="1"/>
      <c r="Z17" s="1"/>
      <c r="AA17" s="1"/>
    </row>
    <row r="18" spans="1:27" x14ac:dyDescent="0.3">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3">
      <c r="B19" s="1"/>
      <c r="C19" s="1"/>
      <c r="D19" s="1"/>
      <c r="E19" s="1"/>
      <c r="F19" s="1"/>
      <c r="G19" s="1"/>
      <c r="H19" s="1"/>
      <c r="I19" s="1"/>
      <c r="J19" s="1"/>
      <c r="K19" s="1"/>
      <c r="L19" s="1"/>
      <c r="M19" s="1"/>
      <c r="N19" s="1"/>
      <c r="O19" s="9">
        <f>SUM(N10:N14)/1000</f>
        <v>1</v>
      </c>
      <c r="P19" s="1"/>
      <c r="Q19" s="1"/>
      <c r="R19" s="1"/>
      <c r="S19" s="1"/>
      <c r="T19" s="1"/>
      <c r="U19" s="1"/>
      <c r="V19" s="1"/>
      <c r="W19" s="1"/>
      <c r="X19" s="1"/>
      <c r="Y19" s="1"/>
      <c r="Z19" s="1"/>
      <c r="AA19" s="1"/>
    </row>
    <row r="20" spans="1:27" x14ac:dyDescent="0.3">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3">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3">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3">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3">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3">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3">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3">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3">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3">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3">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3">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3">
      <c r="B32" s="1"/>
      <c r="C32" s="1"/>
      <c r="D32" s="1"/>
      <c r="E32" s="1"/>
      <c r="F32" s="1"/>
      <c r="G32" s="1"/>
      <c r="H32" s="1"/>
      <c r="I32" s="1"/>
      <c r="J32" s="1"/>
      <c r="K32" s="1"/>
      <c r="L32" s="1"/>
      <c r="M32" s="1"/>
      <c r="N32" s="1"/>
      <c r="O32" s="1"/>
      <c r="P32" s="1"/>
      <c r="Q32" s="1"/>
      <c r="R32" s="1"/>
      <c r="S32" s="1"/>
      <c r="T32" s="1"/>
      <c r="U32" s="1"/>
      <c r="V32" s="1"/>
      <c r="W32" s="1"/>
      <c r="X32" s="1"/>
      <c r="Y32" s="1"/>
      <c r="Z32" s="1"/>
      <c r="AA32" s="1"/>
    </row>
    <row r="33" spans="2:27" x14ac:dyDescent="0.3">
      <c r="B33" s="1"/>
      <c r="C33" s="1"/>
      <c r="D33" s="1"/>
      <c r="E33" s="1"/>
      <c r="F33" s="1"/>
      <c r="G33" s="1"/>
      <c r="H33" s="1"/>
      <c r="I33" s="1"/>
      <c r="J33" s="1"/>
      <c r="K33" s="1"/>
      <c r="L33" s="1"/>
      <c r="M33" s="1"/>
      <c r="N33" s="1"/>
      <c r="O33" s="1"/>
      <c r="P33" s="1"/>
      <c r="Q33" s="1"/>
      <c r="R33" s="1"/>
      <c r="S33" s="1"/>
      <c r="T33" s="1"/>
      <c r="U33" s="1"/>
      <c r="V33" s="1"/>
      <c r="W33" s="1"/>
      <c r="X33" s="1"/>
      <c r="Y33" s="1"/>
      <c r="Z33" s="1"/>
      <c r="AA33" s="1"/>
    </row>
    <row r="34" spans="2:27" x14ac:dyDescent="0.3">
      <c r="B34" s="1"/>
      <c r="C34" s="1"/>
      <c r="D34" s="1"/>
      <c r="E34" s="1"/>
      <c r="F34" s="1"/>
      <c r="G34" s="1"/>
      <c r="H34" s="1"/>
      <c r="I34" s="1"/>
      <c r="J34" s="1"/>
      <c r="K34" s="1"/>
      <c r="L34" s="1"/>
      <c r="M34" s="1"/>
      <c r="N34" s="1"/>
      <c r="O34" s="1"/>
      <c r="P34" s="1"/>
      <c r="Q34" s="1"/>
      <c r="R34" s="1"/>
      <c r="S34" s="1"/>
      <c r="T34" s="1"/>
      <c r="U34" s="1"/>
      <c r="V34" s="1"/>
      <c r="W34" s="1"/>
      <c r="X34" s="1"/>
      <c r="Y34" s="1"/>
      <c r="Z34" s="1"/>
      <c r="AA34" s="1"/>
    </row>
    <row r="35" spans="2:27" x14ac:dyDescent="0.3">
      <c r="B35" s="1"/>
      <c r="C35" s="1"/>
      <c r="D35" s="1"/>
      <c r="E35" s="1"/>
      <c r="F35" s="1"/>
      <c r="G35" s="1"/>
      <c r="H35" s="1"/>
      <c r="I35" s="1"/>
      <c r="J35" s="1"/>
      <c r="K35" s="1"/>
      <c r="L35" s="1"/>
      <c r="M35" s="1"/>
      <c r="N35" s="1"/>
      <c r="O35" s="1"/>
      <c r="P35" s="1"/>
      <c r="Q35" s="1"/>
      <c r="R35" s="1"/>
      <c r="S35" s="1"/>
      <c r="T35" s="1"/>
      <c r="U35" s="1"/>
      <c r="V35" s="1"/>
      <c r="W35" s="1"/>
      <c r="X35" s="1"/>
      <c r="Y35" s="1"/>
      <c r="Z35" s="1"/>
      <c r="AA35" s="1"/>
    </row>
    <row r="36" spans="2:27" x14ac:dyDescent="0.3">
      <c r="B36" s="1"/>
      <c r="C36" s="1"/>
      <c r="D36" s="1"/>
      <c r="E36" s="1"/>
      <c r="F36" s="1"/>
      <c r="G36" s="1"/>
      <c r="H36" s="1"/>
      <c r="I36" s="1"/>
      <c r="J36" s="1"/>
      <c r="K36" s="1"/>
      <c r="L36" s="1"/>
      <c r="M36" s="1"/>
      <c r="N36" s="1"/>
      <c r="O36" s="1"/>
      <c r="P36" s="1"/>
      <c r="Q36" s="1"/>
      <c r="R36" s="1"/>
      <c r="S36" s="1"/>
      <c r="T36" s="1"/>
      <c r="U36" s="1"/>
      <c r="V36" s="1"/>
      <c r="W36" s="1"/>
      <c r="X36" s="1"/>
      <c r="Y36" s="1"/>
      <c r="Z36" s="1"/>
      <c r="AA36" s="1"/>
    </row>
    <row r="37" spans="2:27" x14ac:dyDescent="0.3">
      <c r="B37" s="1"/>
      <c r="C37" s="1"/>
      <c r="D37" s="1"/>
      <c r="E37" s="1"/>
      <c r="F37" s="1"/>
      <c r="G37" s="1"/>
      <c r="H37" s="1"/>
      <c r="I37" s="1"/>
      <c r="J37" s="1"/>
      <c r="K37" s="1"/>
      <c r="L37" s="1"/>
      <c r="M37" s="1"/>
      <c r="N37" s="1"/>
      <c r="O37" s="1"/>
      <c r="P37" s="1"/>
      <c r="Q37" s="1"/>
      <c r="R37" s="1"/>
      <c r="S37" s="1"/>
      <c r="T37" s="1"/>
      <c r="U37" s="1"/>
      <c r="V37" s="1"/>
      <c r="W37" s="1"/>
      <c r="X37" s="1"/>
      <c r="Y37" s="1"/>
      <c r="Z37" s="1"/>
      <c r="AA37" s="1"/>
    </row>
    <row r="38" spans="2:27" x14ac:dyDescent="0.3">
      <c r="B38" s="1"/>
      <c r="C38" s="1"/>
      <c r="D38" s="1"/>
      <c r="E38" s="1"/>
      <c r="F38" s="1"/>
      <c r="G38" s="1"/>
      <c r="H38" s="1"/>
      <c r="I38" s="1"/>
      <c r="J38" s="1"/>
      <c r="K38" s="1"/>
      <c r="L38" s="1"/>
      <c r="M38" s="1"/>
      <c r="N38" s="1"/>
      <c r="O38" s="1"/>
      <c r="P38" s="1"/>
      <c r="Q38" s="1"/>
      <c r="R38" s="1"/>
      <c r="S38" s="1"/>
      <c r="T38" s="1"/>
      <c r="U38" s="1"/>
      <c r="V38" s="1"/>
      <c r="W38" s="1"/>
      <c r="X38" s="1"/>
      <c r="Y38" s="1"/>
      <c r="Z38" s="1"/>
      <c r="AA38" s="1"/>
    </row>
    <row r="39" spans="2:27" x14ac:dyDescent="0.3">
      <c r="B39" s="1"/>
      <c r="C39" s="1"/>
      <c r="D39" s="1"/>
      <c r="E39" s="1"/>
      <c r="F39" s="1"/>
      <c r="G39" s="1"/>
      <c r="H39" s="1"/>
      <c r="I39" s="1"/>
      <c r="J39" s="1"/>
      <c r="K39" s="1"/>
      <c r="L39" s="1"/>
      <c r="M39" s="1"/>
      <c r="N39" s="1"/>
      <c r="O39" s="1"/>
      <c r="P39" s="1"/>
      <c r="Q39" s="1"/>
      <c r="R39" s="1"/>
      <c r="S39" s="1"/>
      <c r="T39" s="1"/>
      <c r="U39" s="1"/>
      <c r="V39" s="1"/>
      <c r="W39" s="1"/>
      <c r="X39" s="1"/>
      <c r="Y39" s="1"/>
      <c r="Z39" s="1"/>
      <c r="AA39" s="1"/>
    </row>
    <row r="40" spans="2:27" x14ac:dyDescent="0.3">
      <c r="B40" s="1"/>
      <c r="C40" s="1"/>
      <c r="D40" s="1"/>
      <c r="E40" s="1"/>
      <c r="F40" s="1"/>
      <c r="G40" s="1"/>
      <c r="H40" s="1"/>
      <c r="I40" s="1"/>
      <c r="J40" s="1"/>
      <c r="K40" s="1"/>
      <c r="L40" s="1"/>
      <c r="M40" s="1"/>
      <c r="N40" s="1"/>
      <c r="O40" s="1"/>
      <c r="P40" s="1"/>
      <c r="Q40" s="1"/>
      <c r="R40" s="1"/>
      <c r="S40" s="1"/>
      <c r="T40" s="1"/>
      <c r="U40" s="1"/>
      <c r="V40" s="1"/>
      <c r="W40" s="1"/>
      <c r="X40" s="1"/>
      <c r="Y40" s="1"/>
      <c r="Z40" s="1"/>
      <c r="AA40" s="1"/>
    </row>
    <row r="41" spans="2:27" x14ac:dyDescent="0.3">
      <c r="B41" s="1"/>
      <c r="C41" s="1"/>
      <c r="D41" s="1"/>
      <c r="E41" s="1"/>
      <c r="F41" s="1"/>
      <c r="G41" s="1"/>
      <c r="H41" s="1"/>
      <c r="I41" s="1"/>
      <c r="J41" s="1"/>
      <c r="K41" s="1"/>
      <c r="L41" s="1"/>
      <c r="M41" s="1"/>
      <c r="N41" s="1"/>
      <c r="O41" s="1"/>
      <c r="P41" s="1"/>
      <c r="Q41" s="1"/>
      <c r="R41" s="1"/>
      <c r="S41" s="1"/>
      <c r="T41" s="1"/>
      <c r="U41" s="1"/>
      <c r="V41" s="1"/>
      <c r="W41" s="1"/>
      <c r="X41" s="1"/>
      <c r="Y41" s="1"/>
      <c r="Z41" s="1"/>
      <c r="AA41" s="1"/>
    </row>
    <row r="42" spans="2:27" x14ac:dyDescent="0.3">
      <c r="B42" s="1"/>
      <c r="C42" s="1"/>
      <c r="D42" s="1"/>
      <c r="E42" s="1"/>
      <c r="F42" s="1"/>
      <c r="G42" s="1"/>
      <c r="H42" s="1"/>
      <c r="I42" s="1"/>
      <c r="J42" s="1"/>
      <c r="K42" s="1"/>
      <c r="L42" s="1"/>
      <c r="M42" s="1"/>
      <c r="N42" s="1"/>
      <c r="O42" s="1"/>
      <c r="P42" s="1"/>
      <c r="Q42" s="1"/>
      <c r="R42" s="1"/>
      <c r="S42" s="1"/>
      <c r="T42" s="1"/>
      <c r="U42" s="1"/>
      <c r="V42" s="1"/>
      <c r="W42" s="1"/>
      <c r="X42" s="1"/>
      <c r="Y42" s="1"/>
      <c r="Z42" s="1"/>
      <c r="AA42" s="1"/>
    </row>
    <row r="43" spans="2:27" x14ac:dyDescent="0.3">
      <c r="B43" s="1"/>
      <c r="C43" s="1"/>
      <c r="D43" s="1"/>
      <c r="E43" s="1"/>
      <c r="F43" s="1"/>
      <c r="G43" s="1"/>
      <c r="H43" s="1"/>
      <c r="I43" s="1"/>
      <c r="J43" s="1"/>
      <c r="K43" s="1"/>
      <c r="L43" s="1"/>
      <c r="M43" s="1"/>
      <c r="N43" s="1"/>
      <c r="O43" s="1"/>
      <c r="P43" s="1"/>
      <c r="Q43" s="1"/>
      <c r="R43" s="1"/>
      <c r="S43" s="1"/>
      <c r="T43" s="1"/>
      <c r="U43" s="1"/>
      <c r="V43" s="1"/>
      <c r="W43" s="1"/>
      <c r="X43" s="1"/>
      <c r="Y43" s="1"/>
      <c r="Z43" s="1"/>
      <c r="AA43" s="1"/>
    </row>
    <row r="44" spans="2:27" x14ac:dyDescent="0.3">
      <c r="B44" s="1"/>
      <c r="C44" s="1"/>
      <c r="D44" s="1"/>
      <c r="E44" s="1"/>
      <c r="F44" s="1"/>
      <c r="G44" s="1"/>
      <c r="H44" s="1"/>
      <c r="I44" s="1"/>
      <c r="J44" s="1"/>
      <c r="K44" s="1"/>
      <c r="L44" s="1"/>
      <c r="M44" s="1"/>
      <c r="N44" s="1"/>
      <c r="O44" s="1"/>
      <c r="P44" s="1"/>
      <c r="Q44" s="1"/>
      <c r="R44" s="1"/>
      <c r="S44" s="1"/>
      <c r="T44" s="1"/>
      <c r="U44" s="1"/>
      <c r="V44" s="1"/>
      <c r="W44" s="1"/>
      <c r="X44" s="1"/>
      <c r="Y44" s="1"/>
      <c r="Z44" s="1"/>
      <c r="AA44" s="1"/>
    </row>
    <row r="45" spans="2:27" x14ac:dyDescent="0.3">
      <c r="B45" s="1"/>
      <c r="C45" s="1"/>
      <c r="D45" s="1"/>
      <c r="E45" s="1"/>
      <c r="F45" s="1"/>
      <c r="G45" s="1"/>
      <c r="H45" s="1"/>
      <c r="I45" s="1"/>
      <c r="J45" s="1"/>
      <c r="K45" s="1"/>
      <c r="L45" s="1"/>
      <c r="M45" s="1"/>
      <c r="N45" s="1"/>
      <c r="O45" s="1"/>
      <c r="P45" s="1"/>
      <c r="Q45" s="1"/>
      <c r="R45" s="1"/>
      <c r="S45" s="1"/>
      <c r="T45" s="1"/>
      <c r="U45" s="1"/>
      <c r="V45" s="1"/>
      <c r="W45" s="1"/>
      <c r="X45" s="1"/>
      <c r="Y45" s="1"/>
      <c r="Z45" s="1"/>
      <c r="AA45" s="1"/>
    </row>
    <row r="46" spans="2:27" x14ac:dyDescent="0.3">
      <c r="B46" s="1"/>
      <c r="C46" s="1"/>
      <c r="D46" s="1"/>
      <c r="E46" s="1"/>
      <c r="F46" s="1"/>
      <c r="G46" s="1"/>
      <c r="H46" s="1"/>
      <c r="I46" s="1"/>
      <c r="J46" s="1"/>
      <c r="K46" s="1"/>
      <c r="L46" s="1"/>
      <c r="M46" s="1"/>
      <c r="N46" s="1"/>
      <c r="O46" s="1"/>
      <c r="P46" s="1"/>
      <c r="Q46" s="1"/>
      <c r="R46" s="1"/>
      <c r="S46" s="1"/>
      <c r="T46" s="1"/>
      <c r="U46" s="1"/>
      <c r="V46" s="1"/>
      <c r="W46" s="1"/>
      <c r="X46" s="1"/>
      <c r="Y46" s="1"/>
      <c r="Z46" s="1"/>
      <c r="AA46" s="1"/>
    </row>
    <row r="47" spans="2:27" x14ac:dyDescent="0.3">
      <c r="B47" s="1"/>
      <c r="C47" s="1"/>
      <c r="D47" s="1"/>
      <c r="E47" s="1"/>
      <c r="F47" s="1"/>
      <c r="G47" s="1"/>
      <c r="H47" s="1"/>
      <c r="I47" s="1"/>
      <c r="J47" s="1"/>
      <c r="K47" s="1"/>
      <c r="L47" s="1"/>
      <c r="M47" s="1"/>
      <c r="N47" s="1"/>
      <c r="O47" s="1"/>
      <c r="P47" s="1"/>
      <c r="Q47" s="1"/>
      <c r="R47" s="1"/>
      <c r="S47" s="1"/>
      <c r="T47" s="1"/>
      <c r="U47" s="1"/>
      <c r="V47" s="1"/>
      <c r="W47" s="1"/>
      <c r="X47" s="1"/>
      <c r="Y47" s="1"/>
      <c r="Z47" s="1"/>
      <c r="AA47" s="1"/>
    </row>
    <row r="48" spans="2:27" x14ac:dyDescent="0.3">
      <c r="B48" s="1"/>
      <c r="C48" s="1"/>
      <c r="D48" s="1"/>
      <c r="E48" s="1"/>
      <c r="F48" s="1"/>
      <c r="G48" s="1"/>
      <c r="H48" s="1"/>
      <c r="I48" s="1"/>
      <c r="J48" s="1"/>
      <c r="K48" s="1"/>
      <c r="L48" s="1"/>
      <c r="M48" s="1"/>
      <c r="N48" s="1"/>
      <c r="O48" s="1"/>
      <c r="P48" s="1"/>
      <c r="Q48" s="1"/>
      <c r="R48" s="1"/>
      <c r="S48" s="1"/>
      <c r="T48" s="1"/>
      <c r="U48" s="1"/>
      <c r="V48" s="1"/>
      <c r="W48" s="1"/>
      <c r="X48" s="1"/>
      <c r="Y48" s="1"/>
      <c r="Z48" s="1"/>
      <c r="AA48" s="1"/>
    </row>
    <row r="49" spans="2:27" x14ac:dyDescent="0.3">
      <c r="B49" s="1"/>
      <c r="C49" s="1"/>
      <c r="D49" s="1"/>
      <c r="E49" s="1"/>
      <c r="F49" s="1"/>
      <c r="G49" s="1"/>
      <c r="H49" s="1"/>
      <c r="I49" s="1"/>
      <c r="J49" s="1"/>
      <c r="K49" s="1"/>
      <c r="L49" s="1"/>
      <c r="M49" s="1"/>
      <c r="N49" s="1"/>
      <c r="O49" s="1"/>
      <c r="P49" s="1"/>
      <c r="Q49" s="1"/>
      <c r="R49" s="1"/>
      <c r="S49" s="1"/>
      <c r="T49" s="1"/>
      <c r="U49" s="1"/>
      <c r="V49" s="1"/>
      <c r="W49" s="1"/>
      <c r="X49" s="1"/>
      <c r="Y49" s="1"/>
      <c r="Z49" s="1"/>
      <c r="AA49" s="1"/>
    </row>
    <row r="50" spans="2:27" x14ac:dyDescent="0.3">
      <c r="B50" s="1"/>
      <c r="C50" s="1"/>
      <c r="D50" s="1"/>
      <c r="E50" s="1"/>
      <c r="F50" s="1"/>
      <c r="G50" s="1"/>
      <c r="H50" s="1"/>
      <c r="I50" s="1"/>
      <c r="J50" s="1"/>
      <c r="K50" s="1"/>
      <c r="L50" s="1"/>
      <c r="M50" s="1"/>
      <c r="N50" s="1"/>
      <c r="O50" s="1"/>
      <c r="P50" s="1"/>
      <c r="Q50" s="1"/>
      <c r="R50" s="1"/>
      <c r="S50" s="1"/>
      <c r="T50" s="1"/>
      <c r="U50" s="1"/>
      <c r="V50" s="1"/>
      <c r="W50" s="1"/>
      <c r="X50" s="1"/>
      <c r="Y50" s="1"/>
      <c r="Z50" s="1"/>
      <c r="AA50" s="1"/>
    </row>
    <row r="51" spans="2:27" x14ac:dyDescent="0.3">
      <c r="B51" s="1"/>
      <c r="C51" s="1"/>
      <c r="D51" s="1"/>
      <c r="E51" s="1"/>
      <c r="F51" s="1"/>
      <c r="G51" s="1"/>
      <c r="H51" s="1"/>
      <c r="I51" s="1"/>
      <c r="J51" s="1"/>
      <c r="K51" s="1"/>
      <c r="L51" s="1"/>
      <c r="M51" s="1"/>
      <c r="N51" s="1"/>
      <c r="O51" s="1"/>
      <c r="P51" s="1"/>
      <c r="Q51" s="1"/>
      <c r="R51" s="1"/>
      <c r="S51" s="1"/>
      <c r="T51" s="1"/>
      <c r="U51" s="1"/>
      <c r="V51" s="1"/>
      <c r="W51" s="1"/>
      <c r="X51" s="1"/>
      <c r="Y51" s="1"/>
      <c r="Z51" s="1"/>
      <c r="AA51" s="1"/>
    </row>
    <row r="52" spans="2:27" x14ac:dyDescent="0.3">
      <c r="B52" s="1"/>
      <c r="C52" s="1"/>
      <c r="D52" s="1"/>
      <c r="E52" s="1"/>
      <c r="F52" s="1"/>
      <c r="G52" s="1"/>
      <c r="H52" s="1"/>
      <c r="I52" s="1"/>
      <c r="J52" s="1"/>
      <c r="K52" s="1"/>
      <c r="L52" s="1"/>
      <c r="M52" s="1"/>
      <c r="N52" s="1"/>
      <c r="O52" s="1"/>
      <c r="P52" s="1"/>
      <c r="Q52" s="1"/>
      <c r="R52" s="1"/>
      <c r="S52" s="1"/>
      <c r="T52" s="1"/>
      <c r="U52" s="1"/>
      <c r="V52" s="1"/>
      <c r="W52" s="1"/>
      <c r="X52" s="1"/>
      <c r="Y52" s="1"/>
      <c r="Z52" s="1"/>
      <c r="AA52" s="1"/>
    </row>
    <row r="53" spans="2:27" x14ac:dyDescent="0.3">
      <c r="B53" s="1"/>
      <c r="C53" s="1"/>
      <c r="D53" s="1"/>
      <c r="E53" s="1"/>
      <c r="F53" s="1"/>
      <c r="G53" s="1"/>
      <c r="H53" s="1"/>
      <c r="I53" s="1"/>
      <c r="J53" s="1"/>
      <c r="K53" s="1"/>
      <c r="L53" s="1"/>
      <c r="M53" s="1"/>
      <c r="N53" s="1"/>
      <c r="O53" s="1"/>
      <c r="P53" s="1"/>
      <c r="Q53" s="1"/>
      <c r="R53" s="1"/>
      <c r="S53" s="1"/>
      <c r="T53" s="1"/>
      <c r="U53" s="1"/>
      <c r="V53" s="1"/>
      <c r="W53" s="1"/>
      <c r="X53" s="1"/>
      <c r="Y53" s="1"/>
      <c r="Z53" s="1"/>
      <c r="AA53" s="1"/>
    </row>
    <row r="54" spans="2:27" x14ac:dyDescent="0.3">
      <c r="B54" s="1"/>
      <c r="C54" s="1"/>
      <c r="D54" s="1"/>
      <c r="E54" s="1"/>
      <c r="F54" s="1"/>
      <c r="G54" s="1"/>
      <c r="H54" s="1"/>
      <c r="I54" s="1"/>
      <c r="J54" s="1"/>
      <c r="K54" s="1"/>
      <c r="L54" s="1"/>
      <c r="M54" s="1"/>
      <c r="N54" s="1"/>
      <c r="O54" s="1"/>
      <c r="P54" s="1"/>
      <c r="Q54" s="1"/>
      <c r="R54" s="1"/>
      <c r="S54" s="1"/>
      <c r="T54" s="1"/>
      <c r="U54" s="1"/>
      <c r="V54" s="1"/>
      <c r="W54" s="1"/>
      <c r="X54" s="1"/>
      <c r="Y54" s="1"/>
      <c r="Z54" s="1"/>
      <c r="AA54" s="1"/>
    </row>
    <row r="55" spans="2:27" x14ac:dyDescent="0.3">
      <c r="B55" s="1"/>
      <c r="C55" s="1"/>
      <c r="D55" s="1"/>
      <c r="E55" s="1"/>
      <c r="F55" s="1"/>
      <c r="G55" s="1"/>
      <c r="H55" s="1"/>
      <c r="I55" s="1"/>
      <c r="J55" s="1"/>
      <c r="K55" s="1"/>
      <c r="L55" s="1"/>
      <c r="M55" s="1"/>
      <c r="N55" s="1"/>
      <c r="O55" s="1"/>
      <c r="P55" s="1"/>
      <c r="Q55" s="1"/>
      <c r="R55" s="1"/>
      <c r="S55" s="1"/>
      <c r="T55" s="1"/>
      <c r="U55" s="1"/>
      <c r="V55" s="1"/>
      <c r="W55" s="1"/>
      <c r="X55" s="1"/>
      <c r="Y55" s="1"/>
      <c r="Z55" s="1"/>
      <c r="AA55" s="1"/>
    </row>
    <row r="56" spans="2:27" x14ac:dyDescent="0.3">
      <c r="B56" s="1"/>
      <c r="C56" s="1"/>
      <c r="D56" s="1"/>
      <c r="E56" s="1"/>
      <c r="F56" s="1"/>
      <c r="G56" s="1"/>
      <c r="H56" s="1"/>
      <c r="I56" s="1"/>
      <c r="J56" s="1"/>
      <c r="K56" s="1"/>
      <c r="L56" s="1"/>
      <c r="M56" s="1"/>
      <c r="N56" s="1"/>
      <c r="O56" s="1"/>
      <c r="P56" s="1"/>
      <c r="Q56" s="1"/>
      <c r="R56" s="1"/>
      <c r="S56" s="1"/>
      <c r="T56" s="1"/>
      <c r="U56" s="1"/>
      <c r="V56" s="1"/>
      <c r="W56" s="1"/>
      <c r="X56" s="1"/>
      <c r="Y56" s="1"/>
      <c r="Z56" s="1"/>
      <c r="AA56" s="1"/>
    </row>
    <row r="57" spans="2:27" x14ac:dyDescent="0.3">
      <c r="B57" s="1"/>
      <c r="C57" s="1"/>
      <c r="D57" s="1"/>
      <c r="E57" s="1"/>
      <c r="F57" s="1"/>
      <c r="G57" s="1"/>
      <c r="H57" s="1"/>
      <c r="I57" s="1"/>
      <c r="J57" s="1"/>
      <c r="K57" s="1"/>
      <c r="L57" s="1"/>
      <c r="M57" s="1"/>
      <c r="N57" s="1"/>
      <c r="O57" s="1"/>
      <c r="P57" s="1"/>
      <c r="Q57" s="1"/>
      <c r="R57" s="1"/>
      <c r="S57" s="1"/>
      <c r="T57" s="1"/>
      <c r="U57" s="1"/>
      <c r="V57" s="1"/>
      <c r="W57" s="1"/>
      <c r="X57" s="1"/>
      <c r="Y57" s="1"/>
      <c r="Z57" s="1"/>
      <c r="AA57" s="1"/>
    </row>
    <row r="58" spans="2:27" x14ac:dyDescent="0.3">
      <c r="B58" s="1"/>
      <c r="C58" s="1"/>
      <c r="D58" s="1"/>
      <c r="E58" s="1"/>
      <c r="F58" s="1"/>
      <c r="G58" s="1"/>
      <c r="H58" s="1"/>
      <c r="I58" s="1"/>
      <c r="J58" s="1"/>
      <c r="K58" s="1"/>
      <c r="L58" s="1"/>
      <c r="M58" s="1"/>
      <c r="N58" s="1"/>
      <c r="O58" s="1"/>
      <c r="P58" s="1"/>
      <c r="Q58" s="1"/>
      <c r="R58" s="1"/>
      <c r="S58" s="1"/>
      <c r="T58" s="1"/>
      <c r="U58" s="1"/>
      <c r="V58" s="1"/>
      <c r="W58" s="1"/>
      <c r="X58" s="1"/>
      <c r="Y58" s="1"/>
      <c r="Z58" s="1"/>
      <c r="AA58" s="1"/>
    </row>
    <row r="59" spans="2:27" x14ac:dyDescent="0.3">
      <c r="B59" s="1"/>
      <c r="C59" s="1"/>
      <c r="D59" s="1"/>
      <c r="E59" s="1"/>
      <c r="F59" s="1"/>
      <c r="G59" s="1"/>
      <c r="H59" s="1"/>
      <c r="I59" s="1"/>
      <c r="J59" s="1"/>
      <c r="K59" s="1"/>
      <c r="L59" s="1"/>
      <c r="M59" s="1"/>
      <c r="N59" s="1"/>
      <c r="O59" s="1"/>
      <c r="P59" s="1"/>
      <c r="Q59" s="1"/>
      <c r="R59" s="1"/>
      <c r="S59" s="1"/>
      <c r="T59" s="1"/>
      <c r="U59" s="1"/>
      <c r="V59" s="1"/>
      <c r="W59" s="1"/>
      <c r="X59" s="1"/>
      <c r="Y59" s="1"/>
      <c r="Z59" s="1"/>
      <c r="AA59" s="1"/>
    </row>
    <row r="60" spans="2:27" x14ac:dyDescent="0.3">
      <c r="B60" s="1"/>
      <c r="C60" s="1"/>
      <c r="D60" s="1"/>
      <c r="E60" s="1"/>
      <c r="F60" s="1"/>
      <c r="G60" s="1"/>
      <c r="H60" s="1"/>
      <c r="I60" s="1"/>
      <c r="J60" s="1"/>
      <c r="K60" s="1"/>
      <c r="L60" s="1"/>
      <c r="M60" s="1"/>
      <c r="N60" s="1"/>
      <c r="O60" s="1"/>
      <c r="P60" s="1"/>
      <c r="Q60" s="1"/>
      <c r="R60" s="1"/>
      <c r="S60" s="1"/>
      <c r="T60" s="1"/>
      <c r="U60" s="1"/>
      <c r="V60" s="1"/>
      <c r="W60" s="1"/>
      <c r="X60" s="1"/>
      <c r="Y60" s="1"/>
      <c r="Z60" s="1"/>
      <c r="AA60" s="1"/>
    </row>
    <row r="61" spans="2:27" x14ac:dyDescent="0.3">
      <c r="B61" s="1"/>
      <c r="C61" s="1"/>
      <c r="D61" s="1"/>
      <c r="E61" s="1"/>
      <c r="F61" s="1"/>
      <c r="G61" s="1"/>
      <c r="H61" s="1"/>
      <c r="I61" s="1"/>
      <c r="J61" s="1"/>
      <c r="K61" s="1"/>
      <c r="L61" s="1"/>
      <c r="M61" s="1"/>
      <c r="N61" s="1"/>
      <c r="O61" s="1"/>
      <c r="P61" s="1"/>
      <c r="Q61" s="1"/>
      <c r="R61" s="1"/>
      <c r="S61" s="1"/>
      <c r="T61" s="1"/>
      <c r="U61" s="1"/>
      <c r="V61" s="1"/>
      <c r="W61" s="1"/>
      <c r="X61" s="1"/>
      <c r="Y61" s="1"/>
      <c r="Z61" s="1"/>
      <c r="AA61" s="1"/>
    </row>
    <row r="62" spans="2:27" x14ac:dyDescent="0.3">
      <c r="B62" s="1"/>
      <c r="C62" s="1"/>
      <c r="D62" s="1"/>
      <c r="E62" s="1"/>
      <c r="F62" s="1"/>
      <c r="G62" s="1"/>
      <c r="H62" s="1"/>
      <c r="I62" s="1"/>
      <c r="J62" s="1"/>
      <c r="K62" s="1"/>
      <c r="L62" s="1"/>
      <c r="M62" s="1"/>
      <c r="N62" s="1"/>
      <c r="O62" s="1"/>
      <c r="P62" s="1"/>
      <c r="Q62" s="1"/>
      <c r="R62" s="1"/>
      <c r="S62" s="1"/>
      <c r="T62" s="1"/>
      <c r="U62" s="1"/>
      <c r="V62" s="1"/>
      <c r="W62" s="1"/>
      <c r="X62" s="1"/>
      <c r="Y62" s="1"/>
      <c r="Z62" s="1"/>
      <c r="AA62" s="1"/>
    </row>
    <row r="63" spans="2:27" x14ac:dyDescent="0.3">
      <c r="B63" s="1"/>
      <c r="C63" s="1"/>
      <c r="D63" s="1"/>
      <c r="E63" s="1"/>
      <c r="F63" s="1"/>
      <c r="G63" s="1"/>
      <c r="H63" s="1"/>
      <c r="I63" s="1"/>
      <c r="J63" s="1"/>
      <c r="K63" s="1"/>
      <c r="L63" s="1"/>
      <c r="M63" s="1"/>
      <c r="N63" s="1"/>
      <c r="O63" s="1"/>
      <c r="P63" s="1"/>
      <c r="Q63" s="1"/>
      <c r="R63" s="1"/>
      <c r="S63" s="1"/>
      <c r="T63" s="1"/>
      <c r="U63" s="1"/>
      <c r="V63" s="1"/>
      <c r="W63" s="1"/>
      <c r="X63" s="1"/>
      <c r="Y63" s="1"/>
      <c r="Z63" s="1"/>
      <c r="AA63" s="1"/>
    </row>
    <row r="64" spans="2:27" x14ac:dyDescent="0.3">
      <c r="B64" s="1"/>
      <c r="C64" s="1"/>
      <c r="D64" s="1"/>
      <c r="E64" s="1"/>
      <c r="F64" s="1"/>
      <c r="G64" s="1"/>
      <c r="H64" s="1"/>
      <c r="I64" s="1"/>
      <c r="J64" s="1"/>
      <c r="K64" s="1"/>
      <c r="L64" s="1"/>
      <c r="M64" s="1"/>
      <c r="N64" s="1"/>
      <c r="O64" s="1"/>
      <c r="P64" s="1"/>
      <c r="Q64" s="1"/>
      <c r="R64" s="1"/>
      <c r="S64" s="1"/>
      <c r="T64" s="1"/>
      <c r="U64" s="1"/>
      <c r="V64" s="1"/>
      <c r="W64" s="1"/>
      <c r="X64" s="1"/>
      <c r="Y64" s="1"/>
      <c r="Z64" s="1"/>
      <c r="AA64" s="1"/>
    </row>
    <row r="65" spans="2:27" x14ac:dyDescent="0.3">
      <c r="B65" s="1"/>
      <c r="C65" s="1"/>
      <c r="D65" s="1"/>
      <c r="E65" s="1"/>
      <c r="F65" s="1"/>
      <c r="G65" s="1"/>
      <c r="H65" s="1"/>
      <c r="I65" s="1"/>
      <c r="J65" s="1"/>
      <c r="K65" s="1"/>
      <c r="L65" s="1"/>
      <c r="M65" s="1"/>
      <c r="N65" s="1"/>
      <c r="O65" s="1"/>
      <c r="P65" s="1"/>
      <c r="Q65" s="1"/>
      <c r="R65" s="1"/>
      <c r="S65" s="1"/>
      <c r="T65" s="1"/>
      <c r="U65" s="1"/>
      <c r="V65" s="1"/>
      <c r="W65" s="1"/>
      <c r="X65" s="1"/>
      <c r="Y65" s="1"/>
      <c r="Z65" s="1"/>
      <c r="AA65" s="1"/>
    </row>
    <row r="66" spans="2:27" x14ac:dyDescent="0.3">
      <c r="B66" s="1"/>
      <c r="C66" s="1"/>
      <c r="D66" s="1"/>
      <c r="E66" s="1"/>
      <c r="F66" s="1"/>
      <c r="G66" s="1"/>
      <c r="H66" s="1"/>
      <c r="I66" s="1"/>
      <c r="J66" s="1"/>
      <c r="K66" s="1"/>
      <c r="L66" s="1"/>
      <c r="M66" s="1"/>
      <c r="N66" s="1"/>
      <c r="O66" s="1"/>
      <c r="P66" s="1"/>
      <c r="Q66" s="1"/>
      <c r="R66" s="1"/>
      <c r="S66" s="1"/>
      <c r="T66" s="1"/>
      <c r="U66" s="1"/>
      <c r="V66" s="1"/>
      <c r="W66" s="1"/>
      <c r="X66" s="1"/>
      <c r="Y66" s="1"/>
      <c r="Z66" s="1"/>
      <c r="AA66" s="1"/>
    </row>
    <row r="67" spans="2:27" x14ac:dyDescent="0.3">
      <c r="B67" s="1"/>
      <c r="C67" s="1"/>
      <c r="D67" s="1"/>
      <c r="E67" s="1"/>
      <c r="F67" s="1"/>
      <c r="G67" s="1"/>
      <c r="H67" s="1"/>
      <c r="I67" s="1"/>
      <c r="J67" s="1"/>
      <c r="K67" s="1"/>
      <c r="L67" s="1"/>
      <c r="M67" s="1"/>
      <c r="N67" s="1"/>
      <c r="O67" s="1"/>
      <c r="P67" s="1"/>
      <c r="Q67" s="1"/>
      <c r="R67" s="1"/>
      <c r="S67" s="1"/>
      <c r="T67" s="1"/>
      <c r="U67" s="1"/>
      <c r="V67" s="1"/>
      <c r="W67" s="1"/>
      <c r="X67" s="1"/>
      <c r="Y67" s="1"/>
      <c r="Z67" s="1"/>
      <c r="AA67" s="1"/>
    </row>
    <row r="68" spans="2:27" x14ac:dyDescent="0.3">
      <c r="B68" s="1"/>
      <c r="C68" s="1"/>
      <c r="D68" s="1"/>
      <c r="E68" s="1"/>
      <c r="F68" s="1"/>
      <c r="G68" s="1"/>
      <c r="H68" s="1"/>
      <c r="I68" s="1"/>
      <c r="J68" s="1"/>
      <c r="K68" s="1"/>
      <c r="L68" s="1"/>
      <c r="M68" s="1"/>
      <c r="N68" s="1"/>
      <c r="O68" s="1"/>
      <c r="P68" s="1"/>
      <c r="Q68" s="1"/>
      <c r="R68" s="1"/>
      <c r="S68" s="1"/>
      <c r="T68" s="1"/>
      <c r="U68" s="1"/>
      <c r="V68" s="1"/>
      <c r="W68" s="1"/>
      <c r="X68" s="1"/>
      <c r="Y68" s="1"/>
      <c r="Z68" s="1"/>
      <c r="AA68" s="1"/>
    </row>
    <row r="69" spans="2:27" x14ac:dyDescent="0.3">
      <c r="B69" s="1"/>
      <c r="C69" s="1"/>
      <c r="D69" s="1"/>
      <c r="E69" s="1"/>
      <c r="F69" s="1"/>
      <c r="G69" s="1"/>
      <c r="H69" s="1"/>
      <c r="I69" s="1"/>
      <c r="J69" s="1"/>
      <c r="K69" s="1"/>
      <c r="L69" s="1"/>
      <c r="M69" s="1"/>
      <c r="N69" s="1"/>
      <c r="O69" s="1"/>
      <c r="P69" s="1"/>
      <c r="Q69" s="1"/>
      <c r="R69" s="1"/>
      <c r="S69" s="1"/>
      <c r="T69" s="1"/>
      <c r="U69" s="1"/>
      <c r="V69" s="1"/>
      <c r="W69" s="1"/>
      <c r="X69" s="1"/>
      <c r="Y69" s="1"/>
      <c r="Z69" s="1"/>
      <c r="AA69" s="1"/>
    </row>
    <row r="70" spans="2:27" x14ac:dyDescent="0.3">
      <c r="B70" s="1"/>
      <c r="C70" s="1"/>
      <c r="D70" s="1"/>
      <c r="E70" s="1"/>
      <c r="F70" s="1"/>
      <c r="G70" s="1"/>
      <c r="H70" s="1"/>
      <c r="I70" s="1"/>
      <c r="J70" s="1"/>
      <c r="K70" s="1"/>
      <c r="L70" s="1"/>
      <c r="M70" s="1"/>
      <c r="N70" s="1"/>
      <c r="O70" s="1"/>
      <c r="P70" s="1"/>
      <c r="Q70" s="1"/>
      <c r="R70" s="1"/>
      <c r="S70" s="1"/>
      <c r="T70" s="1"/>
      <c r="U70" s="1"/>
      <c r="V70" s="1"/>
      <c r="W70" s="1"/>
      <c r="X70" s="1"/>
      <c r="Y70" s="1"/>
      <c r="Z70" s="1"/>
      <c r="AA70" s="1"/>
    </row>
  </sheetData>
  <mergeCells count="25">
    <mergeCell ref="A16:A17"/>
    <mergeCell ref="C10:C11"/>
    <mergeCell ref="C12:C13"/>
    <mergeCell ref="C14:C15"/>
    <mergeCell ref="C16:C17"/>
    <mergeCell ref="C2:M2"/>
    <mergeCell ref="C3:M6"/>
    <mergeCell ref="A10:A11"/>
    <mergeCell ref="A12:A13"/>
    <mergeCell ref="A14:A15"/>
    <mergeCell ref="F10:F11"/>
    <mergeCell ref="F12:F13"/>
    <mergeCell ref="F14:F15"/>
    <mergeCell ref="F16:F17"/>
    <mergeCell ref="I10:I11"/>
    <mergeCell ref="I12:I13"/>
    <mergeCell ref="I14:I15"/>
    <mergeCell ref="I16:I17"/>
    <mergeCell ref="O10:O11"/>
    <mergeCell ref="O12:O13"/>
    <mergeCell ref="O14:O17"/>
    <mergeCell ref="L10:L11"/>
    <mergeCell ref="L12:L13"/>
    <mergeCell ref="L14:L15"/>
    <mergeCell ref="L16:L17"/>
  </mergeCells>
  <pageMargins left="0.7" right="0.7" top="0.75" bottom="0.75" header="0.3" footer="0.3"/>
  <drawing r:id="rId1"/>
  <legacyDrawing r:id="rId2"/>
  <controls>
    <mc:AlternateContent xmlns:mc="http://schemas.openxmlformats.org/markup-compatibility/2006">
      <mc:Choice Requires="x14">
        <control shapeId="1025" r:id="rId3" name="ScrollBar1">
          <controlPr defaultSize="0" autoLine="0" linkedCell="B10" r:id="rId4">
            <anchor moveWithCells="1">
              <from>
                <xdr:col>3</xdr:col>
                <xdr:colOff>15240</xdr:colOff>
                <xdr:row>9</xdr:row>
                <xdr:rowOff>114300</xdr:rowOff>
              </from>
              <to>
                <xdr:col>4</xdr:col>
                <xdr:colOff>45720</xdr:colOff>
                <xdr:row>10</xdr:row>
                <xdr:rowOff>83820</xdr:rowOff>
              </to>
            </anchor>
          </controlPr>
        </control>
      </mc:Choice>
      <mc:Fallback>
        <control shapeId="1025" r:id="rId3" name="ScrollBar1"/>
      </mc:Fallback>
    </mc:AlternateContent>
    <mc:AlternateContent xmlns:mc="http://schemas.openxmlformats.org/markup-compatibility/2006">
      <mc:Choice Requires="x14">
        <control shapeId="1026" r:id="rId5" name="ScrollBar2">
          <controlPr defaultSize="0" autoLine="0" linkedCell="B12" r:id="rId6">
            <anchor moveWithCells="1">
              <from>
                <xdr:col>2</xdr:col>
                <xdr:colOff>594360</xdr:colOff>
                <xdr:row>11</xdr:row>
                <xdr:rowOff>114300</xdr:rowOff>
              </from>
              <to>
                <xdr:col>4</xdr:col>
                <xdr:colOff>30480</xdr:colOff>
                <xdr:row>12</xdr:row>
                <xdr:rowOff>76200</xdr:rowOff>
              </to>
            </anchor>
          </controlPr>
        </control>
      </mc:Choice>
      <mc:Fallback>
        <control shapeId="1026" r:id="rId5" name="ScrollBar2"/>
      </mc:Fallback>
    </mc:AlternateContent>
    <mc:AlternateContent xmlns:mc="http://schemas.openxmlformats.org/markup-compatibility/2006">
      <mc:Choice Requires="x14">
        <control shapeId="1027" r:id="rId7" name="ScrollBar3">
          <controlPr defaultSize="0" autoLine="0" linkedCell="B14" r:id="rId8">
            <anchor moveWithCells="1">
              <from>
                <xdr:col>3</xdr:col>
                <xdr:colOff>0</xdr:colOff>
                <xdr:row>13</xdr:row>
                <xdr:rowOff>129540</xdr:rowOff>
              </from>
              <to>
                <xdr:col>4</xdr:col>
                <xdr:colOff>15240</xdr:colOff>
                <xdr:row>14</xdr:row>
                <xdr:rowOff>114300</xdr:rowOff>
              </to>
            </anchor>
          </controlPr>
        </control>
      </mc:Choice>
      <mc:Fallback>
        <control shapeId="1027" r:id="rId7" name="ScrollBar3"/>
      </mc:Fallback>
    </mc:AlternateContent>
    <mc:AlternateContent xmlns:mc="http://schemas.openxmlformats.org/markup-compatibility/2006">
      <mc:Choice Requires="x14">
        <control shapeId="1028" r:id="rId9" name="ScrollBar4">
          <controlPr defaultSize="0" autoLine="0" linkedCell="B16" r:id="rId10">
            <anchor moveWithCells="1">
              <from>
                <xdr:col>3</xdr:col>
                <xdr:colOff>7620</xdr:colOff>
                <xdr:row>15</xdr:row>
                <xdr:rowOff>137160</xdr:rowOff>
              </from>
              <to>
                <xdr:col>4</xdr:col>
                <xdr:colOff>0</xdr:colOff>
                <xdr:row>16</xdr:row>
                <xdr:rowOff>129540</xdr:rowOff>
              </to>
            </anchor>
          </controlPr>
        </control>
      </mc:Choice>
      <mc:Fallback>
        <control shapeId="1028" r:id="rId9" name="ScrollBar4"/>
      </mc:Fallback>
    </mc:AlternateContent>
    <mc:AlternateContent xmlns:mc="http://schemas.openxmlformats.org/markup-compatibility/2006">
      <mc:Choice Requires="x14">
        <control shapeId="1029" r:id="rId11" name="ScrollBar5">
          <controlPr defaultSize="0" autoLine="0" linkedCell="E10" r:id="rId12">
            <anchor moveWithCells="1">
              <from>
                <xdr:col>6</xdr:col>
                <xdr:colOff>0</xdr:colOff>
                <xdr:row>9</xdr:row>
                <xdr:rowOff>99060</xdr:rowOff>
              </from>
              <to>
                <xdr:col>7</xdr:col>
                <xdr:colOff>7620</xdr:colOff>
                <xdr:row>10</xdr:row>
                <xdr:rowOff>106680</xdr:rowOff>
              </to>
            </anchor>
          </controlPr>
        </control>
      </mc:Choice>
      <mc:Fallback>
        <control shapeId="1029" r:id="rId11" name="ScrollBar5"/>
      </mc:Fallback>
    </mc:AlternateContent>
    <mc:AlternateContent xmlns:mc="http://schemas.openxmlformats.org/markup-compatibility/2006">
      <mc:Choice Requires="x14">
        <control shapeId="1030" r:id="rId13" name="ScrollBar6">
          <controlPr defaultSize="0" autoLine="0" linkedCell="E12" r:id="rId14">
            <anchor moveWithCells="1">
              <from>
                <xdr:col>6</xdr:col>
                <xdr:colOff>7620</xdr:colOff>
                <xdr:row>11</xdr:row>
                <xdr:rowOff>129540</xdr:rowOff>
              </from>
              <to>
                <xdr:col>7</xdr:col>
                <xdr:colOff>7620</xdr:colOff>
                <xdr:row>12</xdr:row>
                <xdr:rowOff>114300</xdr:rowOff>
              </to>
            </anchor>
          </controlPr>
        </control>
      </mc:Choice>
      <mc:Fallback>
        <control shapeId="1030" r:id="rId13" name="ScrollBar6"/>
      </mc:Fallback>
    </mc:AlternateContent>
    <mc:AlternateContent xmlns:mc="http://schemas.openxmlformats.org/markup-compatibility/2006">
      <mc:Choice Requires="x14">
        <control shapeId="1031" r:id="rId15" name="ScrollBar7">
          <controlPr defaultSize="0" autoLine="0" linkedCell="E14" r:id="rId16">
            <anchor moveWithCells="1">
              <from>
                <xdr:col>5</xdr:col>
                <xdr:colOff>594360</xdr:colOff>
                <xdr:row>13</xdr:row>
                <xdr:rowOff>129540</xdr:rowOff>
              </from>
              <to>
                <xdr:col>7</xdr:col>
                <xdr:colOff>0</xdr:colOff>
                <xdr:row>14</xdr:row>
                <xdr:rowOff>91440</xdr:rowOff>
              </to>
            </anchor>
          </controlPr>
        </control>
      </mc:Choice>
      <mc:Fallback>
        <control shapeId="1031" r:id="rId15" name="ScrollBar7"/>
      </mc:Fallback>
    </mc:AlternateContent>
    <mc:AlternateContent xmlns:mc="http://schemas.openxmlformats.org/markup-compatibility/2006">
      <mc:Choice Requires="x14">
        <control shapeId="1032" r:id="rId17" name="ScrollBar8">
          <controlPr defaultSize="0" autoLine="0" linkedCell="E16" r:id="rId18">
            <anchor moveWithCells="1">
              <from>
                <xdr:col>5</xdr:col>
                <xdr:colOff>601980</xdr:colOff>
                <xdr:row>15</xdr:row>
                <xdr:rowOff>106680</xdr:rowOff>
              </from>
              <to>
                <xdr:col>6</xdr:col>
                <xdr:colOff>784860</xdr:colOff>
                <xdr:row>16</xdr:row>
                <xdr:rowOff>83820</xdr:rowOff>
              </to>
            </anchor>
          </controlPr>
        </control>
      </mc:Choice>
      <mc:Fallback>
        <control shapeId="1032" r:id="rId17" name="ScrollBar8"/>
      </mc:Fallback>
    </mc:AlternateContent>
    <mc:AlternateContent xmlns:mc="http://schemas.openxmlformats.org/markup-compatibility/2006">
      <mc:Choice Requires="x14">
        <control shapeId="1033" r:id="rId19" name="CommandButton1">
          <controlPr defaultSize="0" autoLine="0" r:id="rId20">
            <anchor moveWithCells="1">
              <from>
                <xdr:col>3</xdr:col>
                <xdr:colOff>76200</xdr:colOff>
                <xdr:row>18</xdr:row>
                <xdr:rowOff>175260</xdr:rowOff>
              </from>
              <to>
                <xdr:col>5</xdr:col>
                <xdr:colOff>472440</xdr:colOff>
                <xdr:row>21</xdr:row>
                <xdr:rowOff>83820</xdr:rowOff>
              </to>
            </anchor>
          </controlPr>
        </control>
      </mc:Choice>
      <mc:Fallback>
        <control shapeId="1033" r:id="rId19" name="CommandButton1"/>
      </mc:Fallback>
    </mc:AlternateContent>
    <mc:AlternateContent xmlns:mc="http://schemas.openxmlformats.org/markup-compatibility/2006">
      <mc:Choice Requires="x14">
        <control shapeId="1034" r:id="rId21" name="CommandButton2">
          <controlPr defaultSize="0" autoLine="0" r:id="rId22">
            <anchor moveWithCells="1">
              <from>
                <xdr:col>9</xdr:col>
                <xdr:colOff>198120</xdr:colOff>
                <xdr:row>18</xdr:row>
                <xdr:rowOff>114300</xdr:rowOff>
              </from>
              <to>
                <xdr:col>12</xdr:col>
                <xdr:colOff>76200</xdr:colOff>
                <xdr:row>21</xdr:row>
                <xdr:rowOff>68580</xdr:rowOff>
              </to>
            </anchor>
          </controlPr>
        </control>
      </mc:Choice>
      <mc:Fallback>
        <control shapeId="1034" r:id="rId21" name="CommandButton2"/>
      </mc:Fallback>
    </mc:AlternateContent>
    <mc:AlternateContent xmlns:mc="http://schemas.openxmlformats.org/markup-compatibility/2006">
      <mc:Choice Requires="x14">
        <control shapeId="1035" r:id="rId23" name="ScrollBar9">
          <controlPr defaultSize="0" autoLine="0" linkedCell="H10" r:id="rId24">
            <anchor moveWithCells="1">
              <from>
                <xdr:col>8</xdr:col>
                <xdr:colOff>609600</xdr:colOff>
                <xdr:row>9</xdr:row>
                <xdr:rowOff>114300</xdr:rowOff>
              </from>
              <to>
                <xdr:col>10</xdr:col>
                <xdr:colOff>7620</xdr:colOff>
                <xdr:row>10</xdr:row>
                <xdr:rowOff>121920</xdr:rowOff>
              </to>
            </anchor>
          </controlPr>
        </control>
      </mc:Choice>
      <mc:Fallback>
        <control shapeId="1035" r:id="rId23" name="ScrollBar9"/>
      </mc:Fallback>
    </mc:AlternateContent>
    <mc:AlternateContent xmlns:mc="http://schemas.openxmlformats.org/markup-compatibility/2006">
      <mc:Choice Requires="x14">
        <control shapeId="1036" r:id="rId25" name="ScrollBar10">
          <controlPr defaultSize="0" autoLine="0" linkedCell="H12" r:id="rId26">
            <anchor moveWithCells="1">
              <from>
                <xdr:col>8</xdr:col>
                <xdr:colOff>609600</xdr:colOff>
                <xdr:row>11</xdr:row>
                <xdr:rowOff>99060</xdr:rowOff>
              </from>
              <to>
                <xdr:col>10</xdr:col>
                <xdr:colOff>45720</xdr:colOff>
                <xdr:row>12</xdr:row>
                <xdr:rowOff>106680</xdr:rowOff>
              </to>
            </anchor>
          </controlPr>
        </control>
      </mc:Choice>
      <mc:Fallback>
        <control shapeId="1036" r:id="rId25" name="ScrollBar10"/>
      </mc:Fallback>
    </mc:AlternateContent>
    <mc:AlternateContent xmlns:mc="http://schemas.openxmlformats.org/markup-compatibility/2006">
      <mc:Choice Requires="x14">
        <control shapeId="1037" r:id="rId27" name="ScrollBar11">
          <controlPr defaultSize="0" autoLine="0" linkedCell="H14" r:id="rId28">
            <anchor moveWithCells="1">
              <from>
                <xdr:col>9</xdr:col>
                <xdr:colOff>0</xdr:colOff>
                <xdr:row>13</xdr:row>
                <xdr:rowOff>121920</xdr:rowOff>
              </from>
              <to>
                <xdr:col>10</xdr:col>
                <xdr:colOff>38100</xdr:colOff>
                <xdr:row>14</xdr:row>
                <xdr:rowOff>121920</xdr:rowOff>
              </to>
            </anchor>
          </controlPr>
        </control>
      </mc:Choice>
      <mc:Fallback>
        <control shapeId="1037" r:id="rId27" name="ScrollBar11"/>
      </mc:Fallback>
    </mc:AlternateContent>
    <mc:AlternateContent xmlns:mc="http://schemas.openxmlformats.org/markup-compatibility/2006">
      <mc:Choice Requires="x14">
        <control shapeId="1038" r:id="rId29" name="ScrollBar12">
          <controlPr defaultSize="0" autoLine="0" linkedCell="H16" r:id="rId30">
            <anchor moveWithCells="1">
              <from>
                <xdr:col>9</xdr:col>
                <xdr:colOff>22860</xdr:colOff>
                <xdr:row>15</xdr:row>
                <xdr:rowOff>129540</xdr:rowOff>
              </from>
              <to>
                <xdr:col>10</xdr:col>
                <xdr:colOff>53340</xdr:colOff>
                <xdr:row>16</xdr:row>
                <xdr:rowOff>129540</xdr:rowOff>
              </to>
            </anchor>
          </controlPr>
        </control>
      </mc:Choice>
      <mc:Fallback>
        <control shapeId="1038" r:id="rId29" name="ScrollBar12"/>
      </mc:Fallback>
    </mc:AlternateContent>
    <mc:AlternateContent xmlns:mc="http://schemas.openxmlformats.org/markup-compatibility/2006">
      <mc:Choice Requires="x14">
        <control shapeId="1039" r:id="rId31" name="ScrollBar13">
          <controlPr defaultSize="0" autoLine="0" linkedCell="K10" r:id="rId32">
            <anchor moveWithCells="1">
              <from>
                <xdr:col>12</xdr:col>
                <xdr:colOff>15240</xdr:colOff>
                <xdr:row>9</xdr:row>
                <xdr:rowOff>83820</xdr:rowOff>
              </from>
              <to>
                <xdr:col>13</xdr:col>
                <xdr:colOff>91440</xdr:colOff>
                <xdr:row>10</xdr:row>
                <xdr:rowOff>99060</xdr:rowOff>
              </to>
            </anchor>
          </controlPr>
        </control>
      </mc:Choice>
      <mc:Fallback>
        <control shapeId="1039" r:id="rId31" name="ScrollBar13"/>
      </mc:Fallback>
    </mc:AlternateContent>
    <mc:AlternateContent xmlns:mc="http://schemas.openxmlformats.org/markup-compatibility/2006">
      <mc:Choice Requires="x14">
        <control shapeId="1040" r:id="rId33" name="ScrollBar14">
          <controlPr defaultSize="0" autoLine="0" linkedCell="K12" r:id="rId34">
            <anchor moveWithCells="1">
              <from>
                <xdr:col>12</xdr:col>
                <xdr:colOff>15240</xdr:colOff>
                <xdr:row>11</xdr:row>
                <xdr:rowOff>99060</xdr:rowOff>
              </from>
              <to>
                <xdr:col>13</xdr:col>
                <xdr:colOff>83820</xdr:colOff>
                <xdr:row>12</xdr:row>
                <xdr:rowOff>114300</xdr:rowOff>
              </to>
            </anchor>
          </controlPr>
        </control>
      </mc:Choice>
      <mc:Fallback>
        <control shapeId="1040" r:id="rId33" name="ScrollBar14"/>
      </mc:Fallback>
    </mc:AlternateContent>
    <mc:AlternateContent xmlns:mc="http://schemas.openxmlformats.org/markup-compatibility/2006">
      <mc:Choice Requires="x14">
        <control shapeId="1041" r:id="rId35" name="ScrollBar15">
          <controlPr defaultSize="0" autoLine="0" linkedCell="K14" r:id="rId36">
            <anchor moveWithCells="1">
              <from>
                <xdr:col>12</xdr:col>
                <xdr:colOff>15240</xdr:colOff>
                <xdr:row>13</xdr:row>
                <xdr:rowOff>83820</xdr:rowOff>
              </from>
              <to>
                <xdr:col>13</xdr:col>
                <xdr:colOff>99060</xdr:colOff>
                <xdr:row>14</xdr:row>
                <xdr:rowOff>83820</xdr:rowOff>
              </to>
            </anchor>
          </controlPr>
        </control>
      </mc:Choice>
      <mc:Fallback>
        <control shapeId="1041" r:id="rId35" name="ScrollBar15"/>
      </mc:Fallback>
    </mc:AlternateContent>
    <mc:AlternateContent xmlns:mc="http://schemas.openxmlformats.org/markup-compatibility/2006">
      <mc:Choice Requires="x14">
        <control shapeId="1042" r:id="rId37" name="ScrollBar16">
          <controlPr defaultSize="0" autoLine="0" linkedCell="K16" r:id="rId38">
            <anchor moveWithCells="1">
              <from>
                <xdr:col>12</xdr:col>
                <xdr:colOff>15240</xdr:colOff>
                <xdr:row>15</xdr:row>
                <xdr:rowOff>99060</xdr:rowOff>
              </from>
              <to>
                <xdr:col>13</xdr:col>
                <xdr:colOff>76200</xdr:colOff>
                <xdr:row>16</xdr:row>
                <xdr:rowOff>121920</xdr:rowOff>
              </to>
            </anchor>
          </controlPr>
        </control>
      </mc:Choice>
      <mc:Fallback>
        <control shapeId="1042" r:id="rId37" name="ScrollBar16"/>
      </mc:Fallback>
    </mc:AlternateContent>
    <mc:AlternateContent xmlns:mc="http://schemas.openxmlformats.org/markup-compatibility/2006">
      <mc:Choice Requires="x14">
        <control shapeId="1043" r:id="rId39" name="ScrollBar17">
          <controlPr defaultSize="0" autoLine="0" linkedCell="N10" r:id="rId40">
            <anchor moveWithCells="1">
              <from>
                <xdr:col>15</xdr:col>
                <xdr:colOff>0</xdr:colOff>
                <xdr:row>9</xdr:row>
                <xdr:rowOff>99060</xdr:rowOff>
              </from>
              <to>
                <xdr:col>16</xdr:col>
                <xdr:colOff>312420</xdr:colOff>
                <xdr:row>10</xdr:row>
                <xdr:rowOff>121920</xdr:rowOff>
              </to>
            </anchor>
          </controlPr>
        </control>
      </mc:Choice>
      <mc:Fallback>
        <control shapeId="1043" r:id="rId39" name="ScrollBar17"/>
      </mc:Fallback>
    </mc:AlternateContent>
    <mc:AlternateContent xmlns:mc="http://schemas.openxmlformats.org/markup-compatibility/2006">
      <mc:Choice Requires="x14">
        <control shapeId="1044" r:id="rId41" name="ScrollBar18">
          <controlPr defaultSize="0" autoLine="0" autoPict="0" linkedCell="N12" r:id="rId42">
            <anchor moveWithCells="1">
              <from>
                <xdr:col>14</xdr:col>
                <xdr:colOff>891540</xdr:colOff>
                <xdr:row>11</xdr:row>
                <xdr:rowOff>129540</xdr:rowOff>
              </from>
              <to>
                <xdr:col>16</xdr:col>
                <xdr:colOff>289560</xdr:colOff>
                <xdr:row>12</xdr:row>
                <xdr:rowOff>167640</xdr:rowOff>
              </to>
            </anchor>
          </controlPr>
        </control>
      </mc:Choice>
      <mc:Fallback>
        <control shapeId="1044" r:id="rId41" name="ScrollBar18"/>
      </mc:Fallback>
    </mc:AlternateContent>
    <mc:AlternateContent xmlns:mc="http://schemas.openxmlformats.org/markup-compatibility/2006">
      <mc:Choice Requires="x14">
        <control shapeId="1045" r:id="rId43" name="ScrollBar19">
          <controlPr defaultSize="0" autoLine="0" linkedCell="N14" r:id="rId44">
            <anchor moveWithCells="1">
              <from>
                <xdr:col>14</xdr:col>
                <xdr:colOff>876300</xdr:colOff>
                <xdr:row>14</xdr:row>
                <xdr:rowOff>99060</xdr:rowOff>
              </from>
              <to>
                <xdr:col>16</xdr:col>
                <xdr:colOff>342900</xdr:colOff>
                <xdr:row>15</xdr:row>
                <xdr:rowOff>121920</xdr:rowOff>
              </to>
            </anchor>
          </controlPr>
        </control>
      </mc:Choice>
      <mc:Fallback>
        <control shapeId="1045" r:id="rId43" name="ScrollBar19"/>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039F-F008-4026-9F0D-55A652CEAC58}">
  <sheetPr codeName="Sheet1"/>
  <dimension ref="A1:AJ37"/>
  <sheetViews>
    <sheetView topLeftCell="A19" workbookViewId="0">
      <selection activeCell="A28" sqref="A28"/>
    </sheetView>
  </sheetViews>
  <sheetFormatPr defaultRowHeight="14.4" x14ac:dyDescent="0.3"/>
  <cols>
    <col min="1" max="1" width="19.21875" style="10" bestFit="1" customWidth="1"/>
    <col min="2" max="2" width="12.77734375" style="10" bestFit="1" customWidth="1"/>
    <col min="3" max="3" width="14.33203125" style="10" bestFit="1" customWidth="1"/>
    <col min="4" max="4" width="13.33203125" style="10" bestFit="1" customWidth="1"/>
    <col min="5" max="5" width="15.109375" style="10" bestFit="1" customWidth="1"/>
    <col min="6" max="36" width="8.88671875" style="10"/>
  </cols>
  <sheetData>
    <row r="1" spans="1:5" x14ac:dyDescent="0.3">
      <c r="A1" s="21" t="s">
        <v>9</v>
      </c>
    </row>
    <row r="3" spans="1:5" x14ac:dyDescent="0.3">
      <c r="A3" s="13" t="s">
        <v>10</v>
      </c>
      <c r="B3" s="13"/>
    </row>
    <row r="4" spans="1:5" x14ac:dyDescent="0.3">
      <c r="A4" s="13" t="s">
        <v>11</v>
      </c>
      <c r="B4" s="14">
        <f>Interface!O10</f>
        <v>0.37</v>
      </c>
      <c r="C4" s="22">
        <f>B4</f>
        <v>0.37</v>
      </c>
    </row>
    <row r="5" spans="1:5" x14ac:dyDescent="0.3">
      <c r="A5" s="13" t="s">
        <v>12</v>
      </c>
      <c r="B5" s="14">
        <f>Interface!O12</f>
        <v>0.31</v>
      </c>
      <c r="C5" s="22">
        <f>B5</f>
        <v>0.31</v>
      </c>
    </row>
    <row r="6" spans="1:5" x14ac:dyDescent="0.3">
      <c r="A6" s="13" t="s">
        <v>13</v>
      </c>
      <c r="B6" s="14">
        <f>Interface!O14</f>
        <v>0.32</v>
      </c>
      <c r="C6" s="22">
        <f>B6</f>
        <v>0.32</v>
      </c>
    </row>
    <row r="8" spans="1:5" x14ac:dyDescent="0.3">
      <c r="A8" s="13" t="s">
        <v>14</v>
      </c>
      <c r="B8" s="13" t="s">
        <v>11</v>
      </c>
      <c r="C8" s="13" t="s">
        <v>12</v>
      </c>
      <c r="D8" s="13" t="s">
        <v>17</v>
      </c>
      <c r="E8" s="13" t="s">
        <v>18</v>
      </c>
    </row>
    <row r="9" spans="1:5" x14ac:dyDescent="0.3">
      <c r="A9" s="13" t="str">
        <f>Interface!C9</f>
        <v>Acura</v>
      </c>
      <c r="B9" s="13">
        <f>Interface!C10</f>
        <v>5400</v>
      </c>
      <c r="C9" s="13">
        <f>Interface!C12</f>
        <v>6</v>
      </c>
      <c r="D9" s="13">
        <f>Interface!C14</f>
        <v>8</v>
      </c>
      <c r="E9" s="13">
        <f>Interface!C16</f>
        <v>5</v>
      </c>
    </row>
    <row r="10" spans="1:5" x14ac:dyDescent="0.3">
      <c r="A10" s="13" t="str">
        <f>Interface!F9</f>
        <v>Ford</v>
      </c>
      <c r="B10" s="13">
        <f>Interface!F10</f>
        <v>4400</v>
      </c>
      <c r="C10" s="13">
        <f>Interface!F12</f>
        <v>7</v>
      </c>
      <c r="D10" s="13">
        <f>Interface!F14</f>
        <v>8</v>
      </c>
      <c r="E10" s="13">
        <f>Interface!F16</f>
        <v>5</v>
      </c>
    </row>
    <row r="11" spans="1:5" x14ac:dyDescent="0.3">
      <c r="A11" s="13" t="str">
        <f>Interface!I9</f>
        <v>Chevy</v>
      </c>
      <c r="B11" s="13">
        <f>Interface!I10</f>
        <v>5500</v>
      </c>
      <c r="C11" s="13">
        <f>Interface!I12</f>
        <v>7</v>
      </c>
      <c r="D11" s="13">
        <f>Interface!I14</f>
        <v>4</v>
      </c>
      <c r="E11" s="13">
        <f>Interface!I16</f>
        <v>2</v>
      </c>
    </row>
    <row r="12" spans="1:5" x14ac:dyDescent="0.3">
      <c r="A12" s="13" t="str">
        <f>Interface!L9</f>
        <v>Gm</v>
      </c>
      <c r="B12" s="13">
        <f>Interface!L10</f>
        <v>5100</v>
      </c>
      <c r="C12" s="13">
        <f>Interface!L12</f>
        <v>3</v>
      </c>
      <c r="D12" s="13">
        <f>Interface!L14</f>
        <v>9</v>
      </c>
      <c r="E12" s="13">
        <f>Interface!L16</f>
        <v>6</v>
      </c>
    </row>
    <row r="13" spans="1:5" x14ac:dyDescent="0.3">
      <c r="A13" s="13" t="s">
        <v>15</v>
      </c>
      <c r="B13" s="13">
        <v>12000</v>
      </c>
      <c r="C13" s="13">
        <v>10</v>
      </c>
      <c r="D13" s="13">
        <v>10</v>
      </c>
      <c r="E13" s="13">
        <v>7</v>
      </c>
    </row>
    <row r="14" spans="1:5" x14ac:dyDescent="0.3">
      <c r="A14" s="13" t="s">
        <v>16</v>
      </c>
      <c r="B14" s="13">
        <v>0</v>
      </c>
      <c r="C14" s="13">
        <v>1</v>
      </c>
      <c r="D14" s="13">
        <v>1</v>
      </c>
      <c r="E14" s="13">
        <v>1</v>
      </c>
    </row>
    <row r="16" spans="1:5" x14ac:dyDescent="0.3">
      <c r="A16" s="13" t="s">
        <v>30</v>
      </c>
      <c r="B16" s="13" t="s">
        <v>11</v>
      </c>
      <c r="C16" s="13" t="s">
        <v>12</v>
      </c>
      <c r="D16" s="13" t="s">
        <v>17</v>
      </c>
      <c r="E16" s="13" t="s">
        <v>18</v>
      </c>
    </row>
    <row r="17" spans="1:5" x14ac:dyDescent="0.3">
      <c r="A17" s="13" t="str">
        <f>A9</f>
        <v>Acura</v>
      </c>
      <c r="B17" s="16">
        <f>(B9)/(12000-0)*100</f>
        <v>45</v>
      </c>
      <c r="C17" s="13">
        <f>C9/10*100</f>
        <v>60</v>
      </c>
      <c r="D17" s="13">
        <f t="shared" ref="D17" si="0">D9/10*100</f>
        <v>80</v>
      </c>
      <c r="E17" s="16">
        <f>E9/7*100</f>
        <v>71.428571428571431</v>
      </c>
    </row>
    <row r="18" spans="1:5" x14ac:dyDescent="0.3">
      <c r="A18" s="13" t="str">
        <f>A10</f>
        <v>Ford</v>
      </c>
      <c r="B18" s="16">
        <f>(B10)/(12000-0)*100</f>
        <v>36.666666666666664</v>
      </c>
      <c r="C18" s="13">
        <f t="shared" ref="C18:D18" si="1">C10/10*100</f>
        <v>70</v>
      </c>
      <c r="D18" s="13">
        <f t="shared" si="1"/>
        <v>80</v>
      </c>
      <c r="E18" s="16">
        <f t="shared" ref="E18:E20" si="2">E10/7*100</f>
        <v>71.428571428571431</v>
      </c>
    </row>
    <row r="19" spans="1:5" x14ac:dyDescent="0.3">
      <c r="A19" s="13" t="str">
        <f>A11</f>
        <v>Chevy</v>
      </c>
      <c r="B19" s="16">
        <f>(B11)/(12000-0)*100</f>
        <v>45.833333333333329</v>
      </c>
      <c r="C19" s="13">
        <f t="shared" ref="C19:D19" si="3">C11/10*100</f>
        <v>70</v>
      </c>
      <c r="D19" s="13">
        <f t="shared" si="3"/>
        <v>40</v>
      </c>
      <c r="E19" s="16">
        <f t="shared" si="2"/>
        <v>28.571428571428569</v>
      </c>
    </row>
    <row r="20" spans="1:5" x14ac:dyDescent="0.3">
      <c r="A20" s="13" t="str">
        <f>A12</f>
        <v>Gm</v>
      </c>
      <c r="B20" s="16">
        <f>(B12)/(12000-0)*100</f>
        <v>42.5</v>
      </c>
      <c r="C20" s="13">
        <f t="shared" ref="C20:D20" si="4">C12/10*100</f>
        <v>30</v>
      </c>
      <c r="D20" s="13">
        <f t="shared" si="4"/>
        <v>90</v>
      </c>
      <c r="E20" s="16">
        <f t="shared" si="2"/>
        <v>85.714285714285708</v>
      </c>
    </row>
    <row r="22" spans="1:5" x14ac:dyDescent="0.3">
      <c r="A22" s="13" t="s">
        <v>19</v>
      </c>
      <c r="B22" s="13"/>
      <c r="C22" s="13"/>
      <c r="D22" s="13"/>
      <c r="E22" s="13"/>
    </row>
    <row r="23" spans="1:5" x14ac:dyDescent="0.3">
      <c r="A23" s="13" t="str">
        <f>A17</f>
        <v>Acura</v>
      </c>
      <c r="B23" s="15">
        <f>B17*$C$4</f>
        <v>16.649999999999999</v>
      </c>
      <c r="C23" s="15">
        <f>C17*$C$5</f>
        <v>18.600000000000001</v>
      </c>
      <c r="D23" s="15">
        <f>D17*0.75*$C$6</f>
        <v>19.2</v>
      </c>
      <c r="E23" s="15">
        <f>E17*0.25*$B$6</f>
        <v>5.7142857142857144</v>
      </c>
    </row>
    <row r="24" spans="1:5" x14ac:dyDescent="0.3">
      <c r="A24" s="13" t="str">
        <f>A18</f>
        <v>Ford</v>
      </c>
      <c r="B24" s="15">
        <f t="shared" ref="B24:B26" si="5">B18*$C$4</f>
        <v>13.566666666666666</v>
      </c>
      <c r="C24" s="15">
        <f t="shared" ref="C24:C26" si="6">C18*$C$5</f>
        <v>21.7</v>
      </c>
      <c r="D24" s="15">
        <f t="shared" ref="D24:D26" si="7">D18*0.75*$C$6</f>
        <v>19.2</v>
      </c>
      <c r="E24" s="15">
        <f t="shared" ref="E24:E26" si="8">E18*0.25*$B$6</f>
        <v>5.7142857142857144</v>
      </c>
    </row>
    <row r="25" spans="1:5" x14ac:dyDescent="0.3">
      <c r="A25" s="13" t="str">
        <f>A19</f>
        <v>Chevy</v>
      </c>
      <c r="B25" s="15">
        <f t="shared" si="5"/>
        <v>16.958333333333332</v>
      </c>
      <c r="C25" s="15">
        <f t="shared" si="6"/>
        <v>21.7</v>
      </c>
      <c r="D25" s="15">
        <f t="shared" si="7"/>
        <v>9.6</v>
      </c>
      <c r="E25" s="15">
        <f t="shared" si="8"/>
        <v>2.2857142857142856</v>
      </c>
    </row>
    <row r="26" spans="1:5" x14ac:dyDescent="0.3">
      <c r="A26" s="13" t="str">
        <f>A20</f>
        <v>Gm</v>
      </c>
      <c r="B26" s="15">
        <f t="shared" si="5"/>
        <v>15.725</v>
      </c>
      <c r="C26" s="15">
        <f t="shared" si="6"/>
        <v>9.3000000000000007</v>
      </c>
      <c r="D26" s="15">
        <f t="shared" si="7"/>
        <v>21.6</v>
      </c>
      <c r="E26" s="15">
        <f t="shared" si="8"/>
        <v>6.8571428571428568</v>
      </c>
    </row>
    <row r="28" spans="1:5" x14ac:dyDescent="0.3">
      <c r="A28" s="13" t="s">
        <v>24</v>
      </c>
      <c r="B28" s="13" t="s">
        <v>11</v>
      </c>
      <c r="C28" s="13" t="s">
        <v>20</v>
      </c>
      <c r="D28" s="13" t="s">
        <v>21</v>
      </c>
      <c r="E28" s="13" t="s">
        <v>22</v>
      </c>
    </row>
    <row r="29" spans="1:5" x14ac:dyDescent="0.3">
      <c r="A29" s="13" t="str">
        <f>Interface!C9</f>
        <v>Acura</v>
      </c>
      <c r="B29" s="15">
        <f>B23</f>
        <v>16.649999999999999</v>
      </c>
      <c r="C29" s="15">
        <f>C23</f>
        <v>18.600000000000001</v>
      </c>
      <c r="D29" s="15">
        <f>SUM(D23:E23)</f>
        <v>24.914285714285715</v>
      </c>
      <c r="E29" s="15">
        <f>SUM(B29:D29)</f>
        <v>60.164285714285711</v>
      </c>
    </row>
    <row r="30" spans="1:5" x14ac:dyDescent="0.3">
      <c r="A30" s="13" t="str">
        <f>Interface!F9</f>
        <v>Ford</v>
      </c>
      <c r="B30" s="15">
        <f t="shared" ref="B30:C30" si="9">B24</f>
        <v>13.566666666666666</v>
      </c>
      <c r="C30" s="15">
        <f t="shared" si="9"/>
        <v>21.7</v>
      </c>
      <c r="D30" s="15">
        <f>SUM(D24:E24)</f>
        <v>24.914285714285715</v>
      </c>
      <c r="E30" s="15">
        <f t="shared" ref="E30:E32" si="10">SUM(B30:D30)</f>
        <v>60.180952380952377</v>
      </c>
    </row>
    <row r="31" spans="1:5" x14ac:dyDescent="0.3">
      <c r="A31" s="13" t="str">
        <f>Interface!I9</f>
        <v>Chevy</v>
      </c>
      <c r="B31" s="15">
        <f t="shared" ref="B31:C31" si="11">B25</f>
        <v>16.958333333333332</v>
      </c>
      <c r="C31" s="15">
        <f t="shared" si="11"/>
        <v>21.7</v>
      </c>
      <c r="D31" s="15">
        <f>SUM(D25:E25)</f>
        <v>11.885714285714286</v>
      </c>
      <c r="E31" s="15">
        <f t="shared" si="10"/>
        <v>50.544047619047618</v>
      </c>
    </row>
    <row r="32" spans="1:5" x14ac:dyDescent="0.3">
      <c r="A32" s="13" t="str">
        <f>Interface!L9</f>
        <v>Gm</v>
      </c>
      <c r="B32" s="15">
        <f t="shared" ref="B32:C32" si="12">B26</f>
        <v>15.725</v>
      </c>
      <c r="C32" s="15">
        <f t="shared" si="12"/>
        <v>9.3000000000000007</v>
      </c>
      <c r="D32" s="15">
        <f>SUM(D26:E26)</f>
        <v>28.457142857142859</v>
      </c>
      <c r="E32" s="15">
        <f t="shared" si="10"/>
        <v>53.482142857142861</v>
      </c>
    </row>
    <row r="34" spans="1:6" x14ac:dyDescent="0.3">
      <c r="A34" s="13" t="s">
        <v>23</v>
      </c>
      <c r="B34" s="13" t="str">
        <f>_xlfn.XLOOKUP(C34,E29:E32,A29:A32)</f>
        <v>Ford</v>
      </c>
      <c r="C34" s="15">
        <f>MAX(E29:E32)</f>
        <v>60.180952380952377</v>
      </c>
      <c r="D34" s="13" t="s">
        <v>28</v>
      </c>
      <c r="E34" s="13" t="str">
        <f>_xlfn.XLOOKUP(F34,B37:D37,B36:D36)</f>
        <v>Job Fullfillment</v>
      </c>
      <c r="F34" s="15">
        <f>MAX(B37:D37)</f>
        <v>24.914285714285715</v>
      </c>
    </row>
    <row r="36" spans="1:6" x14ac:dyDescent="0.3">
      <c r="A36" s="13"/>
      <c r="B36" s="13" t="str">
        <f>B28</f>
        <v>Compensation</v>
      </c>
      <c r="C36" s="13" t="str">
        <f>C28</f>
        <v>Career Potential</v>
      </c>
      <c r="D36" s="13" t="str">
        <f>D28</f>
        <v>Job Fullfillment</v>
      </c>
    </row>
    <row r="37" spans="1:6" x14ac:dyDescent="0.3">
      <c r="A37" s="13" t="str">
        <f>_xlfn.XLOOKUP(C34,E29:E32,A29:A32)</f>
        <v>Ford</v>
      </c>
      <c r="B37" s="15">
        <f>_xlfn.XLOOKUP(C34,E29:E32,B29:B32)</f>
        <v>13.566666666666666</v>
      </c>
      <c r="C37" s="15">
        <f>_xlfn.XLOOKUP(C34,E29:E32,C29:C32)</f>
        <v>21.7</v>
      </c>
      <c r="D37" s="15">
        <f>_xlfn.XLOOKUP(C34,E29:E32,D29:D32)</f>
        <v>24.914285714285715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2B22E-A1F8-4FD1-8F7F-BB3576251D45}">
  <sheetPr codeName="Sheet5"/>
  <dimension ref="A1:AF13"/>
  <sheetViews>
    <sheetView workbookViewId="0">
      <selection activeCell="B11" sqref="B11"/>
    </sheetView>
  </sheetViews>
  <sheetFormatPr defaultRowHeight="14.4" x14ac:dyDescent="0.3"/>
  <cols>
    <col min="1" max="1" width="61.5546875" style="18" bestFit="1" customWidth="1"/>
    <col min="2" max="2" width="29.109375" style="18" bestFit="1" customWidth="1"/>
    <col min="3" max="3" width="20.21875" style="18" bestFit="1" customWidth="1"/>
    <col min="4" max="5" width="13.77734375" style="18" bestFit="1" customWidth="1"/>
    <col min="6" max="32" width="8.88671875" style="18"/>
  </cols>
  <sheetData>
    <row r="1" spans="1:5" ht="31.2" x14ac:dyDescent="0.6">
      <c r="A1" s="19" t="s">
        <v>25</v>
      </c>
      <c r="B1" s="20"/>
      <c r="C1" s="20"/>
      <c r="D1" s="20"/>
      <c r="E1" s="20"/>
    </row>
    <row r="2" spans="1:5" ht="31.2" x14ac:dyDescent="0.6">
      <c r="A2" s="20"/>
      <c r="B2" s="20"/>
      <c r="C2" s="20"/>
      <c r="D2" s="20"/>
      <c r="E2" s="20"/>
    </row>
    <row r="3" spans="1:5" ht="31.2" x14ac:dyDescent="0.6">
      <c r="A3" s="19" t="s">
        <v>26</v>
      </c>
      <c r="B3" s="19" t="str">
        <f>Data!B34</f>
        <v>Ford</v>
      </c>
      <c r="C3" s="19" t="s">
        <v>27</v>
      </c>
      <c r="D3" s="19" t="str">
        <f>Data!E34</f>
        <v>Job Fullfillment</v>
      </c>
      <c r="E3" s="20"/>
    </row>
    <row r="4" spans="1:5" ht="31.2" x14ac:dyDescent="0.6">
      <c r="A4" s="20"/>
      <c r="B4" s="20"/>
      <c r="C4" s="20"/>
      <c r="D4" s="20"/>
      <c r="E4" s="20"/>
    </row>
    <row r="5" spans="1:5" ht="31.2" x14ac:dyDescent="0.6">
      <c r="A5" s="27" t="s">
        <v>38</v>
      </c>
      <c r="B5" s="27" t="s">
        <v>39</v>
      </c>
      <c r="D5" s="20"/>
      <c r="E5" s="20"/>
    </row>
    <row r="6" spans="1:5" ht="31.2" x14ac:dyDescent="0.6">
      <c r="A6" s="25" t="str">
        <f>Data!A29</f>
        <v>Acura</v>
      </c>
      <c r="B6" s="26">
        <f>Data!E29</f>
        <v>60.164285714285711</v>
      </c>
      <c r="D6" s="20"/>
      <c r="E6" s="20"/>
    </row>
    <row r="7" spans="1:5" ht="31.2" x14ac:dyDescent="0.6">
      <c r="A7" s="25" t="str">
        <f>Data!A30</f>
        <v>Ford</v>
      </c>
      <c r="B7" s="26">
        <f>Data!E30</f>
        <v>60.180952380952377</v>
      </c>
      <c r="D7" s="20"/>
      <c r="E7" s="20"/>
    </row>
    <row r="8" spans="1:5" ht="31.2" x14ac:dyDescent="0.6">
      <c r="A8" s="25" t="str">
        <f>Data!A31</f>
        <v>Chevy</v>
      </c>
      <c r="B8" s="26">
        <f>Data!E31</f>
        <v>50.544047619047618</v>
      </c>
      <c r="D8" s="20"/>
      <c r="E8" s="20"/>
    </row>
    <row r="9" spans="1:5" ht="31.2" x14ac:dyDescent="0.6">
      <c r="A9" s="25" t="str">
        <f>Data!A32</f>
        <v>Gm</v>
      </c>
      <c r="B9" s="26">
        <f>Data!E32</f>
        <v>53.482142857142861</v>
      </c>
      <c r="D9" s="20"/>
      <c r="E9" s="20"/>
    </row>
    <row r="10" spans="1:5" ht="31.2" x14ac:dyDescent="0.6">
      <c r="D10" s="20"/>
      <c r="E10" s="20"/>
    </row>
    <row r="11" spans="1:5" ht="31.2" x14ac:dyDescent="0.6">
      <c r="D11" s="20"/>
      <c r="E11" s="20"/>
    </row>
    <row r="12" spans="1:5" ht="31.2" x14ac:dyDescent="0.6">
      <c r="D12" s="20"/>
      <c r="E12" s="20"/>
    </row>
    <row r="13" spans="1:5" ht="31.2" x14ac:dyDescent="0.6">
      <c r="D13" s="20"/>
      <c r="E13" s="20"/>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2</xdr:col>
                <xdr:colOff>1188720</xdr:colOff>
                <xdr:row>7</xdr:row>
                <xdr:rowOff>7620</xdr:rowOff>
              </from>
              <to>
                <xdr:col>5</xdr:col>
                <xdr:colOff>358140</xdr:colOff>
                <xdr:row>9</xdr:row>
                <xdr:rowOff>30480</xdr:rowOff>
              </to>
            </anchor>
          </controlPr>
        </control>
      </mc:Choice>
      <mc:Fallback>
        <control shapeId="5121" r:id="rId3" name="CommandButton1"/>
      </mc:Fallback>
    </mc:AlternateContent>
    <mc:AlternateContent xmlns:mc="http://schemas.openxmlformats.org/markup-compatibility/2006">
      <mc:Choice Requires="x14">
        <control shapeId="5122" r:id="rId5" name="CommandButton2">
          <controlPr defaultSize="0" autoLine="0" r:id="rId6">
            <anchor moveWithCells="1">
              <from>
                <xdr:col>2</xdr:col>
                <xdr:colOff>1211580</xdr:colOff>
                <xdr:row>4</xdr:row>
                <xdr:rowOff>15240</xdr:rowOff>
              </from>
              <to>
                <xdr:col>5</xdr:col>
                <xdr:colOff>365760</xdr:colOff>
                <xdr:row>6</xdr:row>
                <xdr:rowOff>167640</xdr:rowOff>
              </to>
            </anchor>
          </controlPr>
        </control>
      </mc:Choice>
      <mc:Fallback>
        <control shapeId="5122" r:id="rId5"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A6F00-FD80-486B-9E1F-01BCD3ACB47E}">
  <sheetPr codeName="Sheet4"/>
  <dimension ref="A1:AR49"/>
  <sheetViews>
    <sheetView showGridLines="0" workbookViewId="0">
      <selection activeCell="P9" sqref="P9"/>
    </sheetView>
  </sheetViews>
  <sheetFormatPr defaultRowHeight="14.4" x14ac:dyDescent="0.3"/>
  <cols>
    <col min="1" max="1" width="25.21875" style="10" customWidth="1"/>
    <col min="2" max="2" width="9.6640625" style="10" bestFit="1" customWidth="1"/>
    <col min="3" max="3" width="10.6640625" style="10" bestFit="1" customWidth="1"/>
    <col min="4" max="4" width="8.88671875" style="10"/>
    <col min="5" max="5" width="10.88671875" style="10" bestFit="1" customWidth="1"/>
    <col min="6" max="44" width="8.88671875" style="10"/>
  </cols>
  <sheetData>
    <row r="1" spans="1:5" ht="25.8" x14ac:dyDescent="0.5">
      <c r="A1" s="23" t="s">
        <v>31</v>
      </c>
    </row>
    <row r="3" spans="1:5" x14ac:dyDescent="0.3">
      <c r="A3" s="10" t="s">
        <v>32</v>
      </c>
    </row>
    <row r="4" spans="1:5" x14ac:dyDescent="0.3">
      <c r="A4" s="12" t="s">
        <v>33</v>
      </c>
      <c r="B4" s="12" t="str">
        <f>Interface!C9 &amp; " Score"</f>
        <v>Acura Score</v>
      </c>
      <c r="C4" s="12" t="str">
        <f>Interface!F9 &amp; " Score"</f>
        <v>Ford Score</v>
      </c>
      <c r="D4" s="12" t="str">
        <f>Interface!I9 &amp; " Score"</f>
        <v>Chevy Score</v>
      </c>
      <c r="E4" s="12" t="str">
        <f>Interface!L9 &amp; " Score"</f>
        <v>Gm Score</v>
      </c>
    </row>
    <row r="5" spans="1:5" x14ac:dyDescent="0.3">
      <c r="A5" s="24">
        <v>0.2</v>
      </c>
      <c r="B5" s="17">
        <v>61.952380952380949</v>
      </c>
      <c r="C5" s="17">
        <v>64.222222222222214</v>
      </c>
      <c r="D5" s="17">
        <v>50.817460317460316</v>
      </c>
      <c r="E5" s="17">
        <v>53.738095238095234</v>
      </c>
    </row>
    <row r="6" spans="1:5" x14ac:dyDescent="0.3">
      <c r="A6" s="24">
        <v>0.25</v>
      </c>
      <c r="B6" s="17">
        <v>61.250000000000007</v>
      </c>
      <c r="C6" s="17">
        <v>62.857142857142861</v>
      </c>
      <c r="D6" s="17">
        <v>50.648809523809533</v>
      </c>
      <c r="E6" s="17">
        <v>53.464285714285722</v>
      </c>
    </row>
    <row r="7" spans="1:5" x14ac:dyDescent="0.3">
      <c r="A7" s="24">
        <v>0.3</v>
      </c>
      <c r="B7" s="17">
        <v>60.547619047619051</v>
      </c>
      <c r="C7" s="17">
        <v>61.492063492063494</v>
      </c>
      <c r="D7" s="17">
        <v>50.480158730158728</v>
      </c>
      <c r="E7" s="17">
        <v>53.19047619047619</v>
      </c>
    </row>
    <row r="8" spans="1:5" x14ac:dyDescent="0.3">
      <c r="A8" s="24">
        <v>0.35</v>
      </c>
      <c r="B8" s="17">
        <v>59.845238095238102</v>
      </c>
      <c r="C8" s="17">
        <v>60.126984126984127</v>
      </c>
      <c r="D8" s="17">
        <v>50.311507936507937</v>
      </c>
      <c r="E8" s="17">
        <v>52.916666666666671</v>
      </c>
    </row>
    <row r="9" spans="1:5" x14ac:dyDescent="0.3">
      <c r="A9" s="24">
        <v>0.4</v>
      </c>
      <c r="B9" s="17">
        <v>59.142857142857146</v>
      </c>
      <c r="C9" s="17">
        <v>58.761904761904766</v>
      </c>
      <c r="D9" s="17">
        <v>50.142857142857139</v>
      </c>
      <c r="E9" s="17">
        <v>52.642857142857146</v>
      </c>
    </row>
    <row r="10" spans="1:5" x14ac:dyDescent="0.3">
      <c r="A10" s="24">
        <v>0.45</v>
      </c>
      <c r="B10" s="17">
        <v>58.44047619047619</v>
      </c>
      <c r="C10" s="17">
        <v>57.396825396825392</v>
      </c>
      <c r="D10" s="17">
        <v>49.974206349206348</v>
      </c>
      <c r="E10" s="17">
        <v>52.36904761904762</v>
      </c>
    </row>
    <row r="11" spans="1:5" x14ac:dyDescent="0.3">
      <c r="A11" s="24">
        <v>0.5</v>
      </c>
      <c r="B11" s="17">
        <v>57.738095238095234</v>
      </c>
      <c r="C11" s="17">
        <v>56.031746031746032</v>
      </c>
      <c r="D11" s="17">
        <v>49.80555555555555</v>
      </c>
      <c r="E11" s="17">
        <v>52.095238095238095</v>
      </c>
    </row>
    <row r="12" spans="1:5" x14ac:dyDescent="0.3">
      <c r="A12" s="24">
        <v>0.55000000000000004</v>
      </c>
      <c r="B12" s="17">
        <v>57.035714285714278</v>
      </c>
      <c r="C12" s="17">
        <v>54.666666666666657</v>
      </c>
      <c r="D12" s="17">
        <v>49.636904761904759</v>
      </c>
      <c r="E12" s="17">
        <v>51.821428571428569</v>
      </c>
    </row>
    <row r="13" spans="1:5" x14ac:dyDescent="0.3">
      <c r="A13" s="24">
        <v>0.6</v>
      </c>
      <c r="B13" s="17">
        <v>56.333333333333329</v>
      </c>
      <c r="C13" s="17">
        <v>53.30158730158729</v>
      </c>
      <c r="D13" s="17">
        <v>49.468253968253961</v>
      </c>
      <c r="E13" s="17">
        <v>51.547619047619051</v>
      </c>
    </row>
    <row r="14" spans="1:5" x14ac:dyDescent="0.3">
      <c r="A14" s="24">
        <v>0.65</v>
      </c>
      <c r="B14" s="17">
        <v>55.63095238095238</v>
      </c>
      <c r="C14" s="17">
        <v>51.936507936507937</v>
      </c>
      <c r="D14" s="17">
        <v>49.299603174603178</v>
      </c>
      <c r="E14" s="17">
        <v>51.273809523809518</v>
      </c>
    </row>
    <row r="15" spans="1:5" x14ac:dyDescent="0.3">
      <c r="A15" s="24">
        <v>0.7</v>
      </c>
      <c r="B15" s="17">
        <v>54.928571428571431</v>
      </c>
      <c r="C15" s="17">
        <v>50.571428571428569</v>
      </c>
      <c r="D15" s="17">
        <v>49.13095238095238</v>
      </c>
      <c r="E15" s="17">
        <v>51</v>
      </c>
    </row>
    <row r="16" spans="1:5" x14ac:dyDescent="0.3">
      <c r="A16" s="24">
        <v>0.75</v>
      </c>
      <c r="B16" s="17">
        <v>54.226190476190474</v>
      </c>
      <c r="C16" s="17">
        <v>49.206349206349209</v>
      </c>
      <c r="D16" s="17">
        <v>48.962301587301589</v>
      </c>
      <c r="E16" s="17">
        <v>50.726190476190474</v>
      </c>
    </row>
    <row r="17" spans="1:5" x14ac:dyDescent="0.3">
      <c r="A17" s="24">
        <v>0.8</v>
      </c>
      <c r="B17" s="17">
        <v>53.523809523809518</v>
      </c>
      <c r="C17" s="17">
        <v>47.841269841269835</v>
      </c>
      <c r="D17" s="17">
        <v>48.793650793650784</v>
      </c>
      <c r="E17" s="17">
        <v>50.452380952380949</v>
      </c>
    </row>
    <row r="19" spans="1:5" x14ac:dyDescent="0.3">
      <c r="A19" s="10" t="s">
        <v>34</v>
      </c>
    </row>
    <row r="20" spans="1:5" x14ac:dyDescent="0.3">
      <c r="A20" s="12" t="s">
        <v>35</v>
      </c>
      <c r="B20" s="12" t="str">
        <f>B4</f>
        <v>Acura Score</v>
      </c>
      <c r="C20" s="12" t="str">
        <f>C4</f>
        <v>Ford Score</v>
      </c>
      <c r="D20" s="12" t="str">
        <f>D4</f>
        <v>Chevy Score</v>
      </c>
      <c r="E20" s="12" t="str">
        <f>E4</f>
        <v>Gm Score</v>
      </c>
    </row>
    <row r="21" spans="1:5" x14ac:dyDescent="0.3">
      <c r="A21" s="24">
        <v>0.2</v>
      </c>
      <c r="B21" s="17">
        <v>62.757763975155285</v>
      </c>
      <c r="C21" s="17">
        <v>61.18288474810214</v>
      </c>
      <c r="D21" s="17">
        <v>48.81711525189786</v>
      </c>
      <c r="E21" s="17">
        <v>60.045548654244307</v>
      </c>
    </row>
    <row r="22" spans="1:5" x14ac:dyDescent="0.3">
      <c r="A22" s="24">
        <v>0.25</v>
      </c>
      <c r="B22" s="17">
        <v>62.942546583850934</v>
      </c>
      <c r="C22" s="17">
        <v>62.091097308488614</v>
      </c>
      <c r="D22" s="17">
        <v>50.283902691511386</v>
      </c>
      <c r="E22" s="17">
        <v>58.596273291925471</v>
      </c>
    </row>
    <row r="23" spans="1:5" x14ac:dyDescent="0.3">
      <c r="A23" s="24">
        <v>0.3</v>
      </c>
      <c r="B23" s="17">
        <v>63.127329192546583</v>
      </c>
      <c r="C23" s="17">
        <v>62.999309868875081</v>
      </c>
      <c r="D23" s="17">
        <v>51.750690131124905</v>
      </c>
      <c r="E23" s="17">
        <v>57.146997929606627</v>
      </c>
    </row>
    <row r="24" spans="1:5" x14ac:dyDescent="0.3">
      <c r="A24" s="24">
        <v>0.35</v>
      </c>
      <c r="B24" s="17">
        <v>63.312111801242239</v>
      </c>
      <c r="C24" s="17">
        <v>63.907522429261562</v>
      </c>
      <c r="D24" s="17">
        <v>53.217477570738438</v>
      </c>
      <c r="E24" s="17">
        <v>55.697722567287784</v>
      </c>
    </row>
    <row r="25" spans="1:5" x14ac:dyDescent="0.3">
      <c r="A25" s="24">
        <v>0.4</v>
      </c>
      <c r="B25" s="17">
        <v>63.496894409937887</v>
      </c>
      <c r="C25" s="17">
        <v>64.815734989648035</v>
      </c>
      <c r="D25" s="17">
        <v>54.684265010351965</v>
      </c>
      <c r="E25" s="17">
        <v>54.24844720496894</v>
      </c>
    </row>
    <row r="26" spans="1:5" x14ac:dyDescent="0.3">
      <c r="A26" s="24">
        <v>0.45</v>
      </c>
      <c r="B26" s="17">
        <v>63.681677018633536</v>
      </c>
      <c r="C26" s="17">
        <v>65.723947550034509</v>
      </c>
      <c r="D26" s="17">
        <v>56.151052449965491</v>
      </c>
      <c r="E26" s="17">
        <v>52.799171842650104</v>
      </c>
    </row>
    <row r="27" spans="1:5" x14ac:dyDescent="0.3">
      <c r="A27" s="24">
        <v>0.5</v>
      </c>
      <c r="B27" s="17">
        <v>63.866459627329192</v>
      </c>
      <c r="C27" s="17">
        <v>66.632160110420983</v>
      </c>
      <c r="D27" s="17">
        <v>57.617839889579017</v>
      </c>
      <c r="E27" s="17">
        <v>51.34989648033126</v>
      </c>
    </row>
    <row r="28" spans="1:5" x14ac:dyDescent="0.3">
      <c r="A28" s="24">
        <v>0.55000000000000004</v>
      </c>
      <c r="B28" s="17">
        <v>64.051242236024848</v>
      </c>
      <c r="C28" s="17">
        <v>67.540372670807443</v>
      </c>
      <c r="D28" s="17">
        <v>59.084627329192543</v>
      </c>
      <c r="E28" s="17">
        <v>49.900621118012424</v>
      </c>
    </row>
    <row r="29" spans="1:5" x14ac:dyDescent="0.3">
      <c r="A29" s="24">
        <v>0.6</v>
      </c>
      <c r="B29" s="17">
        <v>64.236024844720504</v>
      </c>
      <c r="C29" s="17">
        <v>68.448585231193931</v>
      </c>
      <c r="D29" s="17">
        <v>60.551414768806069</v>
      </c>
      <c r="E29" s="17">
        <v>48.45134575569358</v>
      </c>
    </row>
    <row r="30" spans="1:5" x14ac:dyDescent="0.3">
      <c r="A30" s="24">
        <v>0.65</v>
      </c>
      <c r="B30" s="17">
        <v>64.42080745341616</v>
      </c>
      <c r="C30" s="17">
        <v>69.356797791580391</v>
      </c>
      <c r="D30" s="17">
        <v>62.018202208419595</v>
      </c>
      <c r="E30" s="17">
        <v>47.002070393374737</v>
      </c>
    </row>
    <row r="31" spans="1:5" x14ac:dyDescent="0.3">
      <c r="A31" s="24">
        <v>0.7</v>
      </c>
      <c r="B31" s="17">
        <v>64.605590062111801</v>
      </c>
      <c r="C31" s="17">
        <v>70.265010351966879</v>
      </c>
      <c r="D31" s="17">
        <v>63.484989648033128</v>
      </c>
      <c r="E31" s="17">
        <v>45.552795031055908</v>
      </c>
    </row>
    <row r="32" spans="1:5" x14ac:dyDescent="0.3">
      <c r="A32" s="24">
        <v>0.75</v>
      </c>
      <c r="B32" s="17">
        <v>64.790372670807443</v>
      </c>
      <c r="C32" s="17">
        <v>71.173222912353339</v>
      </c>
      <c r="D32" s="17">
        <v>64.951777087646647</v>
      </c>
      <c r="E32" s="17">
        <v>44.103519668737057</v>
      </c>
    </row>
    <row r="33" spans="1:5" x14ac:dyDescent="0.3">
      <c r="A33" s="24">
        <v>0.8</v>
      </c>
      <c r="B33" s="17">
        <v>64.975155279503099</v>
      </c>
      <c r="C33" s="17">
        <v>72.081435472739827</v>
      </c>
      <c r="D33" s="17">
        <v>66.418564527260173</v>
      </c>
      <c r="E33" s="17">
        <v>42.654244306418214</v>
      </c>
    </row>
    <row r="35" spans="1:5" x14ac:dyDescent="0.3">
      <c r="A35" s="10" t="s">
        <v>36</v>
      </c>
    </row>
    <row r="36" spans="1:5" x14ac:dyDescent="0.3">
      <c r="A36" s="12" t="s">
        <v>37</v>
      </c>
      <c r="B36" s="12" t="str">
        <f>B20</f>
        <v>Acura Score</v>
      </c>
      <c r="C36" s="12" t="str">
        <f t="shared" ref="C36:E36" si="0">C20</f>
        <v>Ford Score</v>
      </c>
      <c r="D36" s="12" t="str">
        <f t="shared" si="0"/>
        <v>Chevy Score</v>
      </c>
      <c r="E36" s="12" t="str">
        <f t="shared" si="0"/>
        <v>Gm Score</v>
      </c>
    </row>
    <row r="37" spans="1:5" x14ac:dyDescent="0.3">
      <c r="A37" s="24">
        <v>0.2</v>
      </c>
      <c r="B37" s="17">
        <v>56.008403361344541</v>
      </c>
      <c r="C37" s="17">
        <v>56.616246498599438</v>
      </c>
      <c r="D37" s="17">
        <v>50.530812324929961</v>
      </c>
      <c r="E37" s="17">
        <v>46.798319327731093</v>
      </c>
    </row>
    <row r="38" spans="1:5" x14ac:dyDescent="0.3">
      <c r="A38" s="24">
        <v>0.25</v>
      </c>
      <c r="B38" s="17">
        <v>56.615021008403367</v>
      </c>
      <c r="C38" s="17">
        <v>57.184873949579831</v>
      </c>
      <c r="D38" s="17">
        <v>49.390493697478988</v>
      </c>
      <c r="E38" s="17">
        <v>48.520745798319325</v>
      </c>
    </row>
    <row r="39" spans="1:5" x14ac:dyDescent="0.3">
      <c r="A39" s="24">
        <v>0.3</v>
      </c>
      <c r="B39" s="17">
        <v>57.221638655462186</v>
      </c>
      <c r="C39" s="17">
        <v>57.753501400560225</v>
      </c>
      <c r="D39" s="17">
        <v>48.250175070028014</v>
      </c>
      <c r="E39" s="17">
        <v>50.243172268907571</v>
      </c>
    </row>
    <row r="40" spans="1:5" x14ac:dyDescent="0.3">
      <c r="A40" s="24">
        <v>0.35</v>
      </c>
      <c r="B40" s="17">
        <v>57.828256302521012</v>
      </c>
      <c r="C40" s="17">
        <v>58.322128851540619</v>
      </c>
      <c r="D40" s="17">
        <v>47.109856442577026</v>
      </c>
      <c r="E40" s="17">
        <v>51.965598739495803</v>
      </c>
    </row>
    <row r="41" spans="1:5" x14ac:dyDescent="0.3">
      <c r="A41" s="24">
        <v>0.4</v>
      </c>
      <c r="B41" s="17">
        <v>58.434873949579831</v>
      </c>
      <c r="C41" s="17">
        <v>58.890756302521005</v>
      </c>
      <c r="D41" s="17">
        <v>45.969537815126046</v>
      </c>
      <c r="E41" s="17">
        <v>53.688025210084028</v>
      </c>
    </row>
    <row r="42" spans="1:5" x14ac:dyDescent="0.3">
      <c r="A42" s="24">
        <v>0.45</v>
      </c>
      <c r="B42" s="17">
        <v>59.041491596638657</v>
      </c>
      <c r="C42" s="17">
        <v>59.459383753501399</v>
      </c>
      <c r="D42" s="17">
        <v>44.829219187675065</v>
      </c>
      <c r="E42" s="17">
        <v>55.410451680672267</v>
      </c>
    </row>
    <row r="43" spans="1:5" x14ac:dyDescent="0.3">
      <c r="A43" s="24">
        <v>0.5</v>
      </c>
      <c r="B43" s="17">
        <v>59.648109243697476</v>
      </c>
      <c r="C43" s="17">
        <v>60.028011204481793</v>
      </c>
      <c r="D43" s="17">
        <v>43.688900560224084</v>
      </c>
      <c r="E43" s="17">
        <v>57.132878151260499</v>
      </c>
    </row>
    <row r="44" spans="1:5" x14ac:dyDescent="0.3">
      <c r="A44" s="24">
        <v>0.55000000000000004</v>
      </c>
      <c r="B44" s="17">
        <v>60.254726890756302</v>
      </c>
      <c r="C44" s="17">
        <v>60.596638655462186</v>
      </c>
      <c r="D44" s="17">
        <v>42.548581932773104</v>
      </c>
      <c r="E44" s="17">
        <v>58.855304621848738</v>
      </c>
    </row>
    <row r="45" spans="1:5" x14ac:dyDescent="0.3">
      <c r="A45" s="24">
        <v>0.6</v>
      </c>
      <c r="B45" s="17">
        <v>60.861344537815128</v>
      </c>
      <c r="C45" s="17">
        <v>61.16526610644258</v>
      </c>
      <c r="D45" s="17">
        <v>41.40826330532213</v>
      </c>
      <c r="E45" s="17">
        <v>60.577731092436977</v>
      </c>
    </row>
    <row r="46" spans="1:5" x14ac:dyDescent="0.3">
      <c r="A46" s="24">
        <v>0.65</v>
      </c>
      <c r="B46" s="17">
        <v>61.467962184873947</v>
      </c>
      <c r="C46" s="17">
        <v>61.733893557422967</v>
      </c>
      <c r="D46" s="17">
        <v>40.267944677871142</v>
      </c>
      <c r="E46" s="17">
        <v>62.300157563025209</v>
      </c>
    </row>
    <row r="47" spans="1:5" x14ac:dyDescent="0.3">
      <c r="A47" s="24">
        <v>0.7</v>
      </c>
      <c r="B47" s="17">
        <v>62.07457983193278</v>
      </c>
      <c r="C47" s="17">
        <v>62.30252100840336</v>
      </c>
      <c r="D47" s="17">
        <v>39.127626050420169</v>
      </c>
      <c r="E47" s="17">
        <v>64.022584033613441</v>
      </c>
    </row>
    <row r="48" spans="1:5" x14ac:dyDescent="0.3">
      <c r="A48" s="24">
        <v>0.75</v>
      </c>
      <c r="B48" s="17">
        <v>62.681197478991599</v>
      </c>
      <c r="C48" s="17">
        <v>62.871148459383754</v>
      </c>
      <c r="D48" s="17">
        <v>37.987307422969181</v>
      </c>
      <c r="E48" s="17">
        <v>65.745010504201673</v>
      </c>
    </row>
    <row r="49" spans="1:5" x14ac:dyDescent="0.3">
      <c r="A49" s="24">
        <v>0.8</v>
      </c>
      <c r="B49" s="17">
        <v>63.287815126050418</v>
      </c>
      <c r="C49" s="17">
        <v>63.439775910364148</v>
      </c>
      <c r="D49" s="17">
        <v>36.8469887955182</v>
      </c>
      <c r="E49" s="17">
        <v>67.467436974789905</v>
      </c>
    </row>
  </sheetData>
  <pageMargins left="0.7" right="0.7" top="0.75" bottom="0.75" header="0.3" footer="0.3"/>
  <drawing r:id="rId1"/>
  <legacyDrawing r:id="rId2"/>
  <controls>
    <mc:AlternateContent xmlns:mc="http://schemas.openxmlformats.org/markup-compatibility/2006">
      <mc:Choice Requires="x14">
        <control shapeId="4097" r:id="rId3" name="CommandButton1">
          <controlPr defaultSize="0" autoLine="0" r:id="rId4">
            <anchor moveWithCells="1">
              <from>
                <xdr:col>9</xdr:col>
                <xdr:colOff>205740</xdr:colOff>
                <xdr:row>0</xdr:row>
                <xdr:rowOff>68580</xdr:rowOff>
              </from>
              <to>
                <xdr:col>11</xdr:col>
                <xdr:colOff>182880</xdr:colOff>
                <xdr:row>2</xdr:row>
                <xdr:rowOff>15240</xdr:rowOff>
              </to>
            </anchor>
          </controlPr>
        </control>
      </mc:Choice>
      <mc:Fallback>
        <control shapeId="4097" r:id="rId3" name="CommandButton1"/>
      </mc:Fallback>
    </mc:AlternateContent>
    <mc:AlternateContent xmlns:mc="http://schemas.openxmlformats.org/markup-compatibility/2006">
      <mc:Choice Requires="x14">
        <control shapeId="4098" r:id="rId5" name="CommandButton2">
          <controlPr defaultSize="0" autoLine="0" r:id="rId6">
            <anchor moveWithCells="1">
              <from>
                <xdr:col>11</xdr:col>
                <xdr:colOff>510540</xdr:colOff>
                <xdr:row>0</xdr:row>
                <xdr:rowOff>91440</xdr:rowOff>
              </from>
              <to>
                <xdr:col>13</xdr:col>
                <xdr:colOff>472440</xdr:colOff>
                <xdr:row>2</xdr:row>
                <xdr:rowOff>7620</xdr:rowOff>
              </to>
            </anchor>
          </controlPr>
        </control>
      </mc:Choice>
      <mc:Fallback>
        <control shapeId="4098" r:id="rId5" name="CommandButton2"/>
      </mc:Fallback>
    </mc:AlternateContent>
    <mc:AlternateContent xmlns:mc="http://schemas.openxmlformats.org/markup-compatibility/2006">
      <mc:Choice Requires="x14">
        <control shapeId="4099" r:id="rId7" name="CommandButton3">
          <controlPr defaultSize="0" autoLine="0" r:id="rId8">
            <anchor moveWithCells="1">
              <from>
                <xdr:col>6</xdr:col>
                <xdr:colOff>396240</xdr:colOff>
                <xdr:row>0</xdr:row>
                <xdr:rowOff>129540</xdr:rowOff>
              </from>
              <to>
                <xdr:col>8</xdr:col>
                <xdr:colOff>266700</xdr:colOff>
                <xdr:row>2</xdr:row>
                <xdr:rowOff>22860</xdr:rowOff>
              </to>
            </anchor>
          </controlPr>
        </control>
      </mc:Choice>
      <mc:Fallback>
        <control shapeId="4099" r:id="rId7"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Interface</vt:lpstr>
      <vt:lpstr>Data</vt:lpstr>
      <vt:lpstr>Results</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Benjamin Alexander Jakabcsin</dc:creator>
  <cp:lastModifiedBy>Benjamin Alexander Jakabcsin</cp:lastModifiedBy>
  <dcterms:created xsi:type="dcterms:W3CDTF">2023-12-15T03:44:58Z</dcterms:created>
  <dcterms:modified xsi:type="dcterms:W3CDTF">2023-12-16T02:12:01Z</dcterms:modified>
</cp:coreProperties>
</file>